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balistoyay\Downloads\"/>
    </mc:Choice>
  </mc:AlternateContent>
  <xr:revisionPtr revIDLastSave="0" documentId="13_ncr:1_{BA14AC48-3790-40DE-9665-7C7913623DA4}" xr6:coauthVersionLast="47" xr6:coauthVersionMax="47" xr10:uidLastSave="{00000000-0000-0000-0000-000000000000}"/>
  <bookViews>
    <workbookView xWindow="-108" yWindow="-108" windowWidth="23256" windowHeight="12576" tabRatio="944" firstSheet="2" activeTab="3" xr2:uid="{750ABCC7-2010-4411-9C25-6DD9810040D1}"/>
  </bookViews>
  <sheets>
    <sheet name="DATA ENTRY FOR DISPOSAL" sheetId="3" r:id="rId1"/>
    <sheet name="Sheet1" sheetId="12" state="hidden" r:id="rId2"/>
    <sheet name="LABEL FORM - FOR DISPOSAL" sheetId="1" r:id="rId3"/>
    <sheet name="DATA ENTRY ARCHIVING" sheetId="8" r:id="rId4"/>
    <sheet name="LABEL FORM - FOR ARCHIVING" sheetId="9" r:id="rId5"/>
    <sheet name="NAP Form 3 ADMIN USE ONLY (B1)" sheetId="5" r:id="rId6"/>
    <sheet name="NAP Form 3 ADMIN USE ONLY (B2)" sheetId="7" r:id="rId7"/>
    <sheet name="NAP Form 3 ADMIN USE ONLY (B3)" sheetId="10" r:id="rId8"/>
    <sheet name="NAP Form 3 - B4" sheetId="11" r:id="rId9"/>
    <sheet name="BRANCH COMMONLY USED ITEMS" sheetId="6" r:id="rId10"/>
    <sheet name="REFERENCE" sheetId="2" r:id="rId11"/>
  </sheets>
  <definedNames>
    <definedName name="ARCH2026">REFERENCE!$L$162:$L$233</definedName>
    <definedName name="ARCH24">REFERENCE!$L$2:$L$121</definedName>
    <definedName name="ARCH25">REFERENCE!$L$122:$L$161</definedName>
    <definedName name="BATCHING" localSheetId="3">'DATA ENTRY ARCHIVING'!$C:$I</definedName>
    <definedName name="BATCHING">'DATA ENTRY FOR DISPOSAL'!$C:$I</definedName>
    <definedName name="BOXNO">REFERENCE!$M$2:$M$62</definedName>
    <definedName name="DESCRIP">REFERENCE!$A:$C</definedName>
    <definedName name="FORARCH">'DATA ENTRY ARCHIVING'!$C:$N</definedName>
    <definedName name="FORDIS">'DATA ENTRY FOR DISPOSAL'!$C:$N</definedName>
    <definedName name="ITEMNO">REFERENCE!$F$2:$F$178</definedName>
    <definedName name="_xlnm.Print_Area" localSheetId="4">'LABEL FORM - FOR ARCHIVING'!$A$1:$E$39</definedName>
    <definedName name="_xlnm.Print_Area" localSheetId="2">'LABEL FORM - FOR DISPOSAL'!$A$1:$E$8</definedName>
    <definedName name="_xlnm.Print_Area" localSheetId="8">'NAP Form 3 - B4'!$A$1:$L$44</definedName>
    <definedName name="_xlnm.Print_Area" localSheetId="7">'NAP Form 3 ADMIN USE ONLY (B3)'!$A$1:$L$44</definedName>
    <definedName name="RETENTION1">REFERENCE!$A:$D</definedName>
    <definedName name="SCANNING">REFERENCE!$K$2:$K$4</definedName>
    <definedName name="SECTION">REFERENCE!$E$2:$E$9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1" i="8" l="1"/>
  <c r="F141" i="8"/>
  <c r="K141" i="8"/>
  <c r="L141" i="8"/>
  <c r="M141" i="8"/>
  <c r="C140" i="8"/>
  <c r="F140" i="8"/>
  <c r="K140" i="8"/>
  <c r="L140" i="8"/>
  <c r="M140" i="8" s="1"/>
  <c r="C139" i="8"/>
  <c r="F139" i="8"/>
  <c r="K139" i="8"/>
  <c r="L139" i="8"/>
  <c r="M139" i="8"/>
  <c r="F358" i="3"/>
  <c r="C358" i="3"/>
  <c r="K358" i="3"/>
  <c r="L358" i="3"/>
  <c r="M358" i="3"/>
  <c r="F357" i="3"/>
  <c r="C138" i="8"/>
  <c r="F138" i="8"/>
  <c r="K138" i="8"/>
  <c r="L138" i="8"/>
  <c r="M138" i="8"/>
  <c r="C136" i="8"/>
  <c r="C137" i="8"/>
  <c r="F137" i="8"/>
  <c r="K137" i="8"/>
  <c r="L137" i="8"/>
  <c r="M137" i="8"/>
  <c r="F136" i="8"/>
  <c r="K136" i="8"/>
  <c r="L136" i="8"/>
  <c r="M136" i="8"/>
  <c r="C135" i="8"/>
  <c r="F135" i="8"/>
  <c r="K135" i="8"/>
  <c r="L135" i="8"/>
  <c r="M135" i="8"/>
  <c r="C357" i="3"/>
  <c r="K357" i="3"/>
  <c r="L357" i="3"/>
  <c r="M357" i="3"/>
  <c r="C356" i="3"/>
  <c r="F356" i="3"/>
  <c r="K356" i="3"/>
  <c r="L356" i="3"/>
  <c r="M356" i="3"/>
  <c r="C355" i="3"/>
  <c r="F355" i="3"/>
  <c r="K355" i="3"/>
  <c r="L355" i="3"/>
  <c r="M355" i="3"/>
  <c r="C134" i="8"/>
  <c r="F134" i="8"/>
  <c r="K134" i="8"/>
  <c r="L134" i="8"/>
  <c r="M134" i="8"/>
  <c r="C354" i="3"/>
  <c r="F354" i="3"/>
  <c r="K354" i="3"/>
  <c r="L354" i="3"/>
  <c r="L133" i="8"/>
  <c r="K133" i="8"/>
  <c r="M133" i="8"/>
  <c r="F133" i="8"/>
  <c r="C133" i="8"/>
  <c r="C130" i="8"/>
  <c r="C131" i="8"/>
  <c r="C132" i="8"/>
  <c r="F130" i="8"/>
  <c r="F131" i="8"/>
  <c r="F132" i="8"/>
  <c r="K130" i="8"/>
  <c r="K131" i="8"/>
  <c r="K132" i="8"/>
  <c r="L130" i="8"/>
  <c r="L131" i="8"/>
  <c r="L132" i="8"/>
  <c r="M130" i="8"/>
  <c r="M131" i="8"/>
  <c r="M132" i="8"/>
  <c r="C129" i="8"/>
  <c r="F129" i="8"/>
  <c r="K129" i="8"/>
  <c r="L129" i="8"/>
  <c r="M129" i="8"/>
  <c r="C128" i="8"/>
  <c r="F128" i="8"/>
  <c r="K128" i="8"/>
  <c r="L128" i="8"/>
  <c r="M128" i="8"/>
  <c r="C127" i="8"/>
  <c r="F127" i="8"/>
  <c r="K127" i="8"/>
  <c r="L127" i="8"/>
  <c r="M127" i="8"/>
  <c r="C126" i="8"/>
  <c r="F126" i="8"/>
  <c r="K126" i="8"/>
  <c r="L126" i="8"/>
  <c r="M126" i="8"/>
  <c r="C125" i="8"/>
  <c r="F125" i="8"/>
  <c r="K125" i="8"/>
  <c r="L125" i="8"/>
  <c r="M125" i="8" s="1"/>
  <c r="C124" i="8"/>
  <c r="F124" i="8"/>
  <c r="K124" i="8"/>
  <c r="L124" i="8"/>
  <c r="M124" i="8" s="1"/>
  <c r="C123" i="8"/>
  <c r="F123" i="8"/>
  <c r="K123" i="8"/>
  <c r="L123" i="8"/>
  <c r="M123" i="8" s="1"/>
  <c r="C122" i="8"/>
  <c r="F122" i="8"/>
  <c r="K122" i="8"/>
  <c r="L122" i="8"/>
  <c r="M122" i="8" s="1"/>
  <c r="C121" i="8"/>
  <c r="F121" i="8"/>
  <c r="K121" i="8"/>
  <c r="L121" i="8"/>
  <c r="M121" i="8" s="1"/>
  <c r="F120" i="8"/>
  <c r="C120" i="8"/>
  <c r="K120" i="8"/>
  <c r="L120" i="8"/>
  <c r="M120" i="8" s="1"/>
  <c r="C353" i="3"/>
  <c r="F353" i="3"/>
  <c r="K353" i="3"/>
  <c r="L353" i="3"/>
  <c r="F352" i="3"/>
  <c r="C352" i="3"/>
  <c r="K352" i="3"/>
  <c r="L352" i="3"/>
  <c r="F351" i="3"/>
  <c r="C351" i="3"/>
  <c r="K351" i="3"/>
  <c r="L351" i="3"/>
  <c r="M351" i="3"/>
  <c r="K111" i="8"/>
  <c r="K110" i="8"/>
  <c r="K109" i="8"/>
  <c r="K108" i="8"/>
  <c r="K107" i="8"/>
  <c r="K106" i="8"/>
  <c r="K105" i="8"/>
  <c r="K104" i="8"/>
  <c r="K103" i="8"/>
  <c r="K102" i="8"/>
  <c r="K101" i="8"/>
  <c r="C109" i="8"/>
  <c r="C110" i="8"/>
  <c r="C111" i="8"/>
  <c r="C112" i="8"/>
  <c r="C113" i="8"/>
  <c r="C114" i="8"/>
  <c r="C115" i="8"/>
  <c r="C116" i="8"/>
  <c r="C117" i="8"/>
  <c r="K112" i="8"/>
  <c r="K113" i="8"/>
  <c r="K114" i="8"/>
  <c r="K115" i="8"/>
  <c r="K116" i="8"/>
  <c r="K117" i="8"/>
  <c r="K118" i="8"/>
  <c r="K119" i="8"/>
  <c r="L109" i="8"/>
  <c r="L110" i="8"/>
  <c r="L111" i="8"/>
  <c r="M111" i="8" s="1"/>
  <c r="L112" i="8"/>
  <c r="M112" i="8"/>
  <c r="L113" i="8"/>
  <c r="L114" i="8"/>
  <c r="L115" i="8"/>
  <c r="M115" i="8" s="1"/>
  <c r="L116" i="8"/>
  <c r="M116" i="8" s="1"/>
  <c r="L117" i="8"/>
  <c r="L118" i="8"/>
  <c r="M118" i="8" s="1"/>
  <c r="L119" i="8"/>
  <c r="M119" i="8" s="1"/>
  <c r="M109" i="8"/>
  <c r="M113" i="8"/>
  <c r="M114" i="8"/>
  <c r="M117" i="8"/>
  <c r="F108" i="8"/>
  <c r="F109" i="8"/>
  <c r="F110" i="8"/>
  <c r="F111" i="8"/>
  <c r="F112" i="8"/>
  <c r="F113" i="8"/>
  <c r="F114" i="8"/>
  <c r="F115" i="8"/>
  <c r="F116" i="8"/>
  <c r="F117" i="8"/>
  <c r="F118" i="8"/>
  <c r="F119" i="8"/>
  <c r="C108" i="8"/>
  <c r="L108" i="8"/>
  <c r="F107" i="8"/>
  <c r="C107" i="8"/>
  <c r="L107" i="8"/>
  <c r="C105" i="8"/>
  <c r="C106" i="8"/>
  <c r="F105" i="8"/>
  <c r="F106" i="8"/>
  <c r="L105" i="8"/>
  <c r="M105" i="8" s="1"/>
  <c r="L106" i="8"/>
  <c r="M106" i="8" s="1"/>
  <c r="F104" i="8"/>
  <c r="C104" i="8"/>
  <c r="L104" i="8"/>
  <c r="M104" i="8" s="1"/>
  <c r="F344" i="3"/>
  <c r="F345" i="3"/>
  <c r="F346" i="3"/>
  <c r="F347" i="3"/>
  <c r="F348" i="3"/>
  <c r="F349" i="3"/>
  <c r="F350" i="3"/>
  <c r="L102" i="8"/>
  <c r="L103" i="8"/>
  <c r="M103" i="8" s="1"/>
  <c r="F102" i="8"/>
  <c r="F103" i="8"/>
  <c r="C102" i="8"/>
  <c r="C103" i="8"/>
  <c r="L343" i="3"/>
  <c r="L344" i="3"/>
  <c r="L345" i="3"/>
  <c r="L346" i="3"/>
  <c r="L347" i="3"/>
  <c r="L348" i="3"/>
  <c r="L349" i="3"/>
  <c r="L350" i="3"/>
  <c r="K343" i="3"/>
  <c r="K344" i="3"/>
  <c r="K345" i="3"/>
  <c r="K346" i="3"/>
  <c r="K347" i="3"/>
  <c r="K348" i="3"/>
  <c r="K349" i="3"/>
  <c r="K350" i="3"/>
  <c r="F343" i="3"/>
  <c r="C343" i="3"/>
  <c r="C344" i="3"/>
  <c r="C345" i="3"/>
  <c r="C346" i="3"/>
  <c r="C347" i="3"/>
  <c r="C348" i="3"/>
  <c r="C349" i="3"/>
  <c r="C350" i="3"/>
  <c r="L339" i="3"/>
  <c r="L340" i="3"/>
  <c r="L341" i="3"/>
  <c r="L342" i="3"/>
  <c r="K339" i="3"/>
  <c r="K340" i="3"/>
  <c r="K341" i="3"/>
  <c r="K342" i="3"/>
  <c r="F339" i="3"/>
  <c r="F340" i="3"/>
  <c r="F341" i="3"/>
  <c r="F342" i="3"/>
  <c r="C339" i="3"/>
  <c r="C340" i="3"/>
  <c r="C341" i="3"/>
  <c r="C342" i="3"/>
  <c r="L336" i="3"/>
  <c r="L337" i="3"/>
  <c r="L338" i="3"/>
  <c r="K336" i="3"/>
  <c r="K337" i="3"/>
  <c r="K338" i="3"/>
  <c r="F336" i="3"/>
  <c r="F337" i="3"/>
  <c r="F338" i="3"/>
  <c r="C336" i="3"/>
  <c r="C337" i="3"/>
  <c r="C338" i="3"/>
  <c r="C331" i="3"/>
  <c r="L330" i="3"/>
  <c r="L331" i="3"/>
  <c r="L332" i="3"/>
  <c r="L333" i="3"/>
  <c r="L334" i="3"/>
  <c r="L335" i="3"/>
  <c r="K330" i="3"/>
  <c r="K331" i="3"/>
  <c r="K332" i="3"/>
  <c r="K333" i="3"/>
  <c r="K334" i="3"/>
  <c r="K335" i="3"/>
  <c r="F330" i="3"/>
  <c r="F331" i="3"/>
  <c r="F332" i="3"/>
  <c r="F333" i="3"/>
  <c r="F334" i="3"/>
  <c r="F335" i="3"/>
  <c r="C330" i="3"/>
  <c r="C332" i="3"/>
  <c r="C333" i="3"/>
  <c r="C334" i="3"/>
  <c r="C335" i="3"/>
  <c r="L323" i="3"/>
  <c r="L324" i="3"/>
  <c r="L325" i="3"/>
  <c r="L326" i="3"/>
  <c r="L327" i="3"/>
  <c r="L328" i="3"/>
  <c r="L329" i="3"/>
  <c r="K323" i="3"/>
  <c r="K324" i="3"/>
  <c r="K325" i="3"/>
  <c r="K326" i="3"/>
  <c r="K327" i="3"/>
  <c r="K328" i="3"/>
  <c r="K329" i="3"/>
  <c r="F323" i="3"/>
  <c r="F324" i="3"/>
  <c r="F325" i="3"/>
  <c r="F326" i="3"/>
  <c r="F327" i="3"/>
  <c r="F328" i="3"/>
  <c r="F329" i="3"/>
  <c r="C323" i="3"/>
  <c r="C324" i="3"/>
  <c r="C325" i="3"/>
  <c r="C326" i="3"/>
  <c r="C327" i="3"/>
  <c r="C328" i="3"/>
  <c r="C329" i="3"/>
  <c r="L322" i="3"/>
  <c r="K322" i="3"/>
  <c r="F322" i="3"/>
  <c r="C322" i="3"/>
  <c r="F209" i="3"/>
  <c r="M107" i="8"/>
  <c r="M108" i="8"/>
  <c r="M110" i="8"/>
  <c r="M333" i="3"/>
  <c r="M343" i="3"/>
  <c r="M350" i="3"/>
  <c r="M342" i="3"/>
  <c r="M337" i="3"/>
  <c r="M102" i="8"/>
  <c r="M349" i="3"/>
  <c r="M348" i="3"/>
  <c r="M347" i="3"/>
  <c r="M346" i="3"/>
  <c r="M345" i="3"/>
  <c r="M344" i="3"/>
  <c r="M341" i="3"/>
  <c r="M340" i="3"/>
  <c r="M339" i="3"/>
  <c r="M335" i="3"/>
  <c r="M336" i="3"/>
  <c r="M338" i="3"/>
  <c r="M329" i="3"/>
  <c r="M334" i="3"/>
  <c r="M332" i="3"/>
  <c r="M331" i="3"/>
  <c r="M330" i="3"/>
  <c r="M328" i="3"/>
  <c r="M327" i="3"/>
  <c r="M325" i="3"/>
  <c r="M326" i="3"/>
  <c r="M324" i="3"/>
  <c r="M323" i="3"/>
  <c r="M322" i="3"/>
  <c r="F97" i="8"/>
  <c r="J23" i="11"/>
  <c r="B23" i="11"/>
  <c r="J22" i="11"/>
  <c r="B22" i="11"/>
  <c r="J21" i="11"/>
  <c r="B21" i="11"/>
  <c r="J20" i="11"/>
  <c r="B20" i="11"/>
  <c r="J19" i="11"/>
  <c r="B19" i="11"/>
  <c r="J18" i="11"/>
  <c r="B18" i="11"/>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J23" i="10"/>
  <c r="B23" i="10"/>
  <c r="J22" i="10"/>
  <c r="B22" i="10"/>
  <c r="J21" i="10"/>
  <c r="B21" i="10"/>
  <c r="J20" i="10"/>
  <c r="B20" i="10"/>
  <c r="J19" i="10"/>
  <c r="B19" i="10"/>
  <c r="J18" i="10"/>
  <c r="B18" i="10"/>
  <c r="F321" i="3"/>
  <c r="C321" i="3"/>
  <c r="L321" i="3"/>
  <c r="F320" i="3"/>
  <c r="C320" i="3"/>
  <c r="L320" i="3"/>
  <c r="F319" i="3"/>
  <c r="C319" i="3"/>
  <c r="L319" i="3"/>
  <c r="F318" i="3"/>
  <c r="C318" i="3"/>
  <c r="L318" i="3"/>
  <c r="F317" i="3"/>
  <c r="C317" i="3"/>
  <c r="L317" i="3"/>
  <c r="B18" i="5"/>
  <c r="C84" i="8"/>
  <c r="C85" i="8"/>
  <c r="C86" i="8"/>
  <c r="C87" i="8"/>
  <c r="C88" i="8"/>
  <c r="C89" i="8"/>
  <c r="C90" i="8"/>
  <c r="C91" i="8"/>
  <c r="C92" i="8"/>
  <c r="C93" i="8"/>
  <c r="C94" i="8"/>
  <c r="C95" i="8"/>
  <c r="C96" i="8"/>
  <c r="C97" i="8"/>
  <c r="C98" i="8"/>
  <c r="C99" i="8"/>
  <c r="C100" i="8"/>
  <c r="C101" i="8"/>
  <c r="F84" i="8"/>
  <c r="F85" i="8"/>
  <c r="F86" i="8"/>
  <c r="F87" i="8"/>
  <c r="F88" i="8"/>
  <c r="F89" i="8"/>
  <c r="F90" i="8"/>
  <c r="F91" i="8"/>
  <c r="F92" i="8"/>
  <c r="F93" i="8"/>
  <c r="F94" i="8"/>
  <c r="F95" i="8"/>
  <c r="F96" i="8"/>
  <c r="F98" i="8"/>
  <c r="F99" i="8"/>
  <c r="F100" i="8"/>
  <c r="F101" i="8"/>
  <c r="L84" i="8"/>
  <c r="M84" i="8" s="1"/>
  <c r="L85" i="8"/>
  <c r="M85" i="8" s="1"/>
  <c r="L86" i="8"/>
  <c r="L87" i="8"/>
  <c r="M87" i="8"/>
  <c r="L88" i="8"/>
  <c r="M88" i="8"/>
  <c r="L89" i="8"/>
  <c r="M89" i="8"/>
  <c r="L90" i="8"/>
  <c r="M90" i="8" s="1"/>
  <c r="L91" i="8"/>
  <c r="M91" i="8"/>
  <c r="L92" i="8"/>
  <c r="M92" i="8" s="1"/>
  <c r="L93" i="8"/>
  <c r="M93" i="8" s="1"/>
  <c r="L94" i="8"/>
  <c r="M94" i="8" s="1"/>
  <c r="L95" i="8"/>
  <c r="M95" i="8" s="1"/>
  <c r="L96" i="8"/>
  <c r="M96" i="8"/>
  <c r="L97" i="8"/>
  <c r="M97" i="8" s="1"/>
  <c r="L98" i="8"/>
  <c r="M98" i="8" s="1"/>
  <c r="L99" i="8"/>
  <c r="M99" i="8"/>
  <c r="L100" i="8"/>
  <c r="M100" i="8" s="1"/>
  <c r="L101" i="8"/>
  <c r="M86" i="8"/>
  <c r="C83" i="8"/>
  <c r="F83" i="8"/>
  <c r="L83" i="8"/>
  <c r="M83" i="8" s="1"/>
  <c r="F316" i="3"/>
  <c r="C316" i="3"/>
  <c r="L316" i="3"/>
  <c r="F315" i="3"/>
  <c r="C315" i="3"/>
  <c r="L315" i="3"/>
  <c r="M315" i="3"/>
  <c r="F314" i="3"/>
  <c r="C314" i="3"/>
  <c r="L314" i="3"/>
  <c r="F313" i="3"/>
  <c r="C313" i="3"/>
  <c r="L313" i="3"/>
  <c r="F312" i="3"/>
  <c r="C312" i="3"/>
  <c r="L312" i="3"/>
  <c r="F311" i="3"/>
  <c r="C311" i="3"/>
  <c r="L311" i="3"/>
  <c r="F310" i="3"/>
  <c r="C310" i="3"/>
  <c r="L310" i="3"/>
  <c r="F309" i="3"/>
  <c r="C309" i="3"/>
  <c r="L309" i="3"/>
  <c r="M309" i="3"/>
  <c r="C308" i="3"/>
  <c r="F308" i="3"/>
  <c r="L308" i="3"/>
  <c r="C73" i="8"/>
  <c r="C74" i="8"/>
  <c r="C75" i="8"/>
  <c r="C76" i="8"/>
  <c r="C77" i="8"/>
  <c r="C78" i="8"/>
  <c r="C79" i="8"/>
  <c r="C80" i="8"/>
  <c r="C81" i="8"/>
  <c r="C82" i="8"/>
  <c r="F73" i="8"/>
  <c r="F74" i="8"/>
  <c r="F75" i="8"/>
  <c r="F76" i="8"/>
  <c r="F77" i="8"/>
  <c r="F78" i="8"/>
  <c r="F79" i="8"/>
  <c r="F80" i="8"/>
  <c r="F81" i="8"/>
  <c r="F82" i="8"/>
  <c r="L73" i="8"/>
  <c r="M73" i="8"/>
  <c r="L74" i="8"/>
  <c r="M74" i="8" s="1"/>
  <c r="L75" i="8"/>
  <c r="M75" i="8" s="1"/>
  <c r="L76" i="8"/>
  <c r="M76" i="8" s="1"/>
  <c r="L77" i="8"/>
  <c r="M77" i="8" s="1"/>
  <c r="L78" i="8"/>
  <c r="M78" i="8" s="1"/>
  <c r="L79" i="8"/>
  <c r="M79" i="8" s="1"/>
  <c r="L80" i="8"/>
  <c r="M80" i="8" s="1"/>
  <c r="L81" i="8"/>
  <c r="M81" i="8" s="1"/>
  <c r="L82" i="8"/>
  <c r="M82" i="8" s="1"/>
  <c r="C61" i="8"/>
  <c r="C62" i="8"/>
  <c r="C63" i="8"/>
  <c r="C64" i="8"/>
  <c r="C65" i="8"/>
  <c r="C66" i="8"/>
  <c r="C67" i="8"/>
  <c r="C68" i="8"/>
  <c r="C69" i="8"/>
  <c r="C70" i="8"/>
  <c r="C71" i="8"/>
  <c r="C72" i="8"/>
  <c r="F61" i="8"/>
  <c r="F62" i="8"/>
  <c r="F63" i="8"/>
  <c r="F64" i="8"/>
  <c r="F65" i="8"/>
  <c r="F66" i="8"/>
  <c r="F67" i="8"/>
  <c r="F68" i="8"/>
  <c r="F69" i="8"/>
  <c r="F70" i="8"/>
  <c r="F71" i="8"/>
  <c r="F72" i="8"/>
  <c r="L61" i="8"/>
  <c r="M61" i="8" s="1"/>
  <c r="L62" i="8"/>
  <c r="M62" i="8" s="1"/>
  <c r="L63" i="8"/>
  <c r="M63" i="8" s="1"/>
  <c r="L64" i="8"/>
  <c r="M64" i="8" s="1"/>
  <c r="L65" i="8"/>
  <c r="M65" i="8" s="1"/>
  <c r="L66" i="8"/>
  <c r="M66" i="8" s="1"/>
  <c r="L67" i="8"/>
  <c r="M67" i="8" s="1"/>
  <c r="L68" i="8"/>
  <c r="M68" i="8" s="1"/>
  <c r="L69" i="8"/>
  <c r="M69" i="8" s="1"/>
  <c r="L70" i="8"/>
  <c r="M70" i="8" s="1"/>
  <c r="L71" i="8"/>
  <c r="M71" i="8" s="1"/>
  <c r="L72" i="8"/>
  <c r="M72" i="8"/>
  <c r="C37" i="8"/>
  <c r="C54" i="8"/>
  <c r="C55" i="8"/>
  <c r="C56" i="8"/>
  <c r="C57" i="8"/>
  <c r="C58" i="8"/>
  <c r="C59" i="8"/>
  <c r="C60" i="8"/>
  <c r="F54" i="8"/>
  <c r="F55" i="8"/>
  <c r="F56" i="8"/>
  <c r="F57" i="8"/>
  <c r="F58" i="8"/>
  <c r="F59" i="8"/>
  <c r="F60" i="8"/>
  <c r="L54" i="8"/>
  <c r="M54" i="8" s="1"/>
  <c r="L55" i="8"/>
  <c r="M55" i="8"/>
  <c r="L56" i="8"/>
  <c r="M56" i="8"/>
  <c r="L57" i="8"/>
  <c r="M57" i="8"/>
  <c r="L58" i="8"/>
  <c r="M58" i="8"/>
  <c r="L59" i="8"/>
  <c r="M59" i="8" s="1"/>
  <c r="L60" i="8"/>
  <c r="M60" i="8" s="1"/>
  <c r="C47" i="8"/>
  <c r="C48" i="8"/>
  <c r="C49" i="8"/>
  <c r="C50" i="8"/>
  <c r="C51" i="8"/>
  <c r="C52" i="8"/>
  <c r="C53" i="8"/>
  <c r="F47" i="8"/>
  <c r="F48" i="8"/>
  <c r="F49" i="8"/>
  <c r="F50" i="8"/>
  <c r="F51" i="8"/>
  <c r="F52" i="8"/>
  <c r="F53" i="8"/>
  <c r="L47" i="8"/>
  <c r="M47" i="8" s="1"/>
  <c r="L48" i="8"/>
  <c r="M48" i="8"/>
  <c r="L49" i="8"/>
  <c r="M49" i="8"/>
  <c r="L50" i="8"/>
  <c r="M50" i="8"/>
  <c r="L51" i="8"/>
  <c r="M51" i="8"/>
  <c r="L52" i="8"/>
  <c r="M52" i="8"/>
  <c r="L53" i="8"/>
  <c r="M53" i="8"/>
  <c r="C38" i="8"/>
  <c r="C39" i="8"/>
  <c r="C40" i="8"/>
  <c r="C41" i="8"/>
  <c r="C42" i="8"/>
  <c r="C43" i="8"/>
  <c r="C44" i="8"/>
  <c r="C45" i="8"/>
  <c r="C46" i="8"/>
  <c r="F37" i="8"/>
  <c r="F38" i="8"/>
  <c r="F39" i="8"/>
  <c r="F40" i="8"/>
  <c r="F41" i="8"/>
  <c r="F42" i="8"/>
  <c r="F43" i="8"/>
  <c r="F44" i="8"/>
  <c r="F45" i="8"/>
  <c r="F46" i="8"/>
  <c r="L37" i="8"/>
  <c r="M37" i="8"/>
  <c r="L38" i="8"/>
  <c r="M38" i="8"/>
  <c r="L39" i="8"/>
  <c r="M39" i="8"/>
  <c r="L40" i="8"/>
  <c r="M40" i="8"/>
  <c r="L41" i="8"/>
  <c r="M41" i="8"/>
  <c r="L42" i="8"/>
  <c r="M42" i="8"/>
  <c r="L43" i="8"/>
  <c r="M43" i="8"/>
  <c r="L44" i="8"/>
  <c r="M44" i="8"/>
  <c r="L45" i="8"/>
  <c r="M45" i="8"/>
  <c r="L46" i="8"/>
  <c r="M46" i="8"/>
  <c r="C34" i="8"/>
  <c r="C35" i="8"/>
  <c r="C36" i="8"/>
  <c r="F34" i="8"/>
  <c r="F35" i="8"/>
  <c r="F36" i="8"/>
  <c r="L34" i="8"/>
  <c r="M34" i="8"/>
  <c r="L35" i="8"/>
  <c r="M35" i="8"/>
  <c r="L36" i="8"/>
  <c r="M36" i="8"/>
  <c r="L33" i="8"/>
  <c r="F33" i="8"/>
  <c r="C33" i="8"/>
  <c r="C32" i="8"/>
  <c r="F32" i="8"/>
  <c r="L32" i="8"/>
  <c r="M32" i="8"/>
  <c r="C8" i="8"/>
  <c r="C9" i="8"/>
  <c r="C10" i="8"/>
  <c r="C11" i="8"/>
  <c r="C12" i="8"/>
  <c r="C13" i="8"/>
  <c r="C14" i="8"/>
  <c r="C15" i="8"/>
  <c r="C16" i="8"/>
  <c r="C17" i="8"/>
  <c r="C18" i="8"/>
  <c r="C19" i="8"/>
  <c r="C20" i="8"/>
  <c r="C21" i="8"/>
  <c r="C22" i="8"/>
  <c r="C23" i="8"/>
  <c r="C24" i="8"/>
  <c r="C25" i="8"/>
  <c r="C26" i="8"/>
  <c r="C27" i="8"/>
  <c r="C28" i="8"/>
  <c r="C29" i="8"/>
  <c r="C30" i="8"/>
  <c r="C31" i="8"/>
  <c r="F8" i="8"/>
  <c r="F9" i="8"/>
  <c r="F10" i="8"/>
  <c r="F11" i="8"/>
  <c r="F12" i="8"/>
  <c r="F13" i="8"/>
  <c r="F14" i="8"/>
  <c r="F15" i="8"/>
  <c r="F16" i="8"/>
  <c r="F17" i="8"/>
  <c r="F18" i="8"/>
  <c r="F19" i="8"/>
  <c r="F20" i="8"/>
  <c r="F21" i="8"/>
  <c r="F22" i="8"/>
  <c r="F23" i="8"/>
  <c r="F24" i="8"/>
  <c r="F25" i="8"/>
  <c r="F26" i="8"/>
  <c r="F27" i="8"/>
  <c r="F28" i="8"/>
  <c r="F29" i="8"/>
  <c r="F30" i="8"/>
  <c r="F31" i="8"/>
  <c r="L8" i="8"/>
  <c r="L9" i="8"/>
  <c r="M9" i="8"/>
  <c r="L10" i="8"/>
  <c r="M10" i="8"/>
  <c r="L11" i="8"/>
  <c r="M11" i="8"/>
  <c r="L12" i="8"/>
  <c r="M12" i="8"/>
  <c r="L13" i="8"/>
  <c r="M13" i="8"/>
  <c r="L14" i="8"/>
  <c r="M14" i="8"/>
  <c r="L15" i="8"/>
  <c r="M15" i="8"/>
  <c r="L16" i="8"/>
  <c r="M16" i="8"/>
  <c r="L17" i="8"/>
  <c r="M17" i="8"/>
  <c r="L18" i="8"/>
  <c r="M18" i="8"/>
  <c r="L19" i="8"/>
  <c r="M19" i="8"/>
  <c r="L20" i="8"/>
  <c r="M20" i="8"/>
  <c r="L21" i="8"/>
  <c r="M21" i="8"/>
  <c r="L22" i="8"/>
  <c r="M22" i="8"/>
  <c r="L23" i="8"/>
  <c r="M23" i="8"/>
  <c r="L24" i="8"/>
  <c r="M24" i="8"/>
  <c r="L25" i="8"/>
  <c r="M25" i="8"/>
  <c r="L26" i="8"/>
  <c r="M26" i="8"/>
  <c r="L27" i="8"/>
  <c r="M27" i="8"/>
  <c r="L28" i="8"/>
  <c r="M28" i="8"/>
  <c r="L29" i="8"/>
  <c r="M29" i="8"/>
  <c r="L30" i="8"/>
  <c r="M30" i="8"/>
  <c r="L31" i="8"/>
  <c r="M31" i="8"/>
  <c r="M8" i="8"/>
  <c r="C7" i="8"/>
  <c r="F7" i="8"/>
  <c r="L7" i="8"/>
  <c r="M7" i="8"/>
  <c r="C6" i="8"/>
  <c r="F6" i="8"/>
  <c r="L6" i="8"/>
  <c r="M6" i="8"/>
  <c r="F5" i="8"/>
  <c r="C5" i="8"/>
  <c r="L5" i="8"/>
  <c r="M5" i="8" s="1"/>
  <c r="L4" i="8"/>
  <c r="M4" i="8" s="1"/>
  <c r="F2" i="8"/>
  <c r="C4" i="8"/>
  <c r="F4" i="8"/>
  <c r="C3" i="8"/>
  <c r="F3" i="8"/>
  <c r="L3" i="8"/>
  <c r="L2" i="8"/>
  <c r="C2" i="8"/>
  <c r="F307" i="3"/>
  <c r="F306" i="3"/>
  <c r="B6" i="1"/>
  <c r="F305" i="3"/>
  <c r="F304" i="3"/>
  <c r="F303" i="3"/>
  <c r="F302" i="3"/>
  <c r="L304" i="3"/>
  <c r="L305" i="3"/>
  <c r="L306" i="3"/>
  <c r="L307" i="3"/>
  <c r="C304" i="3"/>
  <c r="C305" i="3"/>
  <c r="C306" i="3"/>
  <c r="C307" i="3"/>
  <c r="F301" i="3"/>
  <c r="F300" i="3"/>
  <c r="F299" i="3"/>
  <c r="F298" i="3"/>
  <c r="F297" i="3"/>
  <c r="F296" i="3"/>
  <c r="F295" i="3"/>
  <c r="F294" i="3"/>
  <c r="F293" i="3"/>
  <c r="F292" i="3"/>
  <c r="F291" i="3"/>
  <c r="F290" i="3"/>
  <c r="J23" i="7"/>
  <c r="B23" i="7"/>
  <c r="J22" i="7"/>
  <c r="B22" i="7"/>
  <c r="J21" i="7"/>
  <c r="B21" i="7"/>
  <c r="J20" i="7"/>
  <c r="B20" i="7"/>
  <c r="J19" i="7"/>
  <c r="B19" i="7"/>
  <c r="J18" i="7"/>
  <c r="B18" i="7"/>
  <c r="F289" i="3"/>
  <c r="F288" i="3"/>
  <c r="F287" i="3"/>
  <c r="F286" i="3"/>
  <c r="F285" i="3"/>
  <c r="F284" i="3"/>
  <c r="F283" i="3"/>
  <c r="F282" i="3"/>
  <c r="F281" i="3"/>
  <c r="F280" i="3"/>
  <c r="F279" i="3"/>
  <c r="F278" i="3"/>
  <c r="F276" i="3"/>
  <c r="F275" i="3"/>
  <c r="F274" i="3"/>
  <c r="L287" i="3"/>
  <c r="L288" i="3"/>
  <c r="L289" i="3"/>
  <c r="L290" i="3"/>
  <c r="L291" i="3"/>
  <c r="L292" i="3"/>
  <c r="L293" i="3"/>
  <c r="L294" i="3"/>
  <c r="L295" i="3"/>
  <c r="L296" i="3"/>
  <c r="L297" i="3"/>
  <c r="L298" i="3"/>
  <c r="L299" i="3"/>
  <c r="L300" i="3"/>
  <c r="L301" i="3"/>
  <c r="L302" i="3"/>
  <c r="L303" i="3"/>
  <c r="C287" i="3"/>
  <c r="C288" i="3"/>
  <c r="C289" i="3"/>
  <c r="C290" i="3"/>
  <c r="C291" i="3"/>
  <c r="C292" i="3"/>
  <c r="C293" i="3"/>
  <c r="C294" i="3"/>
  <c r="C295" i="3"/>
  <c r="C296" i="3"/>
  <c r="C297" i="3"/>
  <c r="C298" i="3"/>
  <c r="C299" i="3"/>
  <c r="C300" i="3"/>
  <c r="C301" i="3"/>
  <c r="C302" i="3"/>
  <c r="C303" i="3"/>
  <c r="L286" i="3"/>
  <c r="C286" i="3"/>
  <c r="L285" i="3"/>
  <c r="C285" i="3"/>
  <c r="L284" i="3"/>
  <c r="C284" i="3"/>
  <c r="F273" i="3"/>
  <c r="F272" i="3"/>
  <c r="F271" i="3"/>
  <c r="C283" i="3"/>
  <c r="L283" i="3"/>
  <c r="M283" i="3"/>
  <c r="C270" i="3"/>
  <c r="C271" i="3"/>
  <c r="C272" i="3"/>
  <c r="C273" i="3"/>
  <c r="C274" i="3"/>
  <c r="C275" i="3"/>
  <c r="C276" i="3"/>
  <c r="C277" i="3"/>
  <c r="C278" i="3"/>
  <c r="C279" i="3"/>
  <c r="C280" i="3"/>
  <c r="C281" i="3"/>
  <c r="C282" i="3"/>
  <c r="F277" i="3"/>
  <c r="L271" i="3"/>
  <c r="L272" i="3"/>
  <c r="L273" i="3"/>
  <c r="L274" i="3"/>
  <c r="L275" i="3"/>
  <c r="M275" i="3"/>
  <c r="L276" i="3"/>
  <c r="L277" i="3"/>
  <c r="L278" i="3"/>
  <c r="L279" i="3"/>
  <c r="L280" i="3"/>
  <c r="L281" i="3"/>
  <c r="L282" i="3"/>
  <c r="F270" i="3"/>
  <c r="L270" i="3"/>
  <c r="F269" i="3"/>
  <c r="F268" i="3"/>
  <c r="F267" i="3"/>
  <c r="F266" i="3"/>
  <c r="F265" i="3"/>
  <c r="F264" i="3"/>
  <c r="F263" i="3"/>
  <c r="F262" i="3"/>
  <c r="F261" i="3"/>
  <c r="F260" i="3"/>
  <c r="F259" i="3"/>
  <c r="F258" i="3"/>
  <c r="F257" i="3"/>
  <c r="F256" i="3"/>
  <c r="F255" i="3"/>
  <c r="E252" i="3"/>
  <c r="L252" i="3"/>
  <c r="F251" i="3"/>
  <c r="F250" i="3"/>
  <c r="E246" i="3"/>
  <c r="L246"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F245"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L245" i="3"/>
  <c r="M245" i="3"/>
  <c r="L250" i="3"/>
  <c r="M250" i="3"/>
  <c r="L251" i="3"/>
  <c r="M251" i="3"/>
  <c r="L255" i="3"/>
  <c r="L256" i="3"/>
  <c r="L257" i="3"/>
  <c r="L258" i="3"/>
  <c r="M258" i="3"/>
  <c r="L259" i="3"/>
  <c r="M259" i="3"/>
  <c r="L260" i="3"/>
  <c r="M260" i="3"/>
  <c r="L261" i="3"/>
  <c r="M261" i="3"/>
  <c r="L262" i="3"/>
  <c r="L263" i="3"/>
  <c r="L264" i="3"/>
  <c r="L265" i="3"/>
  <c r="L266" i="3"/>
  <c r="M266" i="3"/>
  <c r="L267" i="3"/>
  <c r="M267" i="3"/>
  <c r="L268" i="3"/>
  <c r="M268" i="3"/>
  <c r="L269" i="3"/>
  <c r="M269" i="3"/>
  <c r="C244" i="3"/>
  <c r="F244" i="3"/>
  <c r="L244" i="3"/>
  <c r="M244" i="3"/>
  <c r="C243" i="3"/>
  <c r="F243" i="3"/>
  <c r="L243" i="3"/>
  <c r="M243" i="3"/>
  <c r="C242" i="3"/>
  <c r="F242" i="3"/>
  <c r="L242" i="3"/>
  <c r="M242" i="3"/>
  <c r="C241" i="3"/>
  <c r="F241" i="3"/>
  <c r="L241" i="3"/>
  <c r="C240" i="3"/>
  <c r="F240" i="3"/>
  <c r="L240" i="3"/>
  <c r="C239" i="3"/>
  <c r="F239" i="3"/>
  <c r="L239" i="3"/>
  <c r="C238" i="3"/>
  <c r="F238" i="3"/>
  <c r="L238" i="3"/>
  <c r="F237" i="3"/>
  <c r="C237" i="3"/>
  <c r="L237" i="3"/>
  <c r="M237" i="3"/>
  <c r="C236" i="3"/>
  <c r="F236" i="3"/>
  <c r="L236" i="3"/>
  <c r="M236" i="3"/>
  <c r="C235" i="3"/>
  <c r="F235" i="3"/>
  <c r="L235" i="3"/>
  <c r="M235" i="3"/>
  <c r="C234" i="3"/>
  <c r="F234" i="3"/>
  <c r="L234" i="3"/>
  <c r="M234" i="3"/>
  <c r="C233" i="3"/>
  <c r="F233" i="3"/>
  <c r="L233" i="3"/>
  <c r="C232" i="3"/>
  <c r="F232" i="3"/>
  <c r="L232" i="3"/>
  <c r="C231" i="3"/>
  <c r="F231" i="3"/>
  <c r="L231" i="3"/>
  <c r="C230" i="3"/>
  <c r="F230" i="3"/>
  <c r="L230" i="3"/>
  <c r="C229" i="3"/>
  <c r="F229" i="3"/>
  <c r="L229" i="3"/>
  <c r="M229" i="3"/>
  <c r="C228" i="3"/>
  <c r="F228" i="3"/>
  <c r="L228" i="3"/>
  <c r="C227" i="3"/>
  <c r="F227" i="3"/>
  <c r="L227" i="3"/>
  <c r="M227" i="3"/>
  <c r="C226" i="3"/>
  <c r="F226" i="3"/>
  <c r="L226" i="3"/>
  <c r="M226" i="3"/>
  <c r="C225" i="3"/>
  <c r="F225" i="3"/>
  <c r="L225" i="3"/>
  <c r="C224" i="3"/>
  <c r="F224" i="3"/>
  <c r="L224" i="3"/>
  <c r="L223" i="3"/>
  <c r="F223" i="3"/>
  <c r="C223" i="3"/>
  <c r="C222" i="3"/>
  <c r="F222" i="3"/>
  <c r="L222" i="3"/>
  <c r="C221" i="3"/>
  <c r="F221" i="3"/>
  <c r="L221" i="3"/>
  <c r="M221" i="3"/>
  <c r="C220" i="3"/>
  <c r="F220" i="3"/>
  <c r="L220" i="3"/>
  <c r="C219" i="3"/>
  <c r="F219" i="3"/>
  <c r="L219" i="3"/>
  <c r="M219" i="3"/>
  <c r="C218" i="3"/>
  <c r="F218" i="3"/>
  <c r="L218" i="3"/>
  <c r="M218" i="3"/>
  <c r="C217" i="3"/>
  <c r="F217" i="3"/>
  <c r="L217" i="3"/>
  <c r="C216" i="3"/>
  <c r="F216" i="3"/>
  <c r="L216" i="3"/>
  <c r="L2" i="3"/>
  <c r="L3" i="3"/>
  <c r="L4" i="3"/>
  <c r="L5" i="3"/>
  <c r="L6" i="3"/>
  <c r="L7" i="3"/>
  <c r="L8" i="3"/>
  <c r="L9" i="3"/>
  <c r="L10" i="3"/>
  <c r="L11" i="3"/>
  <c r="L12" i="3"/>
  <c r="L13" i="3"/>
  <c r="L14" i="3"/>
  <c r="L15" i="3"/>
  <c r="L16" i="3"/>
  <c r="L17" i="3"/>
  <c r="L18" i="3"/>
  <c r="L19" i="3"/>
  <c r="L20" i="3"/>
  <c r="L21" i="3"/>
  <c r="L22" i="3"/>
  <c r="L66" i="3"/>
  <c r="L79"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F214" i="3"/>
  <c r="F213" i="3"/>
  <c r="F212" i="3"/>
  <c r="F205" i="3"/>
  <c r="F204" i="3"/>
  <c r="F203" i="3"/>
  <c r="C212" i="3"/>
  <c r="C213" i="3"/>
  <c r="C214" i="3"/>
  <c r="C215" i="3"/>
  <c r="F215" i="3"/>
  <c r="C204" i="3"/>
  <c r="C205" i="3"/>
  <c r="C206" i="3"/>
  <c r="C207" i="3"/>
  <c r="C208" i="3"/>
  <c r="C209" i="3"/>
  <c r="C210" i="3"/>
  <c r="C211" i="3"/>
  <c r="F206" i="3"/>
  <c r="F207" i="3"/>
  <c r="F208" i="3"/>
  <c r="F210" i="3"/>
  <c r="F211" i="3"/>
  <c r="C201" i="3"/>
  <c r="C202" i="3"/>
  <c r="C203" i="3"/>
  <c r="F201" i="3"/>
  <c r="F202" i="3"/>
  <c r="C190" i="3"/>
  <c r="C191" i="3"/>
  <c r="C192" i="3"/>
  <c r="C193" i="3"/>
  <c r="C194" i="3"/>
  <c r="C195" i="3"/>
  <c r="C196" i="3"/>
  <c r="C197" i="3"/>
  <c r="C198" i="3"/>
  <c r="C199" i="3"/>
  <c r="C200" i="3"/>
  <c r="F190" i="3"/>
  <c r="F191" i="3"/>
  <c r="F192" i="3"/>
  <c r="F193" i="3"/>
  <c r="F194" i="3"/>
  <c r="F195" i="3"/>
  <c r="F196" i="3"/>
  <c r="F197" i="3"/>
  <c r="F198" i="3"/>
  <c r="F199" i="3"/>
  <c r="F200" i="3"/>
  <c r="C189" i="3"/>
  <c r="F189" i="3"/>
  <c r="C188" i="3"/>
  <c r="F188" i="3"/>
  <c r="C187" i="3"/>
  <c r="F187" i="3"/>
  <c r="C186" i="3"/>
  <c r="F186" i="3"/>
  <c r="C185" i="3"/>
  <c r="F185" i="3"/>
  <c r="C184" i="3"/>
  <c r="F184" i="3"/>
  <c r="C183" i="3"/>
  <c r="F183" i="3"/>
  <c r="C182" i="3"/>
  <c r="F182" i="3"/>
  <c r="C181" i="3"/>
  <c r="F181" i="3"/>
  <c r="C180" i="3"/>
  <c r="F180" i="3"/>
  <c r="C179" i="3"/>
  <c r="F179" i="3"/>
  <c r="C178" i="3"/>
  <c r="F178" i="3"/>
  <c r="C177" i="3"/>
  <c r="F177" i="3"/>
  <c r="C176" i="3"/>
  <c r="F176" i="3"/>
  <c r="C175" i="3"/>
  <c r="F175" i="3"/>
  <c r="C174" i="3"/>
  <c r="F174" i="3"/>
  <c r="C173" i="3"/>
  <c r="F173" i="3"/>
  <c r="C172" i="3"/>
  <c r="F172" i="3"/>
  <c r="C171" i="3"/>
  <c r="F171" i="3"/>
  <c r="C170" i="3"/>
  <c r="F170" i="3"/>
  <c r="C169" i="3"/>
  <c r="F169" i="3"/>
  <c r="F168" i="3"/>
  <c r="C168" i="3"/>
  <c r="C167" i="3"/>
  <c r="F167" i="3"/>
  <c r="C166" i="3"/>
  <c r="F166" i="3"/>
  <c r="C165" i="3"/>
  <c r="F165" i="3"/>
  <c r="C164" i="3"/>
  <c r="F164" i="3"/>
  <c r="C163" i="3"/>
  <c r="F163" i="3"/>
  <c r="C162" i="3"/>
  <c r="F162" i="3"/>
  <c r="C161" i="3"/>
  <c r="F161" i="3"/>
  <c r="C160" i="3"/>
  <c r="F160" i="3"/>
  <c r="F159" i="3"/>
  <c r="C159" i="3"/>
  <c r="C158" i="3"/>
  <c r="F158" i="3"/>
  <c r="C157" i="3"/>
  <c r="F157" i="3"/>
  <c r="F156" i="3"/>
  <c r="C156" i="3"/>
  <c r="M216" i="3"/>
  <c r="M273" i="3"/>
  <c r="M233" i="3"/>
  <c r="M314" i="3"/>
  <c r="M282" i="3"/>
  <c r="M274" i="3"/>
  <c r="M317" i="3"/>
  <c r="M222" i="3"/>
  <c r="M238" i="3"/>
  <c r="M230" i="3"/>
  <c r="M277" i="3"/>
  <c r="M320" i="3"/>
  <c r="M312" i="3"/>
  <c r="M252" i="3"/>
  <c r="M308" i="3"/>
  <c r="M316" i="3"/>
  <c r="M318" i="3"/>
  <c r="M246" i="3"/>
  <c r="M310" i="3"/>
  <c r="M262" i="3"/>
  <c r="M278" i="3"/>
  <c r="M270" i="3"/>
  <c r="M231" i="3"/>
  <c r="M263" i="3"/>
  <c r="M255" i="3"/>
  <c r="M279" i="3"/>
  <c r="M271" i="3"/>
  <c r="M240" i="3"/>
  <c r="M232" i="3"/>
  <c r="M224" i="3"/>
  <c r="M319" i="3"/>
  <c r="M311" i="3"/>
  <c r="M239" i="3"/>
  <c r="M276" i="3"/>
  <c r="M220" i="3"/>
  <c r="M321" i="3"/>
  <c r="M313" i="3"/>
  <c r="M281" i="3"/>
  <c r="M265" i="3"/>
  <c r="M257" i="3"/>
  <c r="M241" i="3"/>
  <c r="M225" i="3"/>
  <c r="M217" i="3"/>
  <c r="M280" i="3"/>
  <c r="M272" i="3"/>
  <c r="M264" i="3"/>
  <c r="M228" i="3"/>
  <c r="M256" i="3"/>
  <c r="M33" i="8"/>
  <c r="M3" i="8"/>
  <c r="M2" i="8"/>
  <c r="M307" i="3"/>
  <c r="M306" i="3"/>
  <c r="M305" i="3"/>
  <c r="M304" i="3"/>
  <c r="M303" i="3"/>
  <c r="M302" i="3"/>
  <c r="M301" i="3"/>
  <c r="M300" i="3"/>
  <c r="M299" i="3"/>
  <c r="M298" i="3"/>
  <c r="M297" i="3"/>
  <c r="M296" i="3"/>
  <c r="M295" i="3"/>
  <c r="M294" i="3"/>
  <c r="M293" i="3"/>
  <c r="M292" i="3"/>
  <c r="M291" i="3"/>
  <c r="M290" i="3"/>
  <c r="M289" i="3"/>
  <c r="M288" i="3"/>
  <c r="M287" i="3"/>
  <c r="M286" i="3"/>
  <c r="M284" i="3"/>
  <c r="M285" i="3"/>
  <c r="E247" i="3"/>
  <c r="F246" i="3"/>
  <c r="E253" i="3"/>
  <c r="F252" i="3"/>
  <c r="M223"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79" i="3"/>
  <c r="M66" i="3"/>
  <c r="M22" i="3"/>
  <c r="M21" i="3"/>
  <c r="M20" i="3"/>
  <c r="M19" i="3"/>
  <c r="M18" i="3"/>
  <c r="M17" i="3"/>
  <c r="M16" i="3"/>
  <c r="M15" i="3"/>
  <c r="M14" i="3"/>
  <c r="M13" i="3"/>
  <c r="M12" i="3"/>
  <c r="M11" i="3"/>
  <c r="M10" i="3"/>
  <c r="M9" i="3"/>
  <c r="M8" i="3"/>
  <c r="M7" i="3"/>
  <c r="M6" i="3"/>
  <c r="M5" i="3"/>
  <c r="M4" i="3"/>
  <c r="M3" i="3"/>
  <c r="M2" i="3"/>
  <c r="C155" i="3"/>
  <c r="F155" i="3"/>
  <c r="C154" i="3"/>
  <c r="F154" i="3"/>
  <c r="C153" i="3"/>
  <c r="F153" i="3"/>
  <c r="F152" i="3"/>
  <c r="C152" i="3"/>
  <c r="F151" i="3"/>
  <c r="C151" i="3"/>
  <c r="F150" i="3"/>
  <c r="C150" i="3"/>
  <c r="F149" i="3"/>
  <c r="C149" i="3"/>
  <c r="C148" i="3"/>
  <c r="F148" i="3"/>
  <c r="C147" i="3"/>
  <c r="F147" i="3"/>
  <c r="F146" i="3"/>
  <c r="C146" i="3"/>
  <c r="C145" i="3"/>
  <c r="F145" i="3"/>
  <c r="C144" i="3"/>
  <c r="F144" i="3"/>
  <c r="C143" i="3"/>
  <c r="F143" i="3"/>
  <c r="F142" i="3"/>
  <c r="C142" i="3"/>
  <c r="C141" i="3"/>
  <c r="F141" i="3"/>
  <c r="C140" i="3"/>
  <c r="F140" i="3"/>
  <c r="C139" i="3"/>
  <c r="F139" i="3"/>
  <c r="C138" i="3"/>
  <c r="F138" i="3"/>
  <c r="F137" i="3"/>
  <c r="C137" i="3"/>
  <c r="J23" i="5"/>
  <c r="B23" i="5"/>
  <c r="J22" i="5"/>
  <c r="B22" i="5"/>
  <c r="C136" i="3"/>
  <c r="F136" i="3"/>
  <c r="C126" i="3"/>
  <c r="C127" i="3"/>
  <c r="C128" i="3"/>
  <c r="C129" i="3"/>
  <c r="C130" i="3"/>
  <c r="C131" i="3"/>
  <c r="C132" i="3"/>
  <c r="C133" i="3"/>
  <c r="C134" i="3"/>
  <c r="C135" i="3"/>
  <c r="F126" i="3"/>
  <c r="F127" i="3"/>
  <c r="F128" i="3"/>
  <c r="F129" i="3"/>
  <c r="F130" i="3"/>
  <c r="F131" i="3"/>
  <c r="F132" i="3"/>
  <c r="F133" i="3"/>
  <c r="F134" i="3"/>
  <c r="F135" i="3"/>
  <c r="C121" i="3"/>
  <c r="C122" i="3"/>
  <c r="C123" i="3"/>
  <c r="C124" i="3"/>
  <c r="C125" i="3"/>
  <c r="F121" i="3"/>
  <c r="F122" i="3"/>
  <c r="F123" i="3"/>
  <c r="F124" i="3"/>
  <c r="F125" i="3"/>
  <c r="C120" i="3"/>
  <c r="F120" i="3"/>
  <c r="C118" i="3"/>
  <c r="C119" i="3"/>
  <c r="F118" i="3"/>
  <c r="F119" i="3"/>
  <c r="C115" i="3"/>
  <c r="C116" i="3"/>
  <c r="C117" i="3"/>
  <c r="F115" i="3"/>
  <c r="F116" i="3"/>
  <c r="F117" i="3"/>
  <c r="C114" i="3"/>
  <c r="F114" i="3"/>
  <c r="C113" i="3"/>
  <c r="F113" i="3"/>
  <c r="C112" i="3"/>
  <c r="F112" i="3"/>
  <c r="C111" i="3"/>
  <c r="F111" i="3"/>
  <c r="C110" i="3"/>
  <c r="F110" i="3"/>
  <c r="G108" i="3"/>
  <c r="G109" i="3"/>
  <c r="G110" i="3"/>
  <c r="F109" i="3"/>
  <c r="F108" i="3"/>
  <c r="C109" i="3"/>
  <c r="C108" i="3"/>
  <c r="C107" i="3"/>
  <c r="F107" i="3"/>
  <c r="C96" i="3"/>
  <c r="C97" i="3"/>
  <c r="C98" i="3"/>
  <c r="C99" i="3"/>
  <c r="C100" i="3"/>
  <c r="C101" i="3"/>
  <c r="C102" i="3"/>
  <c r="C103" i="3"/>
  <c r="C104" i="3"/>
  <c r="C105" i="3"/>
  <c r="C106" i="3"/>
  <c r="F96" i="3"/>
  <c r="F97" i="3"/>
  <c r="F98" i="3"/>
  <c r="F99" i="3"/>
  <c r="F100" i="3"/>
  <c r="F101" i="3"/>
  <c r="F102" i="3"/>
  <c r="F103" i="3"/>
  <c r="F104" i="3"/>
  <c r="F105" i="3"/>
  <c r="F106" i="3"/>
  <c r="C94" i="3"/>
  <c r="C95" i="3"/>
  <c r="F94" i="3"/>
  <c r="F95" i="3"/>
  <c r="C92" i="3"/>
  <c r="C93" i="3"/>
  <c r="F92" i="3"/>
  <c r="F93" i="3"/>
  <c r="C91" i="3"/>
  <c r="F91" i="3"/>
  <c r="C90" i="3"/>
  <c r="F90" i="3"/>
  <c r="C89" i="3"/>
  <c r="F89" i="3"/>
  <c r="C88" i="3"/>
  <c r="F88" i="3"/>
  <c r="C87" i="3"/>
  <c r="F87" i="3"/>
  <c r="C86" i="3"/>
  <c r="F86" i="3"/>
  <c r="C85" i="3"/>
  <c r="F85" i="3"/>
  <c r="C84" i="3"/>
  <c r="F84" i="3"/>
  <c r="C82" i="3"/>
  <c r="C83" i="3"/>
  <c r="F82" i="3"/>
  <c r="F83" i="3"/>
  <c r="F81" i="3"/>
  <c r="C81" i="3"/>
  <c r="H70" i="3"/>
  <c r="H71" i="3"/>
  <c r="H72" i="3"/>
  <c r="H75" i="3"/>
  <c r="H76"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F66" i="3"/>
  <c r="C28" i="3"/>
  <c r="C29" i="3"/>
  <c r="C30" i="3"/>
  <c r="C31" i="3"/>
  <c r="C32" i="3"/>
  <c r="C33" i="3"/>
  <c r="C34" i="3"/>
  <c r="C35" i="3"/>
  <c r="C36" i="3"/>
  <c r="C37" i="3"/>
  <c r="C38" i="3"/>
  <c r="C39" i="3"/>
  <c r="C40" i="3"/>
  <c r="C41" i="3"/>
  <c r="C42" i="3"/>
  <c r="C43" i="3"/>
  <c r="C44" i="3"/>
  <c r="C45" i="3"/>
  <c r="C46" i="3"/>
  <c r="C47" i="3"/>
  <c r="C48" i="3"/>
  <c r="C49" i="3"/>
  <c r="C50" i="3"/>
  <c r="C27" i="3"/>
  <c r="C25" i="3"/>
  <c r="C26" i="3"/>
  <c r="C24"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E23"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C23" i="3"/>
  <c r="C22" i="3"/>
  <c r="F22" i="3"/>
  <c r="F21" i="3"/>
  <c r="C21" i="3"/>
  <c r="F20" i="3"/>
  <c r="C20" i="3"/>
  <c r="C16" i="3"/>
  <c r="C19" i="3"/>
  <c r="F15" i="3"/>
  <c r="F4" i="3"/>
  <c r="H28" i="2" a="1"/>
  <c r="F17" i="3"/>
  <c r="F16" i="3"/>
  <c r="F18" i="3"/>
  <c r="F19" i="3"/>
  <c r="C15" i="3"/>
  <c r="C18" i="3"/>
  <c r="C17" i="3"/>
  <c r="J19" i="5"/>
  <c r="J20" i="5"/>
  <c r="J21" i="5"/>
  <c r="J18" i="5"/>
  <c r="B21" i="5"/>
  <c r="B20" i="5"/>
  <c r="B19" i="5"/>
  <c r="C3" i="3"/>
  <c r="C4" i="3"/>
  <c r="C5" i="3"/>
  <c r="C6" i="3"/>
  <c r="C7" i="3"/>
  <c r="C8" i="3"/>
  <c r="C9" i="3"/>
  <c r="C10" i="3"/>
  <c r="C11" i="3"/>
  <c r="C12" i="3"/>
  <c r="C13" i="3"/>
  <c r="C14" i="3"/>
  <c r="F3" i="3"/>
  <c r="F5" i="3"/>
  <c r="F6" i="3"/>
  <c r="F7" i="3"/>
  <c r="F8" i="3"/>
  <c r="F9" i="3"/>
  <c r="F10" i="3"/>
  <c r="F11" i="3"/>
  <c r="F12" i="3"/>
  <c r="F13" i="3"/>
  <c r="F14" i="3"/>
  <c r="C2" i="3"/>
  <c r="F2" i="3"/>
  <c r="C4" i="1"/>
  <c r="A4" i="1"/>
  <c r="B7" i="1"/>
  <c r="E254" i="3"/>
  <c r="F253" i="3"/>
  <c r="L253" i="3"/>
  <c r="M253" i="3"/>
  <c r="E248" i="3"/>
  <c r="F247" i="3"/>
  <c r="L247" i="3"/>
  <c r="M247" i="3"/>
  <c r="D4" i="1"/>
  <c r="A2" i="1"/>
  <c r="E24" i="3"/>
  <c r="L24" i="3"/>
  <c r="M24" i="3"/>
  <c r="L23" i="3"/>
  <c r="M23" i="3"/>
  <c r="F23" i="3"/>
  <c r="E25" i="3"/>
  <c r="L25" i="3"/>
  <c r="M25" i="3"/>
  <c r="F24" i="3"/>
  <c r="E249" i="3"/>
  <c r="F248" i="3"/>
  <c r="L248" i="3"/>
  <c r="M248" i="3"/>
  <c r="F254" i="3"/>
  <c r="L254" i="3"/>
  <c r="M254" i="3"/>
  <c r="E26" i="3"/>
  <c r="L26" i="3"/>
  <c r="M26" i="3"/>
  <c r="F25" i="3"/>
  <c r="F249" i="3"/>
  <c r="L249" i="3"/>
  <c r="M249" i="3"/>
  <c r="F26" i="3"/>
  <c r="E27" i="3"/>
  <c r="E28" i="3"/>
  <c r="F27" i="3"/>
  <c r="L27" i="3"/>
  <c r="M27" i="3"/>
  <c r="L28" i="3"/>
  <c r="M28" i="3"/>
  <c r="F28" i="3"/>
  <c r="E29" i="3"/>
  <c r="L29" i="3"/>
  <c r="M29" i="3"/>
  <c r="F29" i="3"/>
  <c r="E30" i="3"/>
  <c r="L30" i="3"/>
  <c r="M30" i="3"/>
  <c r="F30" i="3"/>
  <c r="E31" i="3"/>
  <c r="L31" i="3"/>
  <c r="M31" i="3"/>
  <c r="F31" i="3"/>
  <c r="E32" i="3"/>
  <c r="L32" i="3"/>
  <c r="M32" i="3"/>
  <c r="F32" i="3"/>
  <c r="E33" i="3"/>
  <c r="L33" i="3"/>
  <c r="M33" i="3"/>
  <c r="F33" i="3"/>
  <c r="E34" i="3"/>
  <c r="L34" i="3"/>
  <c r="M34" i="3"/>
  <c r="F34" i="3"/>
  <c r="E35" i="3"/>
  <c r="L35" i="3"/>
  <c r="M35" i="3"/>
  <c r="F35" i="3"/>
  <c r="E36" i="3"/>
  <c r="L36" i="3"/>
  <c r="M36" i="3"/>
  <c r="F36" i="3"/>
  <c r="E37" i="3"/>
  <c r="L37" i="3"/>
  <c r="M37" i="3"/>
  <c r="F37" i="3"/>
  <c r="E38" i="3"/>
  <c r="L38" i="3"/>
  <c r="M38" i="3"/>
  <c r="F38" i="3"/>
  <c r="E39" i="3"/>
  <c r="L39" i="3"/>
  <c r="M39" i="3"/>
  <c r="E40" i="3"/>
  <c r="L40" i="3"/>
  <c r="M40" i="3"/>
  <c r="F39" i="3"/>
  <c r="F40" i="3"/>
  <c r="E41" i="3"/>
  <c r="L41" i="3"/>
  <c r="M41" i="3"/>
  <c r="F41" i="3"/>
  <c r="E42" i="3"/>
  <c r="L42" i="3"/>
  <c r="M42" i="3"/>
  <c r="F42" i="3"/>
  <c r="E43" i="3"/>
  <c r="L43" i="3"/>
  <c r="M43" i="3"/>
  <c r="F43" i="3"/>
  <c r="E44" i="3"/>
  <c r="L44" i="3"/>
  <c r="M44" i="3"/>
  <c r="F44" i="3"/>
  <c r="E45" i="3"/>
  <c r="L45" i="3"/>
  <c r="M45" i="3"/>
  <c r="F45" i="3"/>
  <c r="E46" i="3"/>
  <c r="L46" i="3"/>
  <c r="M46" i="3"/>
  <c r="E47" i="3"/>
  <c r="L47" i="3"/>
  <c r="M47" i="3"/>
  <c r="F46" i="3"/>
  <c r="F47" i="3"/>
  <c r="E48" i="3"/>
  <c r="L48" i="3"/>
  <c r="M48" i="3"/>
  <c r="F48" i="3"/>
  <c r="E49" i="3"/>
  <c r="L49" i="3"/>
  <c r="M49" i="3"/>
  <c r="F49" i="3"/>
  <c r="E50" i="3"/>
  <c r="L50" i="3"/>
  <c r="M50" i="3"/>
  <c r="F50" i="3"/>
  <c r="E51" i="3"/>
  <c r="L51" i="3"/>
  <c r="M51" i="3"/>
  <c r="F51" i="3"/>
  <c r="E52" i="3"/>
  <c r="L52" i="3"/>
  <c r="M52" i="3"/>
  <c r="F52" i="3"/>
  <c r="E53" i="3"/>
  <c r="L53" i="3"/>
  <c r="M53" i="3"/>
  <c r="F53" i="3"/>
  <c r="E54" i="3"/>
  <c r="L54" i="3"/>
  <c r="M54" i="3"/>
  <c r="F54" i="3"/>
  <c r="E55" i="3"/>
  <c r="L55" i="3"/>
  <c r="M55" i="3"/>
  <c r="F55" i="3"/>
  <c r="E56" i="3"/>
  <c r="L56" i="3"/>
  <c r="M56" i="3"/>
  <c r="F56" i="3"/>
  <c r="E57" i="3"/>
  <c r="L57" i="3"/>
  <c r="M57" i="3"/>
  <c r="F57" i="3"/>
  <c r="E58" i="3"/>
  <c r="L58" i="3"/>
  <c r="M58" i="3"/>
  <c r="E59" i="3"/>
  <c r="L59" i="3"/>
  <c r="M59" i="3"/>
  <c r="F58" i="3"/>
  <c r="F59" i="3"/>
  <c r="E60" i="3"/>
  <c r="L60" i="3"/>
  <c r="M60" i="3"/>
  <c r="F60" i="3"/>
  <c r="E61" i="3"/>
  <c r="L61" i="3"/>
  <c r="M61" i="3"/>
  <c r="E62" i="3"/>
  <c r="L62" i="3"/>
  <c r="M62" i="3"/>
  <c r="F61" i="3"/>
  <c r="E63" i="3"/>
  <c r="L63" i="3"/>
  <c r="M63" i="3"/>
  <c r="F62" i="3"/>
  <c r="E64" i="3"/>
  <c r="L64" i="3"/>
  <c r="M64" i="3"/>
  <c r="F63" i="3"/>
  <c r="E65" i="3"/>
  <c r="L65" i="3"/>
  <c r="M65" i="3"/>
  <c r="F64" i="3"/>
  <c r="E67" i="3"/>
  <c r="L67" i="3"/>
  <c r="M67" i="3"/>
  <c r="F65" i="3"/>
  <c r="E68" i="3"/>
  <c r="L68" i="3"/>
  <c r="M68" i="3"/>
  <c r="F67" i="3"/>
  <c r="E69" i="3"/>
  <c r="L69" i="3"/>
  <c r="M69" i="3"/>
  <c r="F68" i="3"/>
  <c r="E70" i="3"/>
  <c r="L70" i="3"/>
  <c r="M70" i="3"/>
  <c r="F69" i="3"/>
  <c r="E71" i="3"/>
  <c r="L71" i="3"/>
  <c r="M71" i="3"/>
  <c r="F70" i="3"/>
  <c r="E72" i="3"/>
  <c r="L72" i="3"/>
  <c r="M72" i="3"/>
  <c r="F71" i="3"/>
  <c r="E73" i="3"/>
  <c r="L73" i="3"/>
  <c r="M73" i="3"/>
  <c r="F72" i="3"/>
  <c r="E74" i="3"/>
  <c r="L74" i="3"/>
  <c r="M74" i="3"/>
  <c r="F73" i="3"/>
  <c r="E75" i="3"/>
  <c r="L75" i="3"/>
  <c r="M75" i="3"/>
  <c r="F74" i="3"/>
  <c r="E76" i="3"/>
  <c r="L76" i="3"/>
  <c r="M76" i="3"/>
  <c r="F75" i="3"/>
  <c r="E77" i="3"/>
  <c r="L77" i="3"/>
  <c r="M77" i="3"/>
  <c r="F76" i="3"/>
  <c r="E78" i="3"/>
  <c r="L78" i="3"/>
  <c r="M78" i="3"/>
  <c r="F77" i="3"/>
  <c r="F78" i="3"/>
  <c r="E80" i="3"/>
  <c r="L80" i="3"/>
  <c r="M80" i="3"/>
  <c r="F79" i="3"/>
  <c r="F80" i="3"/>
  <c r="E26" i="9" l="1"/>
  <c r="E15" i="9"/>
  <c r="E5" i="9"/>
  <c r="E28" i="9"/>
  <c r="B6" i="9"/>
  <c r="B5" i="9"/>
  <c r="B8" i="9"/>
  <c r="B26" i="9"/>
  <c r="B23" i="9"/>
  <c r="E6" i="9"/>
  <c r="B28" i="9"/>
  <c r="B27" i="9"/>
  <c r="B15" i="9"/>
  <c r="B3" i="9"/>
  <c r="B25" i="9"/>
  <c r="E24" i="9"/>
  <c r="E14" i="9"/>
  <c r="E3" i="9"/>
  <c r="E18" i="9"/>
  <c r="B16" i="9"/>
  <c r="B4" i="9"/>
  <c r="B18" i="9"/>
  <c r="E23" i="9"/>
  <c r="E16" i="9"/>
  <c r="E4" i="9"/>
  <c r="E8" i="9"/>
  <c r="E17" i="9"/>
  <c r="B14" i="9"/>
  <c r="B7" i="9"/>
  <c r="E25" i="9"/>
  <c r="B24" i="9"/>
  <c r="E13" i="9"/>
  <c r="E7" i="9"/>
  <c r="E27" i="9"/>
  <c r="B13" i="9"/>
  <c r="B17" i="9"/>
  <c r="M101" i="8"/>
  <c r="B33" i="9"/>
  <c r="E36" i="9"/>
  <c r="B37" i="9"/>
  <c r="E38" i="9"/>
  <c r="E33" i="9"/>
  <c r="B35" i="9"/>
  <c r="B36" i="9"/>
  <c r="E35" i="9"/>
  <c r="B34" i="9"/>
  <c r="E34" i="9"/>
  <c r="B38" i="9"/>
  <c r="E37" i="9"/>
  <c r="M352" i="3"/>
  <c r="M353" i="3"/>
  <c r="M354" i="3"/>
  <c r="B4" i="1"/>
  <c r="E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<sst xmlns="http://schemas.openxmlformats.org/spreadsheetml/2006/main" count="3538" uniqueCount="1114">
  <si>
    <t>REFERENCE NO</t>
  </si>
  <si>
    <t>BOX</t>
  </si>
  <si>
    <t>BATCH NO</t>
  </si>
  <si>
    <t>DATE</t>
  </si>
  <si>
    <t>GRDS ITEM NO</t>
  </si>
  <si>
    <t>RECORDS SERIES TITLE</t>
  </si>
  <si>
    <t>SECTION</t>
  </si>
  <si>
    <t>DESCRIPTION</t>
  </si>
  <si>
    <t>PERIOD COVERED</t>
  </si>
  <si>
    <t>LATEST YEAR</t>
  </si>
  <si>
    <t>NO. YEARS AS OF 2024</t>
  </si>
  <si>
    <t>RETENTION PERIOD</t>
  </si>
  <si>
    <t>STATUS (GREEN: for DISPOSAL)</t>
  </si>
  <si>
    <t>SCANNING</t>
  </si>
  <si>
    <t>BATCH NO FROM ARCHIVES</t>
  </si>
  <si>
    <t>LOCATION</t>
  </si>
  <si>
    <t>H02-23-001</t>
  </si>
  <si>
    <t>TELLERING SECTION</t>
  </si>
  <si>
    <t>BATCH BALANCE SHEET</t>
  </si>
  <si>
    <t>2011-2014</t>
  </si>
  <si>
    <t>DISPOSED THRU NAP</t>
  </si>
  <si>
    <t>H02-23-002</t>
  </si>
  <si>
    <t>SSSRDS 9</t>
  </si>
  <si>
    <t>MEDICAL EVAL CENTER</t>
  </si>
  <si>
    <t>SETTLED BO CLAIMS</t>
  </si>
  <si>
    <t>JAN - DEC 2016</t>
  </si>
  <si>
    <t>JAN - DEC 2017</t>
  </si>
  <si>
    <t>JAN - JUNE 2018</t>
  </si>
  <si>
    <t>JULY - DEC 2018</t>
  </si>
  <si>
    <t>JAN - DEC 2021</t>
  </si>
  <si>
    <t>JAN-DEC 2019 &amp; JAN-DEC 2020</t>
  </si>
  <si>
    <t>SETTLED RO; ROUTING SLIPS</t>
  </si>
  <si>
    <t>Routing Slips 2017-2018; RO (1) 2004, (1) 2013, (1) 2019 &amp; (1) 2020</t>
  </si>
  <si>
    <t>H02-23-003</t>
  </si>
  <si>
    <t>MEMBER SERVICES SECTION</t>
  </si>
  <si>
    <t>SETTLED FUNERAL CLAIM</t>
  </si>
  <si>
    <t>MARCH 2019</t>
  </si>
  <si>
    <t>MAR-APR 2019</t>
  </si>
  <si>
    <t>MAY-JUNE 2019</t>
  </si>
  <si>
    <t>07-11/2015; 01-02/2016; 08/2016; 10/2016</t>
  </si>
  <si>
    <t>JULY-AUGUST 2019</t>
  </si>
  <si>
    <t>MAY 2019</t>
  </si>
  <si>
    <t>SEPTEMBER 2019</t>
  </si>
  <si>
    <t>OCTOBER 2019</t>
  </si>
  <si>
    <t>JULY 2019</t>
  </si>
  <si>
    <t>JANUARY- MARCH 2019</t>
  </si>
  <si>
    <t>JUL 2016; SEPT-OCT 2017</t>
  </si>
  <si>
    <t>08/2015; 12/2015; 05/2016; 07/2016; 01/2017; 05-16/2017</t>
  </si>
  <si>
    <t>08/2014; 11/2016; 08-11/2016; 05-06/2017; 03/2019; 08/2019</t>
  </si>
  <si>
    <t>SEPTEMBER 2015</t>
  </si>
  <si>
    <t>JUL-AUG 2016; JAN-APR 2017</t>
  </si>
  <si>
    <t>JUL 2016; JAN 2017; MAR 2017; JUNE-JULY 2017</t>
  </si>
  <si>
    <t>JULY - AUGUST 2021</t>
  </si>
  <si>
    <t>MAY 2021</t>
  </si>
  <si>
    <t>FEBRUARY 2020</t>
  </si>
  <si>
    <t>JULY - DECEMBER 2021</t>
  </si>
  <si>
    <t>JANUARY 2020</t>
  </si>
  <si>
    <t>MARCH 2020</t>
  </si>
  <si>
    <t>MAY - JUNE 2020</t>
  </si>
  <si>
    <t>NOVEMBER 2021</t>
  </si>
  <si>
    <t>JANUARY - APRIL 2021</t>
  </si>
  <si>
    <t>JUNE - JULY 2022</t>
  </si>
  <si>
    <t>MAY 2022</t>
  </si>
  <si>
    <t>AUGUST - NOVEMBER 2022</t>
  </si>
  <si>
    <t>SEPTEMBER - OCTOBER 2021</t>
  </si>
  <si>
    <t>JUNE - JULY 2021</t>
  </si>
  <si>
    <t>DECEMBER 2022</t>
  </si>
  <si>
    <t>JANUARY - APRIL 2022</t>
  </si>
  <si>
    <t>MAY - JUNE 2016</t>
  </si>
  <si>
    <t>NOVEMBER - DECEMBER 2019</t>
  </si>
  <si>
    <t>DEC 2015; JAN 2016; JAN 2017; JUNE-JULY 2017</t>
  </si>
  <si>
    <t>OCT 2015; SEPT 2016; NOV 2016; MAY-JUNE 2017</t>
  </si>
  <si>
    <t>JULY-AUG 2016; NOV 2016; APR-JUN 2017; AUG 2017</t>
  </si>
  <si>
    <t>JUNE 2016; MARCH-APRIL 2017; JULY 2017</t>
  </si>
  <si>
    <t>AUG 2015; NOV 2015; AUG 2016; JULY-AUG 2017</t>
  </si>
  <si>
    <t>APRIL 2017; JUNE 2017; SEPT-OCT 2017</t>
  </si>
  <si>
    <t>NOV-DEC 2016; JANUARY 2017</t>
  </si>
  <si>
    <t>JAN-FEB 2016; AUG-SEPT 2016; NOV 2016; MAY 2017</t>
  </si>
  <si>
    <t>JUNE 2016; NOV-DEC 2016; JAN 2017; JUNE 2017</t>
  </si>
  <si>
    <t>45-1</t>
  </si>
  <si>
    <t>SSSRDS 49</t>
  </si>
  <si>
    <t>APPROVED SALARY LOAN APPLICATIONS</t>
  </si>
  <si>
    <t>2016 - 2020</t>
  </si>
  <si>
    <t>46-2</t>
  </si>
  <si>
    <t>PROCESSED E-1</t>
  </si>
  <si>
    <t>JUNE - DECEMBER 2017</t>
  </si>
  <si>
    <t>47-3</t>
  </si>
  <si>
    <t>JAN-FEB 2017; APR 2017; JUNE 2017</t>
  </si>
  <si>
    <t>48-4</t>
  </si>
  <si>
    <t>PROCESSED E-4 (SIMPLE/ADDBEN)</t>
  </si>
  <si>
    <t>49-5</t>
  </si>
  <si>
    <t>50-6</t>
  </si>
  <si>
    <t>51-7</t>
  </si>
  <si>
    <t>52-8</t>
  </si>
  <si>
    <t>PROCESSED E-1/RS-1</t>
  </si>
  <si>
    <t>2020 - 2021</t>
  </si>
  <si>
    <t>53-9</t>
  </si>
  <si>
    <t>54-10</t>
  </si>
  <si>
    <t>ILIGAN RECORDS RM</t>
  </si>
  <si>
    <t>55-11</t>
  </si>
  <si>
    <t>56-12</t>
  </si>
  <si>
    <t>2018-2020</t>
  </si>
  <si>
    <t>57-13</t>
  </si>
  <si>
    <t>H02-23-004</t>
  </si>
  <si>
    <t>SSSRDS 50</t>
  </si>
  <si>
    <t>ER ML-1/ML-2</t>
  </si>
  <si>
    <t>JANUARY 2021; SEPTEMBER 2022</t>
  </si>
  <si>
    <t>AUGUST - DECEMBER 2019</t>
  </si>
  <si>
    <t>H02-23-005</t>
  </si>
  <si>
    <t>FEBRUARY - MAY 2017</t>
  </si>
  <si>
    <t>PROCESSED           E-1/RS-1</t>
  </si>
  <si>
    <t>PROCESSED ACOP</t>
  </si>
  <si>
    <t>H02-23-006</t>
  </si>
  <si>
    <t>PRF (CONTRIBUTION/LOANS)</t>
  </si>
  <si>
    <t>H02-23-007</t>
  </si>
  <si>
    <t>2010-2021</t>
  </si>
  <si>
    <t>H02-23-008</t>
  </si>
  <si>
    <t>PROCESSED RS-1</t>
  </si>
  <si>
    <t>2015-2018</t>
  </si>
  <si>
    <t>H02-23-009</t>
  </si>
  <si>
    <t>PROCESSED R-1/R1-A</t>
  </si>
  <si>
    <t>H02-23-010</t>
  </si>
  <si>
    <t>PROCESSED SALARY LOAN APPLICATION</t>
  </si>
  <si>
    <t>2014-2015</t>
  </si>
  <si>
    <t>H02-23-011</t>
  </si>
  <si>
    <t>2015-2019</t>
  </si>
  <si>
    <t>RIMS CDO</t>
  </si>
  <si>
    <t>H02-23-012</t>
  </si>
  <si>
    <t>2020-2022</t>
  </si>
  <si>
    <t>H02-23-013</t>
  </si>
  <si>
    <t>H02-23-014</t>
  </si>
  <si>
    <t>SETTLED DEATH CLAIM</t>
  </si>
  <si>
    <t>06-2003, 04-2005, 07-2016, 03 TO 04-2017, 04-2018 TO 09-2018, 07-2019 TO 08-2018</t>
  </si>
  <si>
    <t>08-2019 TO 11-2019</t>
  </si>
  <si>
    <t>11-2019 TO 03-2020</t>
  </si>
  <si>
    <t>03-2020 TO 12-2020, 01-2021 TO 02-2021</t>
  </si>
  <si>
    <t>02-2021 TO 08-2021</t>
  </si>
  <si>
    <t>08-2021 TO 06-2022</t>
  </si>
  <si>
    <t>H02-23-015</t>
  </si>
  <si>
    <t xml:space="preserve">SETTLED RETIREMENT CLAIM </t>
  </si>
  <si>
    <t>01-2019- TO 02-2019</t>
  </si>
  <si>
    <t>SETTLED RETIREMENT CLAIM</t>
  </si>
  <si>
    <t>03-2019 TO 04-2019</t>
  </si>
  <si>
    <t>H02-23-016</t>
  </si>
  <si>
    <t>Sickness/Maternity Claims</t>
  </si>
  <si>
    <t>S/M Rejected Claims 2014-2015, S/M Transmittal List 2016-2019, Maternity Notification 2016</t>
  </si>
  <si>
    <t xml:space="preserve">SETTLED RO CLAIM </t>
  </si>
  <si>
    <t>Jan- Dec 2022, Jan-Mar 2020, 1999 &amp; 2000</t>
  </si>
  <si>
    <t>04-2019 TO 06-2019</t>
  </si>
  <si>
    <t>06-2019 to 08-2019</t>
  </si>
  <si>
    <t>11-2013 TO 02-2014</t>
  </si>
  <si>
    <t>01-2014 TO 07-2014</t>
  </si>
  <si>
    <t>12-2013, 04-2019, 02-2022, 02-2023 TO 05-2023</t>
  </si>
  <si>
    <t>H02-23-017</t>
  </si>
  <si>
    <t>PROCESSED ACOP &amp; SETTLED RO 2019</t>
  </si>
  <si>
    <t>2016-2019; RO 2019</t>
  </si>
  <si>
    <t>08-2019 TO 10-2019</t>
  </si>
  <si>
    <t>10-2019 TO 11-2019</t>
  </si>
  <si>
    <t>MAT Notif; Sickness; Settled RO Claim</t>
  </si>
  <si>
    <t>Mat Notif 2014; SS 2014-2015; RO 2010-2011; RO 2014</t>
  </si>
  <si>
    <t>11-2019 TO 12-2019</t>
  </si>
  <si>
    <t>Approved/Rejected SS/Mat Claims; PROCESSED ACOP</t>
  </si>
  <si>
    <t>SS/MAT 2018 - 2020; PROCESSED ACOP 2014-2015; 2020; 2022</t>
  </si>
  <si>
    <t>H02-23-019</t>
  </si>
  <si>
    <t>01-2019, 04-2019, 05-2019, 01-2020 TO 04-2020</t>
  </si>
  <si>
    <t>H02-23-020</t>
  </si>
  <si>
    <t>10-26-2023</t>
  </si>
  <si>
    <t>08-2013, 02-2014 TO 09-2014</t>
  </si>
  <si>
    <t>10-27-2023</t>
  </si>
  <si>
    <t>05-2012 TO 05-2014</t>
  </si>
  <si>
    <t>07-2012 TO 09-2013</t>
  </si>
  <si>
    <t>11-2012, 09-2013 TO 12-2013</t>
  </si>
  <si>
    <t>10-2013 TO 12-2013</t>
  </si>
  <si>
    <t>10-31-2023</t>
  </si>
  <si>
    <t>10-2013, 05-2014 TO 11-2014</t>
  </si>
  <si>
    <t>05-2014 TO 05-2015</t>
  </si>
  <si>
    <t>10-2013, 05-2015 TO 10-2015</t>
  </si>
  <si>
    <t>11-06-2023</t>
  </si>
  <si>
    <t>07-2015 TO 01-2016</t>
  </si>
  <si>
    <t>01-2016 TO 04-2016</t>
  </si>
  <si>
    <t>11-07-2023</t>
  </si>
  <si>
    <t>04-2016 TO 11-2016</t>
  </si>
  <si>
    <t>11-09-2023</t>
  </si>
  <si>
    <t>05-2016 TO 08-2016</t>
  </si>
  <si>
    <t>08-2016 TO 09-2016</t>
  </si>
  <si>
    <t>08-2016 TO 12-2016</t>
  </si>
  <si>
    <t>11-10-2023</t>
  </si>
  <si>
    <t>04-2016, 11-2016 TO 04-2017</t>
  </si>
  <si>
    <t>04-216, 09-2016, 11-2016, 12-2016, 01-2017 TO 05-2017</t>
  </si>
  <si>
    <t>12-2002, 02-2006, 11-2011, 06-2016, 07-2016, 09-2016, 11-2016 TO 11-2017</t>
  </si>
  <si>
    <t>11-14-2023</t>
  </si>
  <si>
    <t>05-2014, 07-2016, 01-2017 TO 12-2017</t>
  </si>
  <si>
    <t>09-2016, 08-2017 TO 12-2017</t>
  </si>
  <si>
    <t>10-2013, 11-2013, 10-2014 TO 11-2014, 10-2017 TO 12-2017</t>
  </si>
  <si>
    <t>11-2013, 06-2016, 10-2016, 11-2016, 02-2017 TO 12-2017</t>
  </si>
  <si>
    <t>01-1998, 06-2017 TO 02-2018, 09-2018</t>
  </si>
  <si>
    <t>01-2018 TO 09-2018</t>
  </si>
  <si>
    <t>11-17-2023</t>
  </si>
  <si>
    <t>01-2018, 03-2018 TO 09-2018</t>
  </si>
  <si>
    <t>09-2017, 05-2018 TO 12-2018</t>
  </si>
  <si>
    <t>03-2018, 06-2017 TO 10-2017, 03-2018 TO 12-2018</t>
  </si>
  <si>
    <t>07-2017, 12-2017, 02-2018 TO 10-2018</t>
  </si>
  <si>
    <t>04-1995, 02-2010, 02-2014 TO 03-2014, 03-2018 TO 06-2018</t>
  </si>
  <si>
    <t>08-2013, 10-2014, 07-2017, 11-2018 TO 03-2019</t>
  </si>
  <si>
    <t>H02-23-021</t>
  </si>
  <si>
    <t>Feb to May 2018</t>
  </si>
  <si>
    <t>1997 to 1998</t>
  </si>
  <si>
    <t>JULY to SEPT 2018</t>
  </si>
  <si>
    <t>1994 to 1998</t>
  </si>
  <si>
    <t>E1</t>
  </si>
  <si>
    <t>Jan to April 2019</t>
  </si>
  <si>
    <t>E4</t>
  </si>
  <si>
    <t>April to July 2019</t>
  </si>
  <si>
    <t>May to Sept 2018</t>
  </si>
  <si>
    <t>DEC 2021 to JAN 2022</t>
  </si>
  <si>
    <t>Jan to AUG 2021</t>
  </si>
  <si>
    <t>FEB to AUG 2022</t>
  </si>
  <si>
    <t>2016; 2017; 2018</t>
  </si>
  <si>
    <t>2015; 2018; 2019</t>
  </si>
  <si>
    <t>2016; 2017; 2015</t>
  </si>
  <si>
    <t>2000; 2012; 2015; 2018</t>
  </si>
  <si>
    <t>2012 - 2013</t>
  </si>
  <si>
    <t>1991 - 2004</t>
  </si>
  <si>
    <t>R1/R1A; OW1; R8</t>
  </si>
  <si>
    <t>2014-2019; 2014-2019;2016-2018</t>
  </si>
  <si>
    <t>H02-23-022</t>
  </si>
  <si>
    <t>11-23-2023</t>
  </si>
  <si>
    <t>08-2014, 06-2015, 07-2016, 08-2017, 11-2017. 04-2018. 06-2018 TO 01-2019</t>
  </si>
  <si>
    <t>09-2018, 01-2019 TO 05-2019</t>
  </si>
  <si>
    <t>05-2019 TO 07-2019</t>
  </si>
  <si>
    <t>05-2017, 11-2018, 07-2019 TO 08-2019, 02-2020 TO 07-2020</t>
  </si>
  <si>
    <t>05-2012, 07-2020 TO 12-2020, 02-21, 10-2021, 03-2022</t>
  </si>
  <si>
    <t>11-28-2023</t>
  </si>
  <si>
    <t>03-2013 TO 12-2013, 06-2015 TO 08-2015</t>
  </si>
  <si>
    <t>12-2013, 08-2015 TO 01-2016</t>
  </si>
  <si>
    <t>H02-23-023</t>
  </si>
  <si>
    <t>06 TO 12-2012, 04 TO 12-2013</t>
  </si>
  <si>
    <t>01 TO 10-2014</t>
  </si>
  <si>
    <t>10 TO 12-2014</t>
  </si>
  <si>
    <t>12/4/2014 TO 12/31/2014</t>
  </si>
  <si>
    <t>05-2020 TO 12-2020</t>
  </si>
  <si>
    <t>H02-23-024</t>
  </si>
  <si>
    <t>01-2015 TO 10-2015</t>
  </si>
  <si>
    <t>11-2015 to 12-2015</t>
  </si>
  <si>
    <t>H02-23-025</t>
  </si>
  <si>
    <t>01-2016 TO 06-2016</t>
  </si>
  <si>
    <t>07-2016 TO 09-2016</t>
  </si>
  <si>
    <t>09-2016 TO 12-2016</t>
  </si>
  <si>
    <t>H02-23-026</t>
  </si>
  <si>
    <t>01-2017 TO 03-2017</t>
  </si>
  <si>
    <t>04-2017 TO 08-2017</t>
  </si>
  <si>
    <t>09-2017- TO 12-2017</t>
  </si>
  <si>
    <t>H02-24-001</t>
  </si>
  <si>
    <t>01-2018 TO 03-2018</t>
  </si>
  <si>
    <t>03-2018 TO 07-2018</t>
  </si>
  <si>
    <t>H02-24-002</t>
  </si>
  <si>
    <t>H02-24-003</t>
  </si>
  <si>
    <t>SBR/PRF</t>
  </si>
  <si>
    <t>2012-2013</t>
  </si>
  <si>
    <t>H02-24-004</t>
  </si>
  <si>
    <t>H02-23-004-24</t>
  </si>
  <si>
    <t>R1</t>
  </si>
  <si>
    <t>E1/RS1</t>
  </si>
  <si>
    <t>2017 ; 2018 ; 2021</t>
  </si>
  <si>
    <t>E1/E4</t>
  </si>
  <si>
    <t>2015-2017 &amp; 2019</t>
  </si>
  <si>
    <t>March 2017 &amp; August 2017</t>
  </si>
  <si>
    <t xml:space="preserve">E4 </t>
  </si>
  <si>
    <t>Jan-Feb 2019</t>
  </si>
  <si>
    <t>Jan - Mar 2015</t>
  </si>
  <si>
    <t>2013 - 2015</t>
  </si>
  <si>
    <t>2016 &amp; 2017</t>
  </si>
  <si>
    <t>KAPATAGAN SO E4</t>
  </si>
  <si>
    <t>2021 - 2022</t>
  </si>
  <si>
    <t>ROBINSON SO E4</t>
  </si>
  <si>
    <t>E4 ROBINSON SO &amp; Iligan City</t>
  </si>
  <si>
    <t>E1/ RS1/ E4/ R1/ R1A</t>
  </si>
  <si>
    <t>2014 - 2015</t>
  </si>
  <si>
    <t>SEPT - DEC 2014</t>
  </si>
  <si>
    <t>FEB - JUNE 2013</t>
  </si>
  <si>
    <t>DEC 2013 ; FEB - MAR 2014</t>
  </si>
  <si>
    <t>2013-2014</t>
  </si>
  <si>
    <t>H02-24-005</t>
  </si>
  <si>
    <t>RS1/E1</t>
  </si>
  <si>
    <t>2016-2017</t>
  </si>
  <si>
    <t>2016 - 2017</t>
  </si>
  <si>
    <t>2019 - 2020 &amp; 2016</t>
  </si>
  <si>
    <t>MARCH - JUNE 2012</t>
  </si>
  <si>
    <t>2013; 2019 - 2020</t>
  </si>
  <si>
    <t>R1/R1A</t>
  </si>
  <si>
    <t>2016 - 2021</t>
  </si>
  <si>
    <t>1998 - 1999</t>
  </si>
  <si>
    <t>May - June 2015</t>
  </si>
  <si>
    <t>July - Aug 2013</t>
  </si>
  <si>
    <t>July - Oct 2012</t>
  </si>
  <si>
    <t>1998 &amp; 2017</t>
  </si>
  <si>
    <t>June - July 2015</t>
  </si>
  <si>
    <t>Dec 2013 - Dec 2014</t>
  </si>
  <si>
    <t>E1/RS1/E4</t>
  </si>
  <si>
    <t>2013 - 2016</t>
  </si>
  <si>
    <t>2013 - 2014</t>
  </si>
  <si>
    <t>Mar - May 2014 &amp; Dec 2014</t>
  </si>
  <si>
    <t>June - Sep 2014</t>
  </si>
  <si>
    <t>July 2012; Nov - Dec 2012</t>
  </si>
  <si>
    <t>June 2013 ; Sept-Nov 2013</t>
  </si>
  <si>
    <t>Mar - May 2015</t>
  </si>
  <si>
    <t>Jan-Mar 2012 ; Jun-Jul 2012</t>
  </si>
  <si>
    <t>Sept 2013; Feb - June 2013</t>
  </si>
  <si>
    <t>Jan - Feb 2013</t>
  </si>
  <si>
    <t>Dec 2014, Mar - May 2014</t>
  </si>
  <si>
    <t>UNSCANNED</t>
  </si>
  <si>
    <t>H02-24-006</t>
  </si>
  <si>
    <t>01-20213 to 12-2019</t>
  </si>
  <si>
    <t>SCANNED</t>
  </si>
  <si>
    <t>09-2022 to 02-2023</t>
  </si>
  <si>
    <t>02 to 03-2021, 07 to 09-2021, 12-2021, 04 to 06-2022, 08 to 09-2022</t>
  </si>
  <si>
    <t>11 to 12-2019, 01 to 02-2020, 04-2021, 05-2021, 06-2021, 10-2021, 11-2021, 12-2021, 01-2022, 04-2022, 05-2022</t>
  </si>
  <si>
    <t>09-2015, 09 to 10-2016, 02-2017, 06-2018, 02-2019, 10 to 12-2019, 01-2020, 06 to 12-2021, 01 to 02-2022, 02-2024</t>
  </si>
  <si>
    <t>03 to 11-2021, 02 to 04-2022, 06-2022, 12-2022, 01 to 02-2023</t>
  </si>
  <si>
    <t>10 to 12-2022, 01-2023, 08 to 09-2023</t>
  </si>
  <si>
    <t>02-2023, 09 to 12-2023</t>
  </si>
  <si>
    <t>05 to 06-2023, 11-2023, 03-2024</t>
  </si>
  <si>
    <t>H02-24-007</t>
  </si>
  <si>
    <t>03-2017, 02-2020, 01-2023, 02-2023, 05-2023, 06-2023, 07-2023, 09-2023, 10-2023, 11-2023 and 12-2023</t>
  </si>
  <si>
    <t>H02-24-008</t>
  </si>
  <si>
    <t>03-2022, 07-2023, 08-2023, 12-2023, 01-2024, 02-2024, 03-2024, 04-2024 and 05-2024</t>
  </si>
  <si>
    <t>H02-24-009</t>
  </si>
  <si>
    <t>09-2023, 01-2024, 02-2024, 03-2024, 04-2024, 05-2024, 06-2024 and 07-2024</t>
  </si>
  <si>
    <t>H02-24-010</t>
  </si>
  <si>
    <t>01-2024, 02-2024, 03-2024, 04-2024, 05-2024, 06-2024, 07-2024, and 08-2024</t>
  </si>
  <si>
    <t>H02-24-011</t>
  </si>
  <si>
    <t>05-2017, 06-2017, 09-2019, 11-2021, 02-2022, 10-2022, 10-2023, 07-2024, 08-2024 and 09-2024</t>
  </si>
  <si>
    <t>H02-25-01</t>
  </si>
  <si>
    <t>TELLERING REPORTS</t>
  </si>
  <si>
    <t>2012, 2013, 2014,2015,2016,2017,2018,2019,2020,2021</t>
  </si>
  <si>
    <t>2014, 2015</t>
  </si>
  <si>
    <t>2018, 2019, 2020, 2021, 2022</t>
  </si>
  <si>
    <t>2008, 2009, 2010, 2011</t>
  </si>
  <si>
    <t>BANK ABSTRACT</t>
  </si>
  <si>
    <t>2014, 2015, 2016, 2017</t>
  </si>
  <si>
    <t>2010, 2011, 2012</t>
  </si>
  <si>
    <t>2009, 2010</t>
  </si>
  <si>
    <t>H02-25-02</t>
  </si>
  <si>
    <t>05/212025</t>
  </si>
  <si>
    <t>2011, 2012, 2013, 2014</t>
  </si>
  <si>
    <t>2012, 2013</t>
  </si>
  <si>
    <t>2009, 2010, 2011, 2012</t>
  </si>
  <si>
    <t>2010, 2011, 2012, 2013</t>
  </si>
  <si>
    <t>H02-25-03</t>
  </si>
  <si>
    <t xml:space="preserve">SETTLED DEATH CLAIM </t>
  </si>
  <si>
    <t>04-2015, 12-2016, 02-2017, 03-2017, 04-2017, 05-2017, 06-2017, 09-2017, 06-2019, 08-2017, 09-2019, 02-2020, 10-2023 and 10-2024</t>
  </si>
  <si>
    <t>H02-25-04</t>
  </si>
  <si>
    <t>03-2021; 01-2025; 02-2025, 03-2025 and 04-2025</t>
  </si>
  <si>
    <t>H02-25-05</t>
  </si>
  <si>
    <t>03-2021, 01-2025, 02-2025, 03-2025 and 04-2025</t>
  </si>
  <si>
    <t>H02-26-01</t>
  </si>
  <si>
    <t>DSC/CASH BOOK</t>
  </si>
  <si>
    <t>JAN-DEC 2024</t>
  </si>
  <si>
    <t>H02-26-02</t>
  </si>
  <si>
    <t>07-2025, 08-2025, 09-2025, 10-2025-11-2025, 01-2026 and 02-2026</t>
  </si>
  <si>
    <t>H02-26-03</t>
  </si>
  <si>
    <t>9-2024, 10-2024, 11-2024, 12-2024, 1-2025, 2-2025, 3-2025 and 5-2025</t>
  </si>
  <si>
    <t>H02-26-04</t>
  </si>
  <si>
    <t>12-2024, 01-2025, 02-2025, 03-2025, 04-2025, 05-2025, 06-2025, 07-2025, 08-2025, 09-2025, 10-2025, 11-2025 and 12-2025</t>
  </si>
  <si>
    <t>H02-26-05</t>
  </si>
  <si>
    <t>01-2025, 09-2025, 10-2025, 11-2025, 12-2025, 01-2026, 02-2026, 03-2026, 04-2026, 05-2026 and 06-2026</t>
  </si>
  <si>
    <t>H02-23-00354-10</t>
  </si>
  <si>
    <t>H02-23-02116</t>
  </si>
  <si>
    <t>H02-23-02117</t>
  </si>
  <si>
    <t>H02-24-0064</t>
  </si>
  <si>
    <t>H02-25-011</t>
  </si>
  <si>
    <t>H02-25-012</t>
  </si>
  <si>
    <t>H02-25-013</t>
  </si>
  <si>
    <t>H02-25-014</t>
  </si>
  <si>
    <t>H02-25-015</t>
  </si>
  <si>
    <t>H02-25-016</t>
  </si>
  <si>
    <t>H02-25-017</t>
  </si>
  <si>
    <t>H02-25-018</t>
  </si>
  <si>
    <t>H02-25-019</t>
  </si>
  <si>
    <t>H02-25-0110</t>
  </si>
  <si>
    <t>H02-25-0111</t>
  </si>
  <si>
    <t>H02-25-0112</t>
  </si>
  <si>
    <t>H02-25-0113</t>
  </si>
  <si>
    <t>H02-25-0114</t>
  </si>
  <si>
    <t>H02-25-0115</t>
  </si>
  <si>
    <t>H02-25-0116</t>
  </si>
  <si>
    <t>H02-25-0117</t>
  </si>
  <si>
    <t>H02-25-0118</t>
  </si>
  <si>
    <t>H02-25-0119</t>
  </si>
  <si>
    <t>H02-25-021</t>
  </si>
  <si>
    <t>H02-25-022</t>
  </si>
  <si>
    <t>H02-25-023</t>
  </si>
  <si>
    <t>H02-25-024</t>
  </si>
  <si>
    <t>H02-25-025</t>
  </si>
  <si>
    <t>H02-25-026</t>
  </si>
  <si>
    <t>H02-25-027</t>
  </si>
  <si>
    <t>H02-25-028</t>
  </si>
  <si>
    <t>H02-25-029</t>
  </si>
  <si>
    <t>H02-25-0210</t>
  </si>
  <si>
    <t>FOR DISPOSAL - ILIGAN</t>
  </si>
  <si>
    <t>H02-26-051</t>
  </si>
  <si>
    <t>LEGEND:</t>
  </si>
  <si>
    <t>AUTOMATIC</t>
  </si>
  <si>
    <t>GRDS ITEM NO.</t>
  </si>
  <si>
    <t>PERIOD COVERED (YEAR)</t>
  </si>
  <si>
    <t>AUTHORIZED RETENTION PERIOD</t>
  </si>
  <si>
    <t>TO BE FILLED OUT BY ADMINISTRATIVE SECTION</t>
  </si>
  <si>
    <t>BATCH NO.:</t>
  </si>
  <si>
    <t>TRNS DATE:</t>
  </si>
  <si>
    <t>CHECK BY:</t>
  </si>
  <si>
    <t>BALISTOYAY</t>
  </si>
  <si>
    <t>REFNO</t>
  </si>
  <si>
    <t>BOX #</t>
  </si>
  <si>
    <t>NO. YEARS AS OF  Y2025</t>
  </si>
  <si>
    <t>RETENTION PERIOD (NO. OF YEAR/S)</t>
  </si>
  <si>
    <t>STATUS
BATCH NO DISPOSAL</t>
  </si>
  <si>
    <t>ARCH-24-001</t>
  </si>
  <si>
    <t>ACCOUNT MANAGEMENT SECTION</t>
  </si>
  <si>
    <t>ER FOLDER TERMINATED ACCNT (LETTER A)</t>
  </si>
  <si>
    <t>NOT APPLICABLE</t>
  </si>
  <si>
    <t>ER FOLDER TERMINATED ACCNT (LETTER A &amp; B)</t>
  </si>
  <si>
    <t>ER FOLDER TERMINATED ACCNT (LETTER B &amp; C)</t>
  </si>
  <si>
    <t>ER FOLDER TERMINATED ACCNT (LETTER C)</t>
  </si>
  <si>
    <t>ER TERMINATED ACCNT (FIR/C220) 1</t>
  </si>
  <si>
    <t>ER FOLDER TERMINATED ACCNT (LETTER C &amp; D)</t>
  </si>
  <si>
    <t>ER TERMINATED ACCNT (FIR/C220) 2</t>
  </si>
  <si>
    <t>ER FOLDER TERMINATED ACCNT (LETTER D, E, H &amp; J)</t>
  </si>
  <si>
    <t>ER FOLDER TERMINATED ACCNT (LETTER E)</t>
  </si>
  <si>
    <t>ER FOLDER TERMINATED ACCNT (LETTER F &amp; G)</t>
  </si>
  <si>
    <t>ER FOLDER TERMINATED ACCNT (LETTER G)</t>
  </si>
  <si>
    <t>ER FOLDER TERMINATED ACCNT (LETTER H &amp; I)</t>
  </si>
  <si>
    <t>ER FOLDER TERMINATED ACCNT (LETTER J)</t>
  </si>
  <si>
    <t>ER FOLDER TERMINATED ACCNT (LETTER K, L, M &amp; N)</t>
  </si>
  <si>
    <t>ER FOLDER TERMINATED ACCNT (LETTER L)</t>
  </si>
  <si>
    <t>ER FOLDER TERMINATED ACCNT (LETTER M)</t>
  </si>
  <si>
    <t>ER FOLDER TERMINATED ACCNT (LETTER N)</t>
  </si>
  <si>
    <t>ER FOLDER TERMINATED ACCNT (LETTER O, P, Q, R &amp; S)</t>
  </si>
  <si>
    <t>ER FOLDER TERMINATED ACCNT (LETTER P)</t>
  </si>
  <si>
    <t>ER FOLDER TERMINATED ACCNT (LETTER R)</t>
  </si>
  <si>
    <t>ER FOLDER TERMINATED ACCNT (LETTER S)</t>
  </si>
  <si>
    <t>ER FOLDER TERMINATED ACCNT (LETTER S, T &amp; U)</t>
  </si>
  <si>
    <t>ER FOLDER TERMINATED ACCNT (LETTER V, W, X, Y &amp; Z)</t>
  </si>
  <si>
    <t>ER CASE FOLDER  1</t>
  </si>
  <si>
    <t>2010-2014</t>
  </si>
  <si>
    <t>ER CASE FOLDER  2</t>
  </si>
  <si>
    <t>ER CASE FOLDER  3</t>
  </si>
  <si>
    <t>ARCH-24-002</t>
  </si>
  <si>
    <t>LGU ILIGAN CITY</t>
  </si>
  <si>
    <t>LGU ILIGAN PAYMENT/RECEIPTS 2017, 2018, 2019, 2020</t>
  </si>
  <si>
    <t>2017-2020</t>
  </si>
  <si>
    <t>LGU ILIGAN PAYMENT/RECEIPTS 2021, 2022, 2023</t>
  </si>
  <si>
    <t>2021-2023</t>
  </si>
  <si>
    <t>LGU ILIGAN PAYMENT/RECEIPTS 2024</t>
  </si>
  <si>
    <t>ARCH-24-003</t>
  </si>
  <si>
    <t>KAPATAGAN SO</t>
  </si>
  <si>
    <t>E4 (UPDATING/ CS / ADDBEN)</t>
  </si>
  <si>
    <t>PLP 2018</t>
  </si>
  <si>
    <t>SETTLED RF CLAIM JAN-FEB</t>
  </si>
  <si>
    <t>SETTLED RF CLAIM MAY-JUNE</t>
  </si>
  <si>
    <t>SETTLED RF CLAIM SEPT-DEC</t>
  </si>
  <si>
    <t>ARCH-24-004</t>
  </si>
  <si>
    <t>PRF 2022</t>
  </si>
  <si>
    <t>REPORTS 2023</t>
  </si>
  <si>
    <t>PRF 2023</t>
  </si>
  <si>
    <t>PRF 2018</t>
  </si>
  <si>
    <t>PRF 2019</t>
  </si>
  <si>
    <t>PRF 2015</t>
  </si>
  <si>
    <t>PRF 2021</t>
  </si>
  <si>
    <t>PRF 2018-2021</t>
  </si>
  <si>
    <t>2018-2021</t>
  </si>
  <si>
    <t>PRF 2020</t>
  </si>
  <si>
    <t>PRF 2015-2016</t>
  </si>
  <si>
    <t>2015-2016</t>
  </si>
  <si>
    <t>PRF 2014-2015</t>
  </si>
  <si>
    <t>PRF 2019-2022</t>
  </si>
  <si>
    <t>2019-2022</t>
  </si>
  <si>
    <t>PRF 2020-2021</t>
  </si>
  <si>
    <t>2020-2021</t>
  </si>
  <si>
    <t>ARCH-24-005</t>
  </si>
  <si>
    <t>ARCH-24-006</t>
  </si>
  <si>
    <t>1998-1999</t>
  </si>
  <si>
    <t>H02-24-00511</t>
  </si>
  <si>
    <t>H02-24-00526</t>
  </si>
  <si>
    <t>H02-24-00527</t>
  </si>
  <si>
    <t>H02-24-00525</t>
  </si>
  <si>
    <t>H02-24-0012</t>
  </si>
  <si>
    <t>SETTLED FUNERAL CLAIM MARCH-APRIL</t>
  </si>
  <si>
    <t>SETTLED FUNERAL CLAIM MAY-JUNE</t>
  </si>
  <si>
    <t>ARCH-24-007</t>
  </si>
  <si>
    <t>FIELD INVESTIGATION REPORTS</t>
  </si>
  <si>
    <t>2020-2023</t>
  </si>
  <si>
    <t>ARCH-24-008</t>
  </si>
  <si>
    <t>REJECTED/DENIED RETIREMENT CLAIM</t>
  </si>
  <si>
    <t>2000-2022</t>
  </si>
  <si>
    <t>REJECTED/DENIED FUNERAL CLAIM</t>
  </si>
  <si>
    <t>2000-2023</t>
  </si>
  <si>
    <t>ARCH-24-009</t>
  </si>
  <si>
    <t>KAPATAGAN SERVICE OFFICE - RECEIVED E4</t>
  </si>
  <si>
    <t>12-2020 / OCT &amp; NOV  2022 / JAN-OCT 2023 / JAN- AUG 2024</t>
  </si>
  <si>
    <t>ARCH-25-01</t>
  </si>
  <si>
    <t>JULY, OCT, NOV, DEC 2012</t>
  </si>
  <si>
    <t>JUNE, JULY, AUG, SEP 2014</t>
  </si>
  <si>
    <t>JAN, FEB, MAR, JUNE, &amp; JUL 2012 / JUNE, OCT, SEP, &amp; NOV 2013</t>
  </si>
  <si>
    <t>FEB, MAR, APR, JULY, &amp; SEP 2013</t>
  </si>
  <si>
    <t>AUG, SEP, OCT, NOV, &amp; DEC 2013 / JAN &amp; FEB 2014 / JUN 2010 / OCT 2012 / FEB 2015</t>
  </si>
  <si>
    <t>ARCH-25-03</t>
  </si>
  <si>
    <t>JAN, FEB, &amp; OCT 2012 / MAY 2013 / JAN, FEB, APR, SEP, NOV, &amp; MARCH 2014 / AUG, SEP, &amp; NOV 2018</t>
  </si>
  <si>
    <t>ARCH-25-02</t>
  </si>
  <si>
    <t>APR, MAY, JUN, JUL, &amp; OCT 2013 / JANUARY TO DECEMBER 2014</t>
  </si>
  <si>
    <t>FEB 2015 / JUL &amp; SEP 2016 / JUN, JULY, &amp; NOV 2017</t>
  </si>
  <si>
    <t>JAN, FEB, MAR, MAY, JUN, JUL, AUG, &amp; SEP 2014</t>
  </si>
  <si>
    <t>SEP 2014 / JAN, FEB, APR, MAY, JUN, &amp; AUG 2015 / JUL &amp; AUG 2016</t>
  </si>
  <si>
    <t>FEB &amp; MAR 2015 / AUG &amp; SEP 2016</t>
  </si>
  <si>
    <t>ARCH-25-04</t>
  </si>
  <si>
    <t>PRF 2024</t>
  </si>
  <si>
    <t>JAN 2  - FEB 28, 2024</t>
  </si>
  <si>
    <t>MAR 1  - APRIL 30, 2024</t>
  </si>
  <si>
    <t>MAY 2 - JUNE 28, 2024</t>
  </si>
  <si>
    <t>JUL 1 - AUG 30, 2024</t>
  </si>
  <si>
    <t>SEP 2 - OCT 31, 2024</t>
  </si>
  <si>
    <t>NOV 4 - DEC 27, 2024</t>
  </si>
  <si>
    <t>ARCH-25-047</t>
  </si>
  <si>
    <t>PRF 2025</t>
  </si>
  <si>
    <t>JAN 2 - FEB 28, 2025</t>
  </si>
  <si>
    <t>ARCH-25-048</t>
  </si>
  <si>
    <t>MAR 1 - APR 30, 2025</t>
  </si>
  <si>
    <t>ARCH-26-01</t>
  </si>
  <si>
    <t>SCANNED E4 &amp; RVF (COMPLEX)</t>
  </si>
  <si>
    <t>JUNE 2 2025 - JAN 15 2026</t>
  </si>
  <si>
    <t>ARCH-26-02</t>
  </si>
  <si>
    <t>MARCH, APRIL, MAY &amp; AUG 2023 / JAN - MAY 2024 / JAN-MAY 2025</t>
  </si>
  <si>
    <t>ARCH-26-03</t>
  </si>
  <si>
    <t>ACOP  (ANUAL CONFIRMATION OF PENSIONER)</t>
  </si>
  <si>
    <t>JANUARY - APRIL 2024</t>
  </si>
  <si>
    <t>JANUARY - MAY 2023</t>
  </si>
  <si>
    <t>MARCH - SEPTEMBER 2023</t>
  </si>
  <si>
    <t>MAY - SEPTEMBER 2025</t>
  </si>
  <si>
    <t>ARCH-26-04</t>
  </si>
  <si>
    <t>E4 (UPDATING/ CS)</t>
  </si>
  <si>
    <t>DEC 2017 / JUNE-SEPT 2016 / JAN-JUNE 2018 / JAN-DEC 2019 / JAN-FEB 2020</t>
  </si>
  <si>
    <t>FEB-JULY 2020 / JANUARY 2021 / MAY-DEC 2022</t>
  </si>
  <si>
    <t>JANUARY - DECEMBER 2024</t>
  </si>
  <si>
    <t>JANUARY-AUGUST 2023 / OCT-DEC 2023</t>
  </si>
  <si>
    <t>OCTOBER - DEC 2023</t>
  </si>
  <si>
    <t>AUGUST - OCTOBER  2023</t>
  </si>
  <si>
    <t>MAY - AUGUST 2023</t>
  </si>
  <si>
    <t>FEBRUARY - MAY 2023</t>
  </si>
  <si>
    <t>ARCH-26-05</t>
  </si>
  <si>
    <t>DSC/ CASH BOOK</t>
  </si>
  <si>
    <t>JAN-DEC 2025</t>
  </si>
  <si>
    <t>JAN - MARCH 2025</t>
  </si>
  <si>
    <t>APRIL - JUNE 2025</t>
  </si>
  <si>
    <t xml:space="preserve">REQUESTED MICROFILMS </t>
  </si>
  <si>
    <t>JAN-JUNE 2026</t>
  </si>
  <si>
    <t>ARCH-26-06</t>
  </si>
  <si>
    <t>LGU ILIGAN PAYMENTS/RECEIPTS</t>
  </si>
  <si>
    <t>2022, 2023, 2024</t>
  </si>
  <si>
    <t>RVF 2025</t>
  </si>
  <si>
    <t> </t>
  </si>
  <si>
    <t>SSS ILIGAN BRANCH</t>
  </si>
  <si>
    <t>BATCH NO. (TYPE HERE)</t>
  </si>
  <si>
    <t>ARCH-26-061</t>
  </si>
  <si>
    <t>ARCH-24-0022</t>
  </si>
  <si>
    <t>SECTION:</t>
  </si>
  <si>
    <t>CONTENT/S:</t>
  </si>
  <si>
    <t>GRDS NO:</t>
  </si>
  <si>
    <t>APPLICABLE YEAR:</t>
  </si>
  <si>
    <t>NO. OF YEARS:</t>
  </si>
  <si>
    <t>RETENTION PERIOD (YEAR):</t>
  </si>
  <si>
    <t>REMARKS:</t>
  </si>
  <si>
    <t>FOR RETENTION / ARCHIVING</t>
  </si>
  <si>
    <t>ARCH-26-048</t>
  </si>
  <si>
    <t>NAP Form No. 3</t>
  </si>
  <si>
    <t xml:space="preserve"> Accomplish in 3 Copies</t>
  </si>
  <si>
    <t>Revised 2012</t>
  </si>
  <si>
    <t xml:space="preserve">  AGENCY NAME:</t>
  </si>
  <si>
    <t>NATIONAL ARCHIVES OF THE PHILIPPINES</t>
  </si>
  <si>
    <t>Pambansang Sinupan ng Pilipinas</t>
  </si>
  <si>
    <t>SOCIAL SECURITY SYSTEM - ILIGAN BRANCH</t>
  </si>
  <si>
    <t>REQUEST FOR AUTHORITY TO DISPOSE OF RECORDS</t>
  </si>
  <si>
    <t xml:space="preserve"> ADDRRESS:</t>
  </si>
  <si>
    <t>SAN MIGUEL, ILIGAN CITY 9200</t>
  </si>
  <si>
    <t xml:space="preserve"> DATE:</t>
  </si>
  <si>
    <t xml:space="preserve"> TELEPHONE NUMBER:</t>
  </si>
  <si>
    <t xml:space="preserve"> EMAIL ADDRESS:                      </t>
  </si>
  <si>
    <t>063-221-2932</t>
  </si>
  <si>
    <t>iligan@sss.gov.ph</t>
  </si>
  <si>
    <t>ITEM NO.</t>
  </si>
  <si>
    <t>RECORDS SERIES TITLE AND DESCRIPTION</t>
  </si>
  <si>
    <t>Remarks</t>
  </si>
  <si>
    <t xml:space="preserve">  RETENTION PERIOD AND PROVISION/S  COMPLIED ( If Any )</t>
  </si>
  <si>
    <t>Batch Balance Sheet</t>
  </si>
  <si>
    <t>2011-2012</t>
  </si>
  <si>
    <t>2003-2022</t>
  </si>
  <si>
    <t>2014-2022</t>
  </si>
  <si>
    <t xml:space="preserve"> LOCATION OF RECORDS:</t>
  </si>
  <si>
    <t xml:space="preserve"> VOLUME IN CUBIC METERS:</t>
  </si>
  <si>
    <t>RIMS - CAGAYAN DE ORO</t>
  </si>
  <si>
    <t>125 BOXES</t>
  </si>
  <si>
    <t xml:space="preserve"> PREPARED BY: ( Name and Signature )</t>
  </si>
  <si>
    <t xml:space="preserve"> POSITION:</t>
  </si>
  <si>
    <t>ARNEL Y. BALISTOY</t>
  </si>
  <si>
    <t>ACTING ADMIN HEAD</t>
  </si>
  <si>
    <t xml:space="preserve"> CERTIFIED AND APPROVED BY:</t>
  </si>
  <si>
    <t>This is to certify tht the above-mentioned records are no longer needed and not involved nor</t>
  </si>
  <si>
    <t>connected in any administrative or judicial cases.</t>
  </si>
  <si>
    <t>CHERYL V. JARIOL, M.D.</t>
  </si>
  <si>
    <t>Branch Head II</t>
  </si>
  <si>
    <t>Name and Signature of Agency Head</t>
  </si>
  <si>
    <t>or Duly Authorized Representative</t>
  </si>
  <si>
    <t>Note: Batch 2</t>
  </si>
  <si>
    <t>2009-2013</t>
  </si>
  <si>
    <t>1994-2022</t>
  </si>
  <si>
    <t>2013-2022</t>
  </si>
  <si>
    <t>151 BOXES</t>
  </si>
  <si>
    <t>UP TO H02-24-00538</t>
  </si>
  <si>
    <t>HINAPLANON, ILIGAN CITY 9200</t>
  </si>
  <si>
    <t>JAN 1990
TO
JAN 2024</t>
  </si>
  <si>
    <t>last year remaining at RIMS</t>
  </si>
  <si>
    <t>62 BOXES</t>
  </si>
  <si>
    <t>CEO I, ADMIN HEAD</t>
  </si>
  <si>
    <t>JOSE ROEL J. HERBIETO</t>
  </si>
  <si>
    <t>Note: Batch 3</t>
  </si>
  <si>
    <t>UP TO H02-24-0111</t>
  </si>
  <si>
    <t>2012-2018</t>
  </si>
  <si>
    <t>REVISED</t>
  </si>
  <si>
    <t>10 BOXES</t>
  </si>
  <si>
    <t>Note: Batch 4</t>
  </si>
  <si>
    <t>Batch No/s:</t>
  </si>
  <si>
    <t>H02-23-0201
H02-23-0202
H02-23-0205
H02-23-02011
H02-23-02014
H02-23-02015
H02-23-02016
H02-23-02024
H02-23-02025
H02-23-02119</t>
  </si>
  <si>
    <t>BRANCH COMMONLY USED ITEMS:</t>
  </si>
  <si>
    <t>RECORD SERIES TITLE</t>
  </si>
  <si>
    <t>APPLICATIONS (RD,RO,EC MED, RF, MAT, SO, RR, SS, PLP, ACOP)</t>
  </si>
  <si>
    <t>1 YEAR</t>
  </si>
  <si>
    <t>EMPLOYER-MEMBER APPLICATIONS (R1,R1A,R8 ETC)</t>
  </si>
  <si>
    <t xml:space="preserve">1 YEAR </t>
  </si>
  <si>
    <t>EMPLOYEE-MEMBER APPLICATIONS (E1, E4, NW1, OW1, RS1, ETC)</t>
  </si>
  <si>
    <t>SSSRDS 17</t>
  </si>
  <si>
    <t>CONTRIBUTION COLLECTION LIST (REGULAR R3/H3)</t>
  </si>
  <si>
    <t>PERSONAL DATA SHEETS (CURRICULUM VITAE/RESUME)</t>
  </si>
  <si>
    <t>1 YEAR AFTER SUPERSEDED</t>
  </si>
  <si>
    <t>LOGBOOKS
         ARRIVAL &amp; DEPARTURE OF EMPLOYEES
         ATTENDANCE
        CLEARANCES ISSUED</t>
  </si>
  <si>
    <t xml:space="preserve">
2 YEARS AFTER DATE OF LAST ENTRY
1 YEAR PROVIDED LEAVE AND UNDERTIMES
            ARE POSTED IN THE LEAVE CARD
2 YEARS AFTER DATE OF LAST ENTRY</t>
  </si>
  <si>
    <t>DAILY TIME RECORDS</t>
  </si>
  <si>
    <t>1 YEAR AFTER DATA HAD BEEN POSTED IN
         LEAVE CARDS AND POST-AUDITED</t>
  </si>
  <si>
    <t>CERTIFICATIONS
         EMPLOYMENT
         RESIDENCY
         SERVICE
         OTHERS</t>
  </si>
  <si>
    <t>ATTENDANCE MONITORING SHEETS</t>
  </si>
  <si>
    <t>TRIP TICKETS</t>
  </si>
  <si>
    <t>SLIPS
         LOCATOR
         PERMISSION
         ROUTING</t>
  </si>
  <si>
    <t>REPORTS
        ANNUAL/SPECIAL
        OTHERS</t>
  </si>
  <si>
    <t xml:space="preserve">2 YEARS INCORPORATED IN THE ANNUAL REPORT
</t>
  </si>
  <si>
    <t>LOGBOOKS
         INCOMING/OUTGOING CORRESPONDENCES
         VISITORS
                    ORDINARY
                    VIP
         OTHERS</t>
  </si>
  <si>
    <t xml:space="preserve">
2 YEARS AFTER DATE OF LAST ENTRY
2 YEARS AFTER DATE OF LAST ENTRY
PERMANENT
2 YEARS AFTER DATE OF LAST ENTRY</t>
  </si>
  <si>
    <t>LISTS
         ASSOCIATIONS
         COMMITTEES
         COOPERATIVES
         DONORS
         MAILING
         TRANSMITTAL
         OTHERS</t>
  </si>
  <si>
    <t xml:space="preserve">1 YEAR AFTER UPDATED
TO BE FILED WITH APPROPRIATE RECORDS SERIES
</t>
  </si>
  <si>
    <t>CORRESPONDENCES
- FIELD INVESTIGATION REPORT
- SPECIAL CERTIFICATION
- OTHERS</t>
  </si>
  <si>
    <t xml:space="preserve">
TO BE FILED WITH APPROPRIATE RECORDS SERIES
2 YEARS AFTER ACTED UPON</t>
  </si>
  <si>
    <t>ITEM NO</t>
  </si>
  <si>
    <t>ARCHIVAL SERIES 24</t>
  </si>
  <si>
    <t>ACKNOWLEDGEMENT RECEIPTS</t>
  </si>
  <si>
    <t>TO BE FILED WITH APPROPRIATE RECORDS SERIES</t>
  </si>
  <si>
    <t>BROCHURES/LEAFLETS/PHAMPLETS (ABOUT OR BY THE AGENCY)</t>
  </si>
  <si>
    <t>1 YEAR PROVIDED 1 COPY IS RETAINED FOR REFERENCE</t>
  </si>
  <si>
    <t>ADMIN SECTION</t>
  </si>
  <si>
    <t>CALENDARS/SCHEDULES OF ACTIVITIES OR EVENTS</t>
  </si>
  <si>
    <t>CERTIFICATES OF APPEARANCE/CLEARANCES</t>
  </si>
  <si>
    <t>MARAWI SO</t>
  </si>
  <si>
    <t>CERTIFICATIONS</t>
  </si>
  <si>
    <t>CHARTS
         FUNCTIONAL
        ORGANIZATIONAL</t>
  </si>
  <si>
    <t>PERMANENT</t>
  </si>
  <si>
    <t>CORRESPONDENCES
      FIELD INVESTIGATION REPORT
      SPECIAL CERTIFICATION
      OTHERS</t>
  </si>
  <si>
    <t>DELIVERY RECEIPTS</t>
  </si>
  <si>
    <t>2 YEARS</t>
  </si>
  <si>
    <t>DIRECTORIES OF EMPLOYEES/OFFICIALS</t>
  </si>
  <si>
    <t>2 YEARS AFTER SUPERSEDED</t>
  </si>
  <si>
    <t>FEASIBILITY STUDIES</t>
  </si>
  <si>
    <t>PERMANENT IF IMPLEMENTED, OTHERWISE
DISPOSE AFTER 5 YEARS FROM DATE OF RECORD</t>
  </si>
  <si>
    <t>ARCH-24-010</t>
  </si>
  <si>
    <t>GATE PASSES</t>
  </si>
  <si>
    <t>6 MONTHS</t>
  </si>
  <si>
    <t>ARCH-24-011</t>
  </si>
  <si>
    <t>INQUIRIES</t>
  </si>
  <si>
    <t>2 YEARS AFTER ACTED UPON</t>
  </si>
  <si>
    <t>ARCH-24-012</t>
  </si>
  <si>
    <t>ISSUANCE
        ISSUED BY OR FOR THE HEAD OF AGENCY
        DOCUMENTING POLICIES/FUNCTIONS/
        PROGRAMS OF THE AGENCY
       ISSUED BY OR FOR THE HEAD OF AGENCY
       REFLECTING ROUTINARY INFORMATION OR
       INSTRUCTION</t>
  </si>
  <si>
    <t xml:space="preserve">
PERMANENT
2 YEARS AFTER SUPERSEDED</t>
  </si>
  <si>
    <t>ARCH-24-013</t>
  </si>
  <si>
    <t>ARCH-24-014</t>
  </si>
  <si>
    <t>ARCH-24-015</t>
  </si>
  <si>
    <t>MANUALS</t>
  </si>
  <si>
    <t>ARCH-24-016</t>
  </si>
  <si>
    <t>MEETINGS/PROCEEDINGS FILES
          AGENDA
          MINUTES
                    BOARD/EXECUTIVE COMMITTEE
                    STAFF
          NOTICES</t>
  </si>
  <si>
    <t xml:space="preserve">
1 YEAR
PERMANENT
1 YEAR
1 YEAR</t>
  </si>
  <si>
    <t>ARCH-24-017</t>
  </si>
  <si>
    <t>OFFICIAL GAZETTES</t>
  </si>
  <si>
    <t>ARCH-24-018</t>
  </si>
  <si>
    <t>PERMITS</t>
  </si>
  <si>
    <t>1 YEAR AFTER RENEWES/EXPIRED</t>
  </si>
  <si>
    <t>ARCH-24-019</t>
  </si>
  <si>
    <t>PLANS
        ACTION/WORK
        OTHERS</t>
  </si>
  <si>
    <t>3 YEARS AFTER IMPLEMENTED
PERMANENT IF IMPLEMENTED, OTHERWISE
         DISPOSE 5 YEARS FROM DATE OF RECORD</t>
  </si>
  <si>
    <t>ARCH-24-020</t>
  </si>
  <si>
    <t>PRESS RELEASES (ABOUT OR BY THE AGENCY)</t>
  </si>
  <si>
    <t>ARCH-24-021</t>
  </si>
  <si>
    <t>PROGRAMS
           WORK
           OTHERS</t>
  </si>
  <si>
    <t xml:space="preserve">
3 YEARS
PERMANENT IF IMPLEMENTED, OTHERWISE
      DISPOSE 5 YEARS FROM DATE OF RECORD
</t>
  </si>
  <si>
    <t>ARCH-24-022</t>
  </si>
  <si>
    <t>PROPOSALS</t>
  </si>
  <si>
    <t xml:space="preserve">PERMANENT IF IMPLEMENTED, OTHERWISE
      DISPOSE 5 YEARS FROM DATE OF RECORD
</t>
  </si>
  <si>
    <t>ARCH-24-023</t>
  </si>
  <si>
    <t>PUBLICATIONS (RECORD SET)</t>
  </si>
  <si>
    <t>ARCH-24-024</t>
  </si>
  <si>
    <t>REORGANIZATION RECORDS</t>
  </si>
  <si>
    <t>ARCH-24-025</t>
  </si>
  <si>
    <t>REPORTS
-OTHERS (Batch Balance Sheet)</t>
  </si>
  <si>
    <t>ARCH-24-026</t>
  </si>
  <si>
    <t>REQUESTS</t>
  </si>
  <si>
    <t>ARCH-24-027</t>
  </si>
  <si>
    <t>ARCH-24-028</t>
  </si>
  <si>
    <t>SPEECHES (RECORD SET)</t>
  </si>
  <si>
    <t>ARCH-24-029</t>
  </si>
  <si>
    <t>STANDARD OPERATING PROCEDURES (SOP)</t>
  </si>
  <si>
    <t>ARCH-24-030</t>
  </si>
  <si>
    <t>TELEGRAMS</t>
  </si>
  <si>
    <t>1 YEAR AFTER ACTED UPON</t>
  </si>
  <si>
    <t>ARCH-24-031</t>
  </si>
  <si>
    <t>ARCH-24-032</t>
  </si>
  <si>
    <t>ARCH-24-033</t>
  </si>
  <si>
    <t>BUDGET RECORDS</t>
  </si>
  <si>
    <t>ARCH-24-034</t>
  </si>
  <si>
    <t>ARCH-24-035</t>
  </si>
  <si>
    <t>ALLOTMENT FILES
           ADVICES OF ALLOTMENT (AA)
           AGENCY BUDGET MATRIXES
           ALLOTMENT RELEASE ORDERS
                      GENERAL (GARO)
                      SPECIAL (SARO)
          OBLIGATION REQUEST/SLIPS (ALOBS)
          PLAN OF WORK AND REQUESTS FOR ALLOTMENT
          REGISTRIES OF ALLOTMENT &amp; OBLIGATIONS (RAO)
                  CAPITAL OUTLAY (RAOCO)
                   FINANCIAL EXPENSES (RAOFE)
                   MAINTENANCE &amp; OTHER OPERATING 
                       EXPENSES (RAOMO)
                   PERSONAL SERVICES (RAOPS)
         REQUESTS FOR OBLIGATION OF ALLOTMENT (ROA)
         STATEMENTS OF ALLOTMENT, OBLIGATIONS &amp;
             BALANCES (SAOB)
          STATEMENTS OF APPROPRIATIONS, ALLOTMENT &amp;
               ADVICE (SAAA)</t>
  </si>
  <si>
    <t xml:space="preserve">
3 YEARS
3 YEARS
3 YEARS
3 YEARS
3 YEARS
10 YEARS
3 YEARS
3 YEARS
3 YEARS
</t>
  </si>
  <si>
    <t>ARCH-24-036</t>
  </si>
  <si>
    <t>ANNUAL BUDGETS</t>
  </si>
  <si>
    <t xml:space="preserve">3 YEARS </t>
  </si>
  <si>
    <t>ARCH-24-037</t>
  </si>
  <si>
    <t>BUDGET ESTIMATES INCLUDING ANALYSIS SHEETS
   AND ESTIMATES OF INCOME</t>
  </si>
  <si>
    <t>3 YEARS</t>
  </si>
  <si>
    <t>ARCH-24-038</t>
  </si>
  <si>
    <t>BUDGET EXPENDITURES
         PROGRAMS
         SOURCES OF FINANCING</t>
  </si>
  <si>
    <t>5 YEARS</t>
  </si>
  <si>
    <t>ARCH-24-039</t>
  </si>
  <si>
    <t>BUDGET ISSUANCES ( THOSE USED AS AUTHORITY
   FOR AGENCY TRANSACTIONS)</t>
  </si>
  <si>
    <t>10 YEARS</t>
  </si>
  <si>
    <t>ARCH-24-040</t>
  </si>
  <si>
    <t>BUDGET SHEET ANALYSIS</t>
  </si>
  <si>
    <t>ARCH-24-041</t>
  </si>
  <si>
    <t>BUDGETARY CEILINGS</t>
  </si>
  <si>
    <t>ARCH-24-042</t>
  </si>
  <si>
    <t>CASH ALLOCATION CEILINGS/NOTICES OF CASH ALLOCATION</t>
  </si>
  <si>
    <t>ARCH-24-043</t>
  </si>
  <si>
    <t>CERTIFICATIONS OF FUND AVAILABILITY</t>
  </si>
  <si>
    <t>ARCH-24-044</t>
  </si>
  <si>
    <t>GENERAL APPROPRIATIONS ACTS</t>
  </si>
  <si>
    <t>ARCH-24-045</t>
  </si>
  <si>
    <t>ORGANIZATIONAL PERFORMANCE INDICATOR FRAMEWORK (OPIF)</t>
  </si>
  <si>
    <t>ARCH-24-046</t>
  </si>
  <si>
    <t>PHYSICAL REPORTS OF OPERATIONS</t>
  </si>
  <si>
    <t>ARCH-24-047</t>
  </si>
  <si>
    <t>SPECIAL/SUPPLEMENTAL BUDGETS</t>
  </si>
  <si>
    <t>ARCH-24-048</t>
  </si>
  <si>
    <t>WORK AND FINANCIAL PLANS</t>
  </si>
  <si>
    <t>ARCH-24-049</t>
  </si>
  <si>
    <t>ARCH-24-050</t>
  </si>
  <si>
    <t>FINANCIAL AND ACCOUNTING RECORDS</t>
  </si>
  <si>
    <t>ARCH-24-051</t>
  </si>
  <si>
    <t>ARCH-24-052</t>
  </si>
  <si>
    <t>ABSTRACTS
         DAILY COLLECTIONS
         DEPOSITS AND TRUST FUNDS
         GENERAL COLLECTIONS
         SUB - VOUCHERS</t>
  </si>
  <si>
    <t>5YEARS
5 YEARS
5 YEARS
2 YEARS</t>
  </si>
  <si>
    <t>ARCH-24-053</t>
  </si>
  <si>
    <t xml:space="preserve">ADVICES
           CHECKS ISSUED &amp; CANCELLED
           REMITTANCE
            </t>
  </si>
  <si>
    <t xml:space="preserve">
4 YEARS
10 YEARS</t>
  </si>
  <si>
    <t>ARCH-24-054</t>
  </si>
  <si>
    <t>ANNUAL STATEMENTS OF ACCOUNTS PAYABLE</t>
  </si>
  <si>
    <t>ARCH-24-055</t>
  </si>
  <si>
    <t>AUDITOR'S CONTRACT CARDS</t>
  </si>
  <si>
    <t>ARCH-24-056</t>
  </si>
  <si>
    <t>AUTHORITIES FOR ALLOWANCES</t>
  </si>
  <si>
    <t>2 YEARS AFTER TERMINATED</t>
  </si>
  <si>
    <t>ARCH-24-057</t>
  </si>
  <si>
    <t>AUTHORIZATIONS
         OVERTIME
         PURCHASE OF EQUIPMENT/PROPERTY
         TRANSFER OF FUND
          TRAVEL
           OTHERS</t>
  </si>
  <si>
    <t>1 YEAR AFTER EXPIRED</t>
  </si>
  <si>
    <t>ARCH-24-058</t>
  </si>
  <si>
    <t>BANK SLIPS
        DEPOSITS
        REMITTANCES</t>
  </si>
  <si>
    <t>ARCH-24-059</t>
  </si>
  <si>
    <t>BILLS</t>
  </si>
  <si>
    <t>10 YEARS AFTER SETTLED</t>
  </si>
  <si>
    <t>ARCH-24-060</t>
  </si>
  <si>
    <t xml:space="preserve">BONDING FILES
          ACTION
          APPLICATIONS/REQUESTS
          FIDELITY/SURETY BOND
          INDEMNITY FOR ISSUANCE OF DUE WARRANT
 </t>
  </si>
  <si>
    <t xml:space="preserve">
3 YEARS
3 YEARS
5 YEARS AFTER EXPIRED/TERMINATED
3 YEARS</t>
  </si>
  <si>
    <t>ARCH-24-061</t>
  </si>
  <si>
    <t>BOOKS OF FINAL ENTRY
         GENERAL LEDGERS
         SUBSIDIARY LEDGERS</t>
  </si>
  <si>
    <t>ARCH-24-062</t>
  </si>
  <si>
    <t>BOOKS OF ORIGINAL ENTRY
         CASH DISBURSEMENT JOURNALS
          CASH JOURNALS
          CASH RECEIPTS JOURNALS
          CHECK DISBURSEMENT JOURNALS
          GENERAL JOURNALS
          JOURNALS OF ANALYSIS OF OBLIGATION
          JOURNALS OF BILL RENDERED
          JOURNALS OF CHECK ISSUED
         JOURNALS OF COLLECTION AND DEPOSIT
         JOURNALS OF DISBURSEMENT BY DISBURSING 
              OFFICER</t>
  </si>
  <si>
    <t>ARCH-24-063</t>
  </si>
  <si>
    <t>CASH FLOW CHARTS</t>
  </si>
  <si>
    <t>ARCH-24-064</t>
  </si>
  <si>
    <t>CERTIFICATES
          SETTLEMENT AND BALANCES
         SHORTAGES</t>
  </si>
  <si>
    <t xml:space="preserve">
10 YEARS ROVIDED POST- AUDITED, FINALLY
         SETTLED AND NOT INVOLVED IN ANY CASE
10 YEARS AFTER  SETTLED
</t>
  </si>
  <si>
    <t>ARCH-24-065</t>
  </si>
  <si>
    <t>CLAIMS
        INSURANCE
        HEALTH BENEFITS
        HOSPITAL</t>
  </si>
  <si>
    <t>10 YEARS AFTER  SETTLED</t>
  </si>
  <si>
    <t>ARCH-24-066</t>
  </si>
  <si>
    <t>CHECKS AND CHECK STUBS</t>
  </si>
  <si>
    <t xml:space="preserve">10 YEARS ROVIDED POST- AUDITED, FINALLY
         SETTLED AND NOT INVOLVED IN ANY CASE
</t>
  </si>
  <si>
    <t>ARCH-24-067</t>
  </si>
  <si>
    <t>DAILY CASH FLOW</t>
  </si>
  <si>
    <t>ARCH-24-068</t>
  </si>
  <si>
    <t>DAILY STATEMENT OF COLLECTIONS</t>
  </si>
  <si>
    <t>ARCH-24-069</t>
  </si>
  <si>
    <t>EXPENSE LEDGERS</t>
  </si>
  <si>
    <t>ARCH-24-070</t>
  </si>
  <si>
    <t xml:space="preserve">FINANCIAL STATEMENTS
          BALANCE SHEETS
          INCOME STATEMENTS
          STATEMENTS OF CASH FLOWS (ANNUAL)
          STATEMENTS OF OPERATION
   </t>
  </si>
  <si>
    <t>ARCH-24-071</t>
  </si>
  <si>
    <t>INDICES OF PAYMENTS
         CREDITORS
         EMPLOYEES
         SUNDRY PAYMENTS BY CHECKS/WARRANTS</t>
  </si>
  <si>
    <t xml:space="preserve">
5 YEARS
15 YEARS AFTER RETIRED/SEPARATED
PERMANENT</t>
  </si>
  <si>
    <t>ARCH-24-072</t>
  </si>
  <si>
    <t>JOURNAL ENTRY VOUCHERS</t>
  </si>
  <si>
    <t>12 YEARS PROVIDED POST-AUDITED, FINALLY 
        SETTLED AND NOT INVOLVED IN ANY CASE</t>
  </si>
  <si>
    <t>ARCH-24-073</t>
  </si>
  <si>
    <t xml:space="preserve">LISTS OF REMITTANCES
         LOANS
         PREMIUMS
      </t>
  </si>
  <si>
    <t>ARCH-24-074</t>
  </si>
  <si>
    <t>LOGBOOKS OF GENERAL FUNDS</t>
  </si>
  <si>
    <t>3 YEARS AFTER DATE OF LAST ENTRY</t>
  </si>
  <si>
    <t>ARCH-24-075</t>
  </si>
  <si>
    <t xml:space="preserve">MONTHLY SETTLEMENTS OF MONTHLY SUBSIDIARY
    LEDGER BALANCE
</t>
  </si>
  <si>
    <t>ARCH-24-076</t>
  </si>
  <si>
    <t>NOTICES
          DISALLOWANCES
          SUSPENSIONS</t>
  </si>
  <si>
    <t>3 YEARS AFTER SETTLED</t>
  </si>
  <si>
    <t>ARCH-24-077</t>
  </si>
  <si>
    <t>OFFICIAL CASH BOOKS</t>
  </si>
  <si>
    <t>ARCH-24-078</t>
  </si>
  <si>
    <t xml:space="preserve">OFFICIAL CASH BOOKS FOR BANK CASH BOOK </t>
  </si>
  <si>
    <t>ARCH-24-079</t>
  </si>
  <si>
    <t>OFFICIAL RECEIPTS</t>
  </si>
  <si>
    <t xml:space="preserve">10 YEARS POST- AUDITED FINALLY SETTLED AND NOT INVOLVED IN ANY CASE
</t>
  </si>
  <si>
    <t>ARCH-24-080</t>
  </si>
  <si>
    <t>ORDERS OF PAYMENT</t>
  </si>
  <si>
    <t>ARCH-24-081</t>
  </si>
  <si>
    <t>PAYROLLS</t>
  </si>
  <si>
    <t xml:space="preserve">10 YEARS ROVIDED POST- AUDITED, FINALLY SETTLED AND NOT INVOLVED IN ANY CASE
</t>
  </si>
  <si>
    <t>ARCH-24-082</t>
  </si>
  <si>
    <t>PAYROLL PAYMENT SLIPS/PAY SLIPS</t>
  </si>
  <si>
    <t>ARCH-24-083</t>
  </si>
  <si>
    <t>QUARTERLY STATEMENTS OF CHARGES TO ACCOUNTS
    PAYABLE</t>
  </si>
  <si>
    <t>ARCH-24-084</t>
  </si>
  <si>
    <t xml:space="preserve">REGISTRY BOOKS OF CHECK RELEASED </t>
  </si>
  <si>
    <t>ARCH-24-085</t>
  </si>
  <si>
    <t>REGISTERS
              CHECKS/WARRANTS
               CHECKS/WARRANTS CONTROL</t>
  </si>
  <si>
    <t>ARCH-24-086</t>
  </si>
  <si>
    <t>RECEIPTS FROM ACCOUNTABILITY
        DECISIONS 
        REQUESTS</t>
  </si>
  <si>
    <t>10 YEARS PROVIDED A COPY IS FILED WITH
           201 FILES</t>
  </si>
  <si>
    <t>ARCH-24-087</t>
  </si>
  <si>
    <t>REPORTS  (Daily Cash Reports)</t>
  </si>
  <si>
    <t>ARCH-24-088</t>
  </si>
  <si>
    <t>SCHEDULES OF ACCOUNTS RECEIVABLES</t>
  </si>
  <si>
    <t>ARCH-24-089</t>
  </si>
  <si>
    <t xml:space="preserve">STATEMENTS
    ACCOUNTS
            CURRENT
            PAYABLE
            RECEIVABLE
    COMMON FUNDS
    FINANCIAL CONDITIONS
    PROFITS AND LOSSES
    RECONCILIATIONS
</t>
  </si>
  <si>
    <t xml:space="preserve">
3 YEARS
10 YEARS
PERMANENT
10 YEARS
10 YEARS
PERMANENT
10 YEARS</t>
  </si>
  <si>
    <t>ARCH-24-090</t>
  </si>
  <si>
    <t>SUMMARIES OF UNLIQIDATED OBLIGATIONS AND
   ACCOUNTS PAYABLE</t>
  </si>
  <si>
    <t>ARCH-24-091</t>
  </si>
  <si>
    <t>SUNDRY PAYMENTS</t>
  </si>
  <si>
    <t>ARCH-24-092</t>
  </si>
  <si>
    <t>TREASURY CHECKING ACCOUNTS OF AGENCY (TCAA)</t>
  </si>
  <si>
    <t>ARCH-24-093</t>
  </si>
  <si>
    <t>TREASURY DRAFTS</t>
  </si>
  <si>
    <t>ARCH-24-094</t>
  </si>
  <si>
    <t>TREASURY WARRANTS</t>
  </si>
  <si>
    <t>ARCH-24-095</t>
  </si>
  <si>
    <t xml:space="preserve">TRIAL BALANCES AND SUPPORTING SCHEDULES
          CUMULATIVE RESULTS OF OPERATIONS-UNAPPROPRIATED
          FINAL ANNUAL TRIAL BALANCES
                    ACCOUNTING'S COPY
                    AUDITOR'S COPY
                    REGIONAL OFFICE COPY
          MONTHLY/QUARTERLY TRIAL BALANCES
         PRELIMINARY TRIAL BALANCES
                   ACCOUNTING'S COPY
                  AUDITOR'S COPY
                  REGIONAL OFFICE'S COPY
                    </t>
  </si>
  <si>
    <t xml:space="preserve">
PERMANENT
10 YEARS AFTER ANNUAL FINANCIAL REPORT
       HAS BEEN PUBLISHED
PERMANENT
10 YEARS AFTER ANNUAL FINANCIAL REPORT
       HAS BEEN PUBLISHED
2 YEARS AFTER CONSOLIDATED IN THE ANNUAL 
    FINANCIAL REPORT
10 YEARS AFTER ANNUAL FINANCIAL REPORT
       HAS BEEN PUBLISHED
PERMANENT
10 YEARS AFTER ANNUAL FINANCIAL REPORT
       HAS BEEN PUBLISHED
</t>
  </si>
  <si>
    <t>ARCH-24-096</t>
  </si>
  <si>
    <t xml:space="preserve">VOUCHERS, INCLUDING BILLS, INVOICES &amp; OTHER
    SUPPORTING DOCUMENTS
      DISBURSEMENTS
       JOURNLAS
      PETTY CASH
      REIMBURSEMENT EXPENSE RECEIPTS
      TRAVELLING EXPENSES
</t>
  </si>
  <si>
    <t>10 YEARS PROVIDED POST-AUDITED, FINALLY
SETTLED AND NOT INVOVED IN ANY CASE
FOR COA &amp; ACCOUNTING OFFICE/DEPARTMENT/
DIVISION/SECTION/UNIT.ALL OTHER COPIES
DISPOSE AFTER 1 YEAR.</t>
  </si>
  <si>
    <t>ARCH-24-097</t>
  </si>
  <si>
    <t>WITHHOLDING  TAX CERTIFICATES</t>
  </si>
  <si>
    <t>4 YEARS AFTER SUPERSEDED</t>
  </si>
  <si>
    <t>ARCH-24-098</t>
  </si>
  <si>
    <r>
      <t>HUMAN RESOURCE/PERSONNEL</t>
    </r>
    <r>
      <rPr>
        <b/>
        <sz val="11"/>
        <color rgb="FFC00000"/>
        <rFont val="Calibri"/>
        <family val="2"/>
        <scheme val="minor"/>
      </rPr>
      <t xml:space="preserve">
</t>
    </r>
    <r>
      <rPr>
        <b/>
        <u/>
        <sz val="11"/>
        <color rgb="FFC00000"/>
        <rFont val="Calibri"/>
        <family val="2"/>
        <scheme val="minor"/>
      </rPr>
      <t>MANAGEMENT RECORDS</t>
    </r>
  </si>
  <si>
    <t>ARCH-24-099</t>
  </si>
  <si>
    <t>ANNUAL SUMMARY REPORTS FOR REPLACEMENT
      PROGRAM FOR NON-ELIGIBLES</t>
  </si>
  <si>
    <t>ARCH-24-100</t>
  </si>
  <si>
    <t>APPLICATIONS
         EMPLOYMENT
         LEAVE OF ABSENCE AND SUPPORTING DOCUMENTS
         RELIEF OF ACCOUNTABILITY
         RETIREMENT/RESIGNATION</t>
  </si>
  <si>
    <t xml:space="preserve">
1 YEAR
1 YEAR AFTER RECORDED IN THE LEAVE CARDS
5 YEARS AFTER SEPARATED/RETIRED
1 YEAR</t>
  </si>
  <si>
    <t>ARCH-24-101</t>
  </si>
  <si>
    <t>ARCH-24-102</t>
  </si>
  <si>
    <t>AUTHORITIES/REQUESTS TO CREATE OR FILL
     VACANT POSITIONS</t>
  </si>
  <si>
    <t>2 YEARS AFTER VACANT POSITIONS HAD BEEN
        FILLED UP</t>
  </si>
  <si>
    <t>ARCH-24-103</t>
  </si>
  <si>
    <t>ARCH-24-104</t>
  </si>
  <si>
    <t>COMPARATIVE DATA MATRIX OF EMPLOYEES</t>
  </si>
  <si>
    <t>ARCH-24-105</t>
  </si>
  <si>
    <t>ARCH-24-106</t>
  </si>
  <si>
    <t>EMPLOYEE INTERVIEW RECORDS</t>
  </si>
  <si>
    <t>ARCH-24-107</t>
  </si>
  <si>
    <t>HANDWRITING SPECIMENS/SIGNATURE</t>
  </si>
  <si>
    <t>ARCH-24-108</t>
  </si>
  <si>
    <t>JOB ORDER EMPLOYMENT CONTRACTS</t>
  </si>
  <si>
    <t>5 YEARS AFTER TERMINATED</t>
  </si>
  <si>
    <t>ARCH-24-109</t>
  </si>
  <si>
    <t>LEAVE CREDIT CARDS</t>
  </si>
  <si>
    <t>15 YEARS AFTER SEPARATED/RETIRED</t>
  </si>
  <si>
    <t>ARCH-24-110</t>
  </si>
  <si>
    <t>LISTS OF ELIGIBLES/NON-ELIGIBLES</t>
  </si>
  <si>
    <t>1 YEAR AFTER UPDATED</t>
  </si>
  <si>
    <t>ARCH-24-111</t>
  </si>
  <si>
    <t>ARCH-24-112</t>
  </si>
  <si>
    <t>MEDICAL CERTIFICATES IN SUPPORT OF ABSENCE
    ON ACCOUNT OF ILLNESS/MATERNITY</t>
  </si>
  <si>
    <t>3 YEARS AFTER ABSENCES HAD BEEN
          RECORDED IN LEAVE CARDS</t>
  </si>
  <si>
    <t>ARCH-24-113</t>
  </si>
  <si>
    <t>MEMBERSHIP FILES
        GSIS
        PAG-IBIG
        PHILHEALTH</t>
  </si>
  <si>
    <t>ARCH-24-114</t>
  </si>
  <si>
    <t>MERIT PROMOTION PLANS</t>
  </si>
  <si>
    <t>ARCH-24-115</t>
  </si>
  <si>
    <t>PERFORMANCE FILES
           APPRAISAL
           EVALUATION
           RATING CARDS
           TARGET WORKDHEETS</t>
  </si>
  <si>
    <t xml:space="preserve">
1 YEAR
1 YEAR
5 YEARS
1 YEAR</t>
  </si>
  <si>
    <t>ARCH-24-116</t>
  </si>
  <si>
    <t>PERMISSIONS TO ENGAGE IN BUSINESS/PRIVATE
    PRACTICE/TEACH</t>
  </si>
  <si>
    <t>2 YEARS AFTER EXPIRED</t>
  </si>
  <si>
    <t>ARCH-24-117</t>
  </si>
  <si>
    <t>ARCH-24-118</t>
  </si>
  <si>
    <t>PERSONNEL FOLDERS (201 FILES)
          APPOINTMENTS
          ACCEPTANCE OF RESIGNATION
          APPROVAL OF RETIREMENT
          AWARDS
          BENEFIT/GRATUITY
          CERTIFICATES
                    ELIGIBILITY
                    RURAL SERVICE
                    TRAINING/SEMINAR ATTENDED
          CHANGE OF MARITAL STATUS/NAME
          CLEARANCE (LATEST)
          DESIGNATION/DETAILS
          OATHS OF OFFICE
          PERSONAL DATA SHEET (LATEST)
          POSITION DISCRIPTIONS
          REINSTATEMENTS
          SERVICE RECORDS (UPDATED)
          STATEMENTS OF DUTIES AND RESPONSIBILITIES</t>
  </si>
  <si>
    <t>ARCH-24-119</t>
  </si>
  <si>
    <t>PLANTILLA OF PERSONNEL</t>
  </si>
  <si>
    <t>PERMANENT WHILE OTHER COPIES DISPOSE
       AFTER 3 YEARS</t>
  </si>
  <si>
    <t>POSITION ALLOCATION LISTS</t>
  </si>
  <si>
    <t>POSITION CLASSIFICATIONS AND PAY PLANS</t>
  </si>
  <si>
    <t>5 YEARS AFTER SUPERSEDED</t>
  </si>
  <si>
    <t>RECOMMENDATIONS/REFERRALS</t>
  </si>
  <si>
    <t>REPORTS
        EXAMINATIONS
        PERSONNEL ACTIONS</t>
  </si>
  <si>
    <t xml:space="preserve">
2 YEARS
PERMANENT</t>
  </si>
  <si>
    <t>ARCH-25-05</t>
  </si>
  <si>
    <t>REQUESTS
         ACCUMULATED LEAVE CREDITS
         APPROVAL ON PROMOTIONS
         BONDING OFFICIALS/EMPLOYEES
         CHANGES OF STATUS
         REINSTATEMENTS
         TRANSFERS</t>
  </si>
  <si>
    <t>1 YEAR AFTER ACTED UPON/CLEARED</t>
  </si>
  <si>
    <t>ARCH-25-06</t>
  </si>
  <si>
    <t>SALARY STANDARDIZATION RECORDS</t>
  </si>
  <si>
    <t>ARCH-25-07</t>
  </si>
  <si>
    <t>STAFFING PATTERNS</t>
  </si>
  <si>
    <t>ARCH-25-08</t>
  </si>
  <si>
    <t>SERVICE CARDS</t>
  </si>
  <si>
    <t>ARCH-25-09</t>
  </si>
  <si>
    <t>STATEMENTS OF ASSETS AND LIABILITIES</t>
  </si>
  <si>
    <t>ARCH-25-10</t>
  </si>
  <si>
    <t>ARCH-25-11</t>
  </si>
  <si>
    <t>LEGAL RECORDS</t>
  </si>
  <si>
    <t>ARCH-25-12</t>
  </si>
  <si>
    <t>ARCH-25-13</t>
  </si>
  <si>
    <t>ADMINISTRATIVE CASES</t>
  </si>
  <si>
    <t>7 YEARS AFTER FINALLY SETTLED EXCEPT
        DECISIONS WHICH ARE PERMANENT</t>
  </si>
  <si>
    <t>ARCH-25-14</t>
  </si>
  <si>
    <t>AFFIDAVITS</t>
  </si>
  <si>
    <t>1 YEAR AFTER PURPOSE HAD BEEN SERVED</t>
  </si>
  <si>
    <t>ARCH-25-15</t>
  </si>
  <si>
    <t>ARTICLES OF INCORPORATION/BY-LAWS</t>
  </si>
  <si>
    <t>ARCH-25-16</t>
  </si>
  <si>
    <t>COMPLAINTS/PROTESTS</t>
  </si>
  <si>
    <t>5 YEARS AFTER SETTLED</t>
  </si>
  <si>
    <t>ARCH-25-17</t>
  </si>
  <si>
    <t>CONTRACTS</t>
  </si>
  <si>
    <t>5 YEARS AFTER RENEWED/TERMINATED AND/OR
        FINALLY SETTLED</t>
  </si>
  <si>
    <t>ARCH-25-18</t>
  </si>
  <si>
    <t>DECISIONS</t>
  </si>
  <si>
    <t>ARCH-25-19</t>
  </si>
  <si>
    <t>DEEDS
        DONATION
        SALE</t>
  </si>
  <si>
    <t>ARCH-25-20</t>
  </si>
  <si>
    <t>LEGAL OPINIONS</t>
  </si>
  <si>
    <t>ARCH-25-21</t>
  </si>
  <si>
    <t>MEMORANDA OF AGREEMENT/UNDERSTANDING</t>
  </si>
  <si>
    <t>ARCH-25-22</t>
  </si>
  <si>
    <t>PETITIONS</t>
  </si>
  <si>
    <t>ARCH-25-23</t>
  </si>
  <si>
    <t>RESOLUTIONS</t>
  </si>
  <si>
    <t>ARCH-25-24</t>
  </si>
  <si>
    <t>SPECIAL POWERS OF ATTORNEY</t>
  </si>
  <si>
    <t>ARCH-25-25</t>
  </si>
  <si>
    <t>SUBPOENAS
        AD TESTIFICANDUM
        DUCES TECUM</t>
  </si>
  <si>
    <t>3 YEARS OR TO BE FILLED WITH APPROPRIATE
    CASE</t>
  </si>
  <si>
    <t>ARCH-25-26</t>
  </si>
  <si>
    <t>ARCH-25-27</t>
  </si>
  <si>
    <t>PROCUREMENT AND SUPPLY RECORDS</t>
  </si>
  <si>
    <t>ARCH-25-28</t>
  </si>
  <si>
    <t>ARCH-25-29</t>
  </si>
  <si>
    <t>ACKNOWLEDGEMENT RECEIPTS FOR EQUIPMENT (ARE)/
     MEMORANDUM RECEIPTS OF EQUIPMENT (MRE),
     SEMI-EXPENDABLE AND NON-EXPANDABLE PROPERTIES</t>
  </si>
  <si>
    <t>1 YEAR AFTER EQUIPMENT HAD BEEN RETURNED</t>
  </si>
  <si>
    <t>ARCH-25-30</t>
  </si>
  <si>
    <t>ANNUAL PROCUREMENTS
          PLANS
          PROGRAMS</t>
  </si>
  <si>
    <t>ARCH-25-31</t>
  </si>
  <si>
    <t>BIDS AND AWARDS COMMITTEE FILES
         ABSTRACTS
         INVITATIONS
         MINUTES
         PRE/POST QUALIFICATIONS
         PUBLICATIONS
         RESOLUTIONS</t>
  </si>
  <si>
    <t>5 YEARS AFTER CONTRACT OF WINNER HAD
    BEEN TERMINATED/SETTLED, OTHERS DISPOSE
    AFTER 1 YEAR</t>
  </si>
  <si>
    <t>ARCH-25-32</t>
  </si>
  <si>
    <t>BILLS OF LADING</t>
  </si>
  <si>
    <t>2 YEARS AFTER DELIVERY HAD BEEN ACCEPTED</t>
  </si>
  <si>
    <t>ARCH-25-33</t>
  </si>
  <si>
    <t>BIN CARDS/STOCK CARDS ON SUPPLIES</t>
  </si>
  <si>
    <t>ARCH-25-34</t>
  </si>
  <si>
    <t>CANVASS OF PRICES</t>
  </si>
  <si>
    <t>10 YEARS IF ATTACHED TO VOUCHERS,
     OTHERWISE, DISPOSE AFTER 2 YEARS</t>
  </si>
  <si>
    <t>ARCH-25-35</t>
  </si>
  <si>
    <t>EQUIPMENT LEDGER CARDS</t>
  </si>
  <si>
    <t>2 YEARS AFTER EQUIPMENT HAD BEEN DISPOSED</t>
  </si>
  <si>
    <t>ARCH-25-36</t>
  </si>
  <si>
    <t>INVENTORY AND INSPECTION REPORTS OF UNSERVICEABLE
     PROPERTIES</t>
  </si>
  <si>
    <t>1 YEAR AFTER PROPERTY HAD BEEN DISPOSED</t>
  </si>
  <si>
    <t>ARCH-25-37</t>
  </si>
  <si>
    <t>INVENTORIES OF EQUIPMENT/SUPPLIES</t>
  </si>
  <si>
    <t>ARCH-25-38</t>
  </si>
  <si>
    <t>INVENTORY TAG CARDS</t>
  </si>
  <si>
    <t>ARCH-25-39</t>
  </si>
  <si>
    <t>INVOICES / RECEIPTS
            ACCOUNTABLE FORMS
            PROPERTIES/TRANSFER OF PROPERTIES</t>
  </si>
  <si>
    <t>3 YEARS AFTER ISSUANCE OF CLEARANCE HAD
         BEEN TERMINATED/AFTER PROPERTY HAD
         BEEN RETURNED</t>
  </si>
  <si>
    <t>ARCH-25-40</t>
  </si>
  <si>
    <t>INVOICES OF DELIVERY ON SUPPLY OPEN-END
     ORDER CONTRACTS</t>
  </si>
  <si>
    <t>JOB ORDERS</t>
  </si>
  <si>
    <t>LISTS OF SUPPLIES UNDER SUPLY OPEN-END</t>
  </si>
  <si>
    <t>MONTHLY REPORTS OF SUPPLIES AND MATERIALS ISSUED</t>
  </si>
  <si>
    <t>PROPERTY CARDS</t>
  </si>
  <si>
    <t xml:space="preserve">PURCHASE ORDERS </t>
  </si>
  <si>
    <t>4 YEARS</t>
  </si>
  <si>
    <t>PURCHASE REQUESTS</t>
  </si>
  <si>
    <t>ARCH-26-07</t>
  </si>
  <si>
    <t>QUERIES ON PRICES OF ARTICLES, ADDITIONAL
    FUNDS TO MEET QUOTATIONS</t>
  </si>
  <si>
    <t>ARCH-26-08</t>
  </si>
  <si>
    <t>REPORTS OF WASTE MATERIALS</t>
  </si>
  <si>
    <t>ARCH-26-09</t>
  </si>
  <si>
    <t>REQUISITION AND ISSUE SLIPS/REQUISITON ISSUE
    VOUCHERRS</t>
  </si>
  <si>
    <t>1 YEAR OR FILE WITH APPROPRIATE RECORDS
         SERIES</t>
  </si>
  <si>
    <t>ARCH-26-10</t>
  </si>
  <si>
    <t>SHIPPING AND PACKING LISTS ON ITEMS PURCHASED</t>
  </si>
  <si>
    <t>ARCH-26-11</t>
  </si>
  <si>
    <t>SUPPLIERS IDENTIFICATION CERTIFICATES WITH 
  PROCUREMENT</t>
  </si>
  <si>
    <t>2 YEARS AFTER RENEWED</t>
  </si>
  <si>
    <t>ARCH-26-12</t>
  </si>
  <si>
    <t>SUPPLIES ADJUSTMENT SHEETS</t>
  </si>
  <si>
    <t>1 YEAR AFTER</t>
  </si>
  <si>
    <t>ARCH-26-13</t>
  </si>
  <si>
    <t>SUPPLIES AVAILABILITY INQUIRIES</t>
  </si>
  <si>
    <t>ARCH-26-14</t>
  </si>
  <si>
    <t>SUPPLIES LEDGER CARDS</t>
  </si>
  <si>
    <t>ARCH-26-15</t>
  </si>
  <si>
    <t>SUPPLIES PURCHAASE JOURNALS</t>
  </si>
  <si>
    <t>ARCH-26-16</t>
  </si>
  <si>
    <t>ARCH-26-17</t>
  </si>
  <si>
    <t>TRAINING RECORDS</t>
  </si>
  <si>
    <t>ARCH-26-18</t>
  </si>
  <si>
    <t>ARCH-26-19</t>
  </si>
  <si>
    <t>CALENDARS</t>
  </si>
  <si>
    <t>ARCH-26-20</t>
  </si>
  <si>
    <t>COURSE DESIGNS/OUTLINES/SYLLABI</t>
  </si>
  <si>
    <t>ARCH-26-21</t>
  </si>
  <si>
    <t>MASTERLISTS
         PARTICIPANTS
         SEMINARS CONDUCTED/COORDINATED</t>
  </si>
  <si>
    <t>ARCH-26-22</t>
  </si>
  <si>
    <t>RESOURCE SPEAKER PROFILES</t>
  </si>
  <si>
    <t>ARCH-26-23</t>
  </si>
  <si>
    <t>SCHEDULES OF TRAINING/SEMINAR</t>
  </si>
  <si>
    <t>ARCH-26-24</t>
  </si>
  <si>
    <t>SURVEY EVALUATION QUESTIONNAIRES</t>
  </si>
  <si>
    <t>1 YEAR AFTER DATA HAD BEEN EVALUATED</t>
  </si>
  <si>
    <t>ARCH-26-25</t>
  </si>
  <si>
    <t>TRAINING HANDOUTS</t>
  </si>
  <si>
    <t>ARCH-26-26</t>
  </si>
  <si>
    <t>TRAINING PROGRAMS/PLANS</t>
  </si>
  <si>
    <t>3 YEAR AFTER SUPERSEDED</t>
  </si>
  <si>
    <t>ARCH-26-27</t>
  </si>
  <si>
    <t>TRAINING REPORTS</t>
  </si>
  <si>
    <t>ARCH-26-28</t>
  </si>
  <si>
    <t>WORKSHOP RESULTS</t>
  </si>
  <si>
    <t>ARCH-26-29</t>
  </si>
  <si>
    <t>ARCH-26-30</t>
  </si>
  <si>
    <t>EMPLOYER-MEMBER APPLICATIONS (R1, R1A, R8)</t>
  </si>
  <si>
    <t>ARCH-26-31</t>
  </si>
  <si>
    <t>EMPLOYEE-MEMBER APPLICATIONS (E1, E4, NW1, OW1, RS1)</t>
  </si>
  <si>
    <t>ARCH-26-32</t>
  </si>
  <si>
    <t>ARCH-26-33</t>
  </si>
  <si>
    <t>ARCH-26-34</t>
  </si>
  <si>
    <t>ARCH-26-35</t>
  </si>
  <si>
    <t>ARCH-26-36</t>
  </si>
  <si>
    <t>ARCH-26-37</t>
  </si>
  <si>
    <t>ARCH-26-38</t>
  </si>
  <si>
    <t>ARCH-26-39</t>
  </si>
  <si>
    <t>ARCH-26-40</t>
  </si>
  <si>
    <t>ARCH-26-41</t>
  </si>
  <si>
    <t>ARCH-26-42</t>
  </si>
  <si>
    <t>ARCH-26-43</t>
  </si>
  <si>
    <t>ARCH-26-44</t>
  </si>
  <si>
    <t>ARCH-26-45</t>
  </si>
  <si>
    <t>ARCH-26-46</t>
  </si>
  <si>
    <t>ARCH-26-47</t>
  </si>
  <si>
    <t>ARCH-26-48</t>
  </si>
  <si>
    <t>ARCH-26-49</t>
  </si>
  <si>
    <t>ARCH-26-50</t>
  </si>
  <si>
    <t>ARCH-26-51</t>
  </si>
  <si>
    <t>ARCH-26-52</t>
  </si>
  <si>
    <t>ARCH-26-53</t>
  </si>
  <si>
    <t>ARCH-26-54</t>
  </si>
  <si>
    <t>ARCH-26-55</t>
  </si>
  <si>
    <t>ARCH-26-56</t>
  </si>
  <si>
    <t>ARCH-26-57</t>
  </si>
  <si>
    <t>ARCH-26-58</t>
  </si>
  <si>
    <t>ARCH-26-59</t>
  </si>
  <si>
    <t>ARCH-26-60</t>
  </si>
  <si>
    <t>ARCH-26-61</t>
  </si>
  <si>
    <t>ARCH-26-62</t>
  </si>
  <si>
    <t>ARCH-26-63</t>
  </si>
  <si>
    <t>ARCH-26-64</t>
  </si>
  <si>
    <t>ARCH-26-65</t>
  </si>
  <si>
    <t>ARCH-26-66</t>
  </si>
  <si>
    <t>ARCH-26-67</t>
  </si>
  <si>
    <t>ARCH-26-68</t>
  </si>
  <si>
    <t>ARCH-26-69</t>
  </si>
  <si>
    <t>ARCH-26-70</t>
  </si>
  <si>
    <t>ARCH-26-71</t>
  </si>
  <si>
    <t>ARCH-26-72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</si>
</sst>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409]mmmm\ d\,\ yyyy;@"/>
    <numFmt numFmtId="166" formatCode="m/d/yyyy;@"/>
  </numFmts>
  <fonts count="105" x14ac:knownFonts="1">
    <font>
      <sz val="11"/>
      <color theme="1"/>
      <name val="Calibri"/>
      <family val="2"/>
      <scheme val="minor"/>
    </font>
    <font>
      <b/>
      <sz val="11"/>
      <color theme="1"/>
      <name val="Calibri"/>
      <family val="2"/>
      <scheme val="minor"/>
    </font>
    <font>
      <b/>
      <sz val="14"/>
      <color theme="1"/>
      <name val="Arial"/>
      <family val="2"/>
    </font>
    <font>
      <b/>
      <sz val="12"/>
      <color theme="1"/>
      <name val="Arial"/>
      <family val="2"/>
    </font>
    <font>
      <b/>
      <u/>
      <sz val="11"/>
      <color theme="1"/>
      <name val="Calibri"/>
      <family val="2"/>
      <scheme val="minor"/>
    </font>
    <font>
      <b/>
      <sz val="10"/>
      <color theme="1"/>
      <name val="Oswald"/>
    </font>
    <font>
      <sz val="10"/>
      <color rgb="FFC00000"/>
      <name val="Oswald"/>
    </font>
    <font>
      <b/>
      <u/>
      <sz val="11"/>
      <color rgb="FFC00000"/>
      <name val="Calibri"/>
      <family val="2"/>
      <scheme val="minor"/>
    </font>
    <font>
      <b/>
      <sz val="11"/>
      <color rgb="FFC00000"/>
      <name val="Calibri"/>
      <family val="2"/>
      <scheme val="minor"/>
    </font>
    <font>
      <u/>
      <sz val="11"/>
      <color theme="10"/>
      <name val="Calibri"/>
      <family val="2"/>
      <scheme val="minor"/>
    </font>
    <font>
      <sz val="9"/>
      <name val="Arial"/>
      <family val="2"/>
    </font>
    <font>
      <b/>
      <sz val="10"/>
      <name val="Times New Roman"/>
      <family val="1"/>
    </font>
    <font>
      <b/>
      <sz val="10"/>
      <color rgb="FFC00000"/>
      <name val="Arial"/>
      <family val="2"/>
    </font>
    <font>
      <b/>
      <sz val="10"/>
      <name val="Arial"/>
      <family val="2"/>
    </font>
    <font>
      <b/>
      <sz val="9"/>
      <color rgb="FFC00000"/>
      <name val="Arial"/>
      <family val="2"/>
    </font>
    <font>
      <b/>
      <sz val="10"/>
      <color rgb="FF002060"/>
      <name val="Arial"/>
      <family val="2"/>
    </font>
    <font>
      <b/>
      <u/>
      <sz val="10"/>
      <name val="Arial"/>
      <family val="2"/>
    </font>
    <font>
      <b/>
      <sz val="9"/>
      <name val="Arial"/>
      <family val="2"/>
    </font>
    <font>
      <b/>
      <sz val="8"/>
      <name val="Arial"/>
      <family val="2"/>
    </font>
    <font>
      <b/>
      <sz val="8"/>
      <color theme="1"/>
      <name val="Calibri"/>
      <family val="2"/>
      <scheme val="minor"/>
    </font>
    <font>
      <b/>
      <sz val="10"/>
      <color theme="1"/>
      <name val="Calibri"/>
      <family val="2"/>
      <scheme val="minor"/>
    </font>
    <font>
      <b/>
      <sz val="14"/>
      <color rgb="FF000000"/>
      <name val="Arial"/>
      <family val="2"/>
    </font>
    <font>
      <sz val="36"/>
      <color rgb="FF000000"/>
      <name val="Calibri"/>
      <family val="2"/>
      <scheme val="minor"/>
    </font>
    <font>
      <b/>
      <u/>
      <sz val="28"/>
      <color rgb="FF000000"/>
      <name val="Arial"/>
      <family val="2"/>
    </font>
    <font>
      <b/>
      <sz val="26"/>
      <color rgb="FF000000"/>
      <name val="Arial"/>
      <family val="2"/>
    </font>
    <font>
      <sz val="16"/>
      <color rgb="FF000000"/>
      <name val="Yu Mincho Light"/>
      <family val="1"/>
      <charset val="128"/>
    </font>
    <font>
      <sz val="11"/>
      <color rgb="FF000000"/>
      <name val="Calibri"/>
      <family val="2"/>
      <scheme val="minor"/>
    </font>
    <font>
      <sz val="11"/>
      <color rgb="FF002060"/>
      <name val="Calibri"/>
      <family val="2"/>
      <scheme val="minor"/>
    </font>
    <font>
      <sz val="16"/>
      <color theme="1"/>
      <name val="Calibri"/>
      <family val="2"/>
      <scheme val="minor"/>
    </font>
    <font>
      <sz val="24"/>
      <color theme="1"/>
      <name val="Calibri"/>
      <family val="2"/>
      <scheme val="minor"/>
    </font>
    <font>
      <b/>
      <sz val="18"/>
      <color theme="1"/>
      <name val="Calibri"/>
      <family val="2"/>
      <scheme val="minor"/>
    </font>
    <font>
      <b/>
      <sz val="14"/>
      <color theme="1"/>
      <name val="Calibri"/>
      <family val="2"/>
      <scheme val="minor"/>
    </font>
    <font>
      <b/>
      <sz val="36"/>
      <color theme="9" tint="-0.499984740745262"/>
      <name val="Arial"/>
      <family val="2"/>
    </font>
    <font>
      <b/>
      <sz val="12"/>
      <color rgb="FFC00000"/>
      <name val="Calibri"/>
      <family val="2"/>
      <scheme val="minor"/>
    </font>
    <font>
      <b/>
      <sz val="11"/>
      <color theme="9" tint="-0.499984740745262"/>
      <name val="Oswald"/>
    </font>
    <font>
      <b/>
      <sz val="12"/>
      <color theme="9" tint="-0.499984740745262"/>
      <name val="Oswald"/>
    </font>
    <font>
      <sz val="24"/>
      <color rgb="FFC00000"/>
      <name val="Oswald"/>
    </font>
    <font>
      <sz val="8"/>
      <name val="Calibri"/>
      <family val="2"/>
      <scheme val="minor"/>
    </font>
    <font>
      <b/>
      <sz val="9"/>
      <color rgb="FF002060"/>
      <name val="Arial"/>
      <family val="2"/>
    </font>
    <font>
      <b/>
      <sz val="8"/>
      <color rgb="FF002060"/>
      <name val="Arial"/>
      <family val="2"/>
    </font>
    <font>
      <b/>
      <u/>
      <sz val="48"/>
      <color theme="1"/>
      <name val="Arial"/>
      <family val="2"/>
    </font>
    <font>
      <b/>
      <sz val="12"/>
      <color rgb="FF002060"/>
      <name val="Arial"/>
      <family val="2"/>
    </font>
    <font>
      <sz val="8"/>
      <color theme="1"/>
      <name val="Calibri"/>
      <family val="2"/>
      <scheme val="minor"/>
    </font>
    <font>
      <b/>
      <sz val="10"/>
      <color rgb="FF000000"/>
      <name val="Oswald"/>
    </font>
    <font>
      <b/>
      <sz val="20"/>
      <color rgb="FFFF0000"/>
      <name val="Calibri"/>
      <family val="2"/>
      <scheme val="minor"/>
    </font>
    <font>
      <sz val="11"/>
      <color rgb="FF000000"/>
      <name val="Aptos Narrow"/>
      <family val="2"/>
    </font>
    <font>
      <b/>
      <sz val="11"/>
      <color rgb="FF000000"/>
      <name val="Aptos Narrow"/>
      <family val="2"/>
    </font>
    <font>
      <b/>
      <sz val="16"/>
      <color rgb="FF000000"/>
      <name val="Aptos Narrow"/>
      <family val="2"/>
    </font>
    <font>
      <b/>
      <sz val="28"/>
      <color rgb="FF000000"/>
      <name val="Aptos Narrow"/>
      <family val="2"/>
    </font>
    <font>
      <b/>
      <sz val="11"/>
      <color rgb="FFC00000"/>
      <name val="Aptos Narrow"/>
      <family val="2"/>
    </font>
    <font>
      <b/>
      <sz val="18"/>
      <color rgb="FF002060"/>
      <name val="Aptos Narrow"/>
      <family val="2"/>
    </font>
    <font>
      <b/>
      <sz val="16"/>
      <color rgb="FF002060"/>
      <name val="Aptos Narrow"/>
      <family val="2"/>
    </font>
    <font>
      <b/>
      <sz val="26"/>
      <color rgb="FFC00000"/>
      <name val="Arial"/>
      <family val="2"/>
    </font>
    <font>
      <i/>
      <sz val="8"/>
      <color theme="1"/>
      <name val="Calibri"/>
      <family val="2"/>
      <scheme val="minor"/>
    </font>
    <font>
      <b/>
      <sz val="11"/>
      <name val="Arial"/>
      <family val="2"/>
    </font>
    <font>
      <b/>
      <sz val="10"/>
      <name val="Oswald"/>
    </font>
    <font>
      <sz val="10"/>
      <name val="Oswald"/>
    </font>
    <font>
      <sz val="11"/>
      <name val="Calibri"/>
      <family val="2"/>
      <scheme val="minor"/>
    </font>
    <font>
      <b/>
      <sz val="12"/>
      <color theme="0"/>
      <name val="Oswald"/>
    </font>
    <font>
      <sz val="12"/>
      <color theme="0"/>
      <name val="Oswald"/>
    </font>
    <font>
      <sz val="12"/>
      <color theme="0"/>
      <name val="Calibri"/>
      <family val="2"/>
      <scheme val="minor"/>
    </font>
    <font>
      <sz val="10"/>
      <color rgb="FFC00000"/>
      <name val="Aptos Narrow"/>
      <family val="2"/>
    </font>
    <font>
      <b/>
      <sz val="10"/>
      <name val="Aptos Narrow"/>
      <family val="2"/>
    </font>
    <font>
      <sz val="10"/>
      <name val="Aptos Narrow"/>
      <family val="2"/>
    </font>
    <font>
      <sz val="11"/>
      <name val="Aptos Narrow"/>
      <family val="2"/>
    </font>
    <font>
      <b/>
      <sz val="11"/>
      <name val="Aptos Narrow"/>
      <family val="2"/>
    </font>
    <font>
      <sz val="12"/>
      <color rgb="FFFFFF00"/>
      <name val="Aptos Narrow"/>
      <family val="2"/>
    </font>
    <font>
      <b/>
      <sz val="14"/>
      <color rgb="FFFFFF00"/>
      <name val="Aptos Narrow"/>
      <family val="2"/>
    </font>
    <font>
      <sz val="14"/>
      <color rgb="FFFFFF00"/>
      <name val="Aptos Narrow"/>
      <family val="2"/>
    </font>
    <font>
      <sz val="10"/>
      <color rgb="FF002060"/>
      <name val="Aptos Narrow"/>
      <family val="2"/>
    </font>
    <font>
      <sz val="12"/>
      <color rgb="FF002060"/>
      <name val="Aptos Narrow"/>
      <family val="2"/>
    </font>
    <font>
      <sz val="11"/>
      <color rgb="FF002060"/>
      <name val="Aptos Narrow"/>
      <family val="2"/>
    </font>
    <font>
      <b/>
      <sz val="10"/>
      <color theme="4"/>
      <name val="Oswald"/>
    </font>
    <font>
      <sz val="10"/>
      <color theme="4"/>
      <name val="Oswald"/>
    </font>
    <font>
      <b/>
      <sz val="10"/>
      <color theme="4"/>
      <name val="Arial"/>
      <family val="2"/>
    </font>
    <font>
      <sz val="12"/>
      <color theme="4"/>
      <name val="Calibri"/>
      <family val="2"/>
      <scheme val="minor"/>
    </font>
    <font>
      <sz val="11"/>
      <color theme="4"/>
      <name val="Calibri"/>
      <family val="2"/>
      <scheme val="minor"/>
    </font>
    <font>
      <b/>
      <sz val="12"/>
      <color rgb="FFFFFF00"/>
      <name val="Oswald"/>
    </font>
    <font>
      <sz val="14"/>
      <color rgb="FFC00000"/>
      <name val="Arial Black"/>
      <family val="2"/>
    </font>
    <font>
      <sz val="28"/>
      <color rgb="FFC00000"/>
      <name val="Arial Black"/>
      <family val="2"/>
    </font>
    <font>
      <sz val="18"/>
      <color rgb="FFC00000"/>
      <name val="Arial Black"/>
      <family val="2"/>
    </font>
    <font>
      <sz val="12"/>
      <color rgb="FFC00000"/>
      <name val="Arial Black"/>
      <family val="2"/>
    </font>
    <font>
      <b/>
      <sz val="18"/>
      <color theme="1"/>
      <name val="Arial"/>
      <family val="2"/>
    </font>
    <font>
      <sz val="11"/>
      <color rgb="FFC00000"/>
      <name val="Aptos Narrow"/>
      <family val="2"/>
    </font>
    <font>
      <b/>
      <sz val="10"/>
      <color rgb="FFC00000"/>
      <name val="Aptos Narrow"/>
      <family val="2"/>
    </font>
    <font>
      <b/>
      <sz val="14"/>
      <color rgb="FFC00000"/>
      <name val="Aptos Narrow"/>
      <family val="2"/>
    </font>
    <font>
      <b/>
      <sz val="12"/>
      <color rgb="FFC00000"/>
      <name val="Oswald"/>
    </font>
    <font>
      <b/>
      <sz val="10"/>
      <color rgb="FF0070C0"/>
      <name val="Oswald"/>
    </font>
    <font>
      <sz val="10"/>
      <color rgb="FF0070C0"/>
      <name val="Oswald"/>
    </font>
    <font>
      <b/>
      <sz val="10"/>
      <color rgb="FF0070C0"/>
      <name val="Arial"/>
      <family val="2"/>
    </font>
    <font>
      <sz val="11"/>
      <color rgb="FF0070C0"/>
      <name val="Calibri"/>
      <family val="2"/>
      <scheme val="minor"/>
    </font>
    <font>
      <b/>
      <sz val="11"/>
      <color rgb="FF0070C0"/>
      <name val="Calibri"/>
      <family val="2"/>
      <scheme val="minor"/>
    </font>
    <font>
      <b/>
      <sz val="11"/>
      <name val="Calibri"/>
      <family val="2"/>
      <scheme val="minor"/>
    </font>
    <font>
      <b/>
      <sz val="10"/>
      <name val="Aptos Narrow"/>
    </font>
    <font>
      <sz val="10"/>
      <name val="Aptos Narrow"/>
    </font>
    <font>
      <b/>
      <sz val="10"/>
      <color theme="4"/>
      <name val="Aptos Narrow"/>
      <family val="2"/>
    </font>
    <font>
      <sz val="10"/>
      <color theme="4"/>
      <name val="Aptos Narrow"/>
      <family val="2"/>
    </font>
    <font>
      <b/>
      <sz val="11"/>
      <color theme="4"/>
      <name val="Aptos Narrow"/>
      <family val="2"/>
    </font>
    <font>
      <sz val="11"/>
      <color theme="4"/>
      <name val="Aptos Narrow"/>
      <family val="2"/>
    </font>
    <font>
      <b/>
      <sz val="10"/>
      <name val="Arial"/>
    </font>
    <font>
      <sz val="16"/>
      <name val="Aptos Narrow"/>
    </font>
    <font>
      <b/>
      <sz val="10"/>
      <color rgb="FFFF0000"/>
      <name val="Aptos Narrow"/>
      <family val="2"/>
    </font>
    <font>
      <sz val="10"/>
      <color rgb="FFFF0000"/>
      <name val="Aptos Narrow"/>
      <family val="2"/>
    </font>
    <font>
      <sz val="11"/>
      <color rgb="FFFF0000"/>
      <name val="Aptos Narrow"/>
      <family val="2"/>
    </font>
    <font>
      <sz val="16"/>
      <name val="Aptos Narrow"/>
      <family val="2"/>
    </font>
  </fonts>
  <fills count="13">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rgb="FF002060"/>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rgb="FFFFFF0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8"/>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rgb="FF000000"/>
      </left>
      <right style="thin">
        <color indexed="8"/>
      </right>
      <top style="thin">
        <color rgb="FF000000"/>
      </top>
      <bottom style="thin">
        <color indexed="8"/>
      </bottom>
      <diagonal/>
    </border>
    <border>
      <left style="thin">
        <color indexed="8"/>
      </left>
      <right style="thin">
        <color rgb="FF000000"/>
      </right>
      <top style="thin">
        <color rgb="FF000000"/>
      </top>
      <bottom style="thin">
        <color indexed="8"/>
      </bottom>
      <diagonal/>
    </border>
    <border>
      <left style="thin">
        <color rgb="FF000000"/>
      </left>
      <right style="thin">
        <color indexed="8"/>
      </right>
      <top style="thin">
        <color indexed="8"/>
      </top>
      <bottom style="thin">
        <color indexed="8"/>
      </bottom>
      <diagonal/>
    </border>
    <border>
      <left style="thin">
        <color indexed="8"/>
      </left>
      <right style="thin">
        <color rgb="FF000000"/>
      </right>
      <top style="thin">
        <color indexed="8"/>
      </top>
      <bottom style="thin">
        <color indexed="8"/>
      </bottom>
      <diagonal/>
    </border>
    <border>
      <left style="thin">
        <color rgb="FF000000"/>
      </left>
      <right style="thin">
        <color indexed="8"/>
      </right>
      <top style="thin">
        <color indexed="8"/>
      </top>
      <bottom style="thin">
        <color rgb="FF000000"/>
      </bottom>
      <diagonal/>
    </border>
    <border>
      <left style="thin">
        <color indexed="8"/>
      </left>
      <right style="thin">
        <color rgb="FF000000"/>
      </right>
      <top style="thin">
        <color indexed="8"/>
      </top>
      <bottom style="thin">
        <color rgb="FF000000"/>
      </bottom>
      <diagonal/>
    </border>
    <border>
      <left/>
      <right style="thin">
        <color rgb="FF000000"/>
      </right>
      <top/>
      <bottom/>
      <diagonal/>
    </border>
    <border>
      <left style="thin">
        <color rgb="FF000001"/>
      </left>
      <right style="thin">
        <color rgb="FF000001"/>
      </right>
      <top style="thin">
        <color rgb="FF00000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theme="4" tint="0.39997558519241921"/>
      </left>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8"/>
      </left>
      <right style="medium">
        <color indexed="64"/>
      </right>
      <top/>
      <bottom/>
      <diagonal/>
    </border>
    <border>
      <left/>
      <right style="medium">
        <color indexed="64"/>
      </right>
      <top/>
      <bottom style="thin">
        <color indexed="8"/>
      </bottom>
      <diagonal/>
    </border>
    <border>
      <left/>
      <right style="medium">
        <color indexed="64"/>
      </right>
      <top style="thin">
        <color indexed="8"/>
      </top>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thin">
        <color indexed="8"/>
      </left>
      <right style="medium">
        <color indexed="64"/>
      </right>
      <top/>
      <bottom style="thin">
        <color indexed="8"/>
      </bottom>
      <diagonal/>
    </border>
    <border>
      <left style="medium">
        <color indexed="64"/>
      </left>
      <right/>
      <top/>
      <bottom style="thin">
        <color indexed="8"/>
      </bottom>
      <diagonal/>
    </border>
    <border>
      <left style="medium">
        <color indexed="64"/>
      </left>
      <right/>
      <top style="thin">
        <color indexed="8"/>
      </top>
      <bottom style="thin">
        <color indexed="8"/>
      </bottom>
      <diagonal/>
    </border>
    <border>
      <left style="medium">
        <color indexed="64"/>
      </left>
      <right/>
      <top style="thin">
        <color indexed="8"/>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bottom style="thin">
        <color rgb="FF000000"/>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9" fillId="0" borderId="0" applyNumberFormat="0" applyFill="0" applyBorder="0" applyAlignment="0" applyProtection="0"/>
  </cellStyleXfs>
  <cellXfs count="372">
    <xf numFmtId="0" fontId="0" fillId="0" borderId="0" xfId="0"/>
    <xf numFmtId="0" fontId="0" fillId="0" borderId="0" xfId="0" applyAlignment="1">
      <alignment horizontal="center"/>
    </xf>
    <xf numFmtId="0" fontId="0" fillId="0" borderId="0" xfId="0" applyAlignment="1">
      <alignment horizontal="center" vertical="top"/>
    </xf>
    <xf numFmtId="0" fontId="0" fillId="0" borderId="0" xfId="0" applyAlignment="1">
      <alignment vertical="top"/>
    </xf>
    <xf numFmtId="0" fontId="1" fillId="0" borderId="0" xfId="0" applyFont="1"/>
    <xf numFmtId="0" fontId="0" fillId="0" borderId="0" xfId="0" applyAlignment="1">
      <alignment horizontal="center" vertical="center"/>
    </xf>
    <xf numFmtId="0" fontId="0" fillId="0" borderId="0" xfId="0" applyAlignment="1">
      <alignment vertical="top" wrapText="1"/>
    </xf>
    <xf numFmtId="0" fontId="0" fillId="0" borderId="0" xfId="0" applyAlignment="1">
      <alignment wrapText="1"/>
    </xf>
    <xf numFmtId="0" fontId="0" fillId="0" borderId="0" xfId="0" applyAlignment="1">
      <alignment horizontal="left" vertical="top" wrapText="1"/>
    </xf>
    <xf numFmtId="0" fontId="4" fillId="0" borderId="0" xfId="0" applyFont="1" applyAlignment="1">
      <alignment horizontal="center"/>
    </xf>
    <xf numFmtId="0" fontId="4" fillId="0" borderId="0" xfId="0" applyFont="1" applyAlignment="1">
      <alignment horizontal="center" vertical="top"/>
    </xf>
    <xf numFmtId="0" fontId="1" fillId="3" borderId="0" xfId="0" applyFont="1" applyFill="1" applyAlignment="1">
      <alignment horizontal="center"/>
    </xf>
    <xf numFmtId="0" fontId="7" fillId="0" borderId="0" xfId="0" applyFont="1" applyAlignment="1">
      <alignment horizontal="center" vertical="center"/>
    </xf>
    <xf numFmtId="0" fontId="7" fillId="0" borderId="0" xfId="0" applyFont="1" applyAlignment="1">
      <alignment horizontal="center"/>
    </xf>
    <xf numFmtId="0" fontId="7" fillId="0" borderId="0" xfId="0" applyFont="1" applyAlignment="1">
      <alignment horizontal="center" vertical="center" wrapText="1"/>
    </xf>
    <xf numFmtId="0" fontId="7" fillId="0" borderId="0" xfId="0" applyFont="1" applyAlignment="1">
      <alignment horizontal="center" vertical="top"/>
    </xf>
    <xf numFmtId="0" fontId="0" fillId="0" borderId="0" xfId="0" applyAlignment="1">
      <alignment horizontal="left"/>
    </xf>
    <xf numFmtId="0" fontId="10" fillId="0" borderId="0" xfId="0" applyFont="1"/>
    <xf numFmtId="0" fontId="0" fillId="0" borderId="3" xfId="0" applyBorder="1"/>
    <xf numFmtId="0" fontId="0" fillId="0" borderId="4" xfId="0" applyBorder="1"/>
    <xf numFmtId="0" fontId="0" fillId="0" borderId="6" xfId="0" applyBorder="1" applyAlignment="1">
      <alignment horizontal="center"/>
    </xf>
    <xf numFmtId="0" fontId="10" fillId="0" borderId="0" xfId="0" applyFont="1" applyAlignment="1">
      <alignment horizontal="center"/>
    </xf>
    <xf numFmtId="0" fontId="0" fillId="0" borderId="5" xfId="0" applyBorder="1" applyAlignment="1">
      <alignment horizontal="left"/>
    </xf>
    <xf numFmtId="0" fontId="0" fillId="0" borderId="9" xfId="0" applyBorder="1"/>
    <xf numFmtId="0" fontId="0" fillId="0" borderId="10" xfId="0" applyBorder="1"/>
    <xf numFmtId="0" fontId="13" fillId="0" borderId="0" xfId="0" applyFont="1" applyAlignment="1">
      <alignment horizontal="center"/>
    </xf>
    <xf numFmtId="0" fontId="0" fillId="0" borderId="6" xfId="0" applyBorder="1"/>
    <xf numFmtId="0" fontId="0" fillId="0" borderId="8" xfId="0" applyBorder="1"/>
    <xf numFmtId="0" fontId="10" fillId="0" borderId="3" xfId="0" applyFont="1" applyBorder="1" applyAlignment="1">
      <alignment vertical="top"/>
    </xf>
    <xf numFmtId="0" fontId="10" fillId="0" borderId="8" xfId="0" applyFont="1" applyBorder="1" applyAlignment="1">
      <alignmen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6" xfId="0" applyBorder="1" applyAlignment="1">
      <alignment horizontal="left"/>
    </xf>
    <xf numFmtId="0" fontId="0" fillId="0" borderId="5" xfId="0" applyBorder="1"/>
    <xf numFmtId="0" fontId="0" fillId="0" borderId="9" xfId="0" applyBorder="1" applyAlignment="1">
      <alignment horizontal="left"/>
    </xf>
    <xf numFmtId="0" fontId="0" fillId="0" borderId="2" xfId="0" applyBorder="1"/>
    <xf numFmtId="0" fontId="0" fillId="0" borderId="3" xfId="0" applyBorder="1" applyAlignment="1">
      <alignment horizontal="left"/>
    </xf>
    <xf numFmtId="0" fontId="0" fillId="0" borderId="4" xfId="0" applyBorder="1" applyAlignment="1">
      <alignment horizontal="left"/>
    </xf>
    <xf numFmtId="0" fontId="0" fillId="0" borderId="2" xfId="0" applyBorder="1" applyAlignment="1">
      <alignment horizontal="left"/>
    </xf>
    <xf numFmtId="0" fontId="11" fillId="0" borderId="0" xfId="0" applyFont="1" applyAlignment="1">
      <alignment horizontal="center"/>
    </xf>
    <xf numFmtId="0" fontId="10" fillId="0" borderId="0" xfId="0" applyFont="1" applyAlignment="1">
      <alignment horizontal="left"/>
    </xf>
    <xf numFmtId="0" fontId="10" fillId="0" borderId="0" xfId="0" applyFont="1" applyAlignment="1">
      <alignment horizontal="center" vertical="center"/>
    </xf>
    <xf numFmtId="0" fontId="0" fillId="0" borderId="0" xfId="0" applyAlignment="1">
      <alignment horizontal="left" vertical="center"/>
    </xf>
    <xf numFmtId="0" fontId="13" fillId="0" borderId="0" xfId="0" applyFont="1" applyAlignment="1">
      <alignment horizontal="left" vertical="center"/>
    </xf>
    <xf numFmtId="0" fontId="10" fillId="0" borderId="3" xfId="0" applyFont="1" applyBorder="1"/>
    <xf numFmtId="0" fontId="10" fillId="0" borderId="9" xfId="0" applyFont="1" applyBorder="1" applyAlignment="1">
      <alignment horizontal="left"/>
    </xf>
    <xf numFmtId="0" fontId="10" fillId="0" borderId="3" xfId="0" applyFont="1" applyBorder="1" applyAlignment="1">
      <alignment horizontal="left"/>
    </xf>
    <xf numFmtId="0" fontId="10" fillId="0" borderId="0" xfId="0" applyFont="1" applyAlignment="1">
      <alignment vertical="top"/>
    </xf>
    <xf numFmtId="0" fontId="11" fillId="0" borderId="14" xfId="0" applyFont="1" applyBorder="1" applyAlignment="1">
      <alignment horizontal="center"/>
    </xf>
    <xf numFmtId="0" fontId="0" fillId="0" borderId="15" xfId="0" applyBorder="1" applyAlignment="1">
      <alignment horizontal="left"/>
    </xf>
    <xf numFmtId="0" fontId="0" fillId="0" borderId="16" xfId="0" applyBorder="1"/>
    <xf numFmtId="0" fontId="0" fillId="0" borderId="17" xfId="0" applyBorder="1"/>
    <xf numFmtId="0" fontId="0" fillId="0" borderId="18" xfId="0" applyBorder="1"/>
    <xf numFmtId="0" fontId="0" fillId="0" borderId="19" xfId="0" applyBorder="1"/>
    <xf numFmtId="0" fontId="10" fillId="0" borderId="12" xfId="0" applyFont="1" applyBorder="1" applyAlignment="1">
      <alignment vertical="top"/>
    </xf>
    <xf numFmtId="0" fontId="10" fillId="0" borderId="13" xfId="0" applyFont="1" applyBorder="1" applyAlignment="1">
      <alignment vertical="top"/>
    </xf>
    <xf numFmtId="0" fontId="10" fillId="0" borderId="14" xfId="0" applyFont="1" applyBorder="1" applyAlignment="1">
      <alignment vertical="top"/>
    </xf>
    <xf numFmtId="0" fontId="10" fillId="0" borderId="15" xfId="0" applyFont="1" applyBorder="1" applyAlignment="1">
      <alignment vertical="top"/>
    </xf>
    <xf numFmtId="0" fontId="10" fillId="0" borderId="17" xfId="0" applyFont="1" applyBorder="1" applyAlignment="1">
      <alignment vertical="top"/>
    </xf>
    <xf numFmtId="0" fontId="10" fillId="0" borderId="18" xfId="0" applyFont="1" applyBorder="1" applyAlignment="1">
      <alignment vertical="top"/>
    </xf>
    <xf numFmtId="0" fontId="10" fillId="0" borderId="19" xfId="0" applyFont="1" applyBorder="1" applyAlignment="1">
      <alignment vertical="top"/>
    </xf>
    <xf numFmtId="0" fontId="0" fillId="0" borderId="23" xfId="0" applyBorder="1" applyAlignment="1">
      <alignment horizontal="left" vertical="top"/>
    </xf>
    <xf numFmtId="0" fontId="0" fillId="0" borderId="24" xfId="0" applyBorder="1" applyAlignment="1">
      <alignment horizontal="left" vertical="top"/>
    </xf>
    <xf numFmtId="0" fontId="0" fillId="0" borderId="25" xfId="0" applyBorder="1" applyAlignment="1">
      <alignment horizontal="left" vertical="top"/>
    </xf>
    <xf numFmtId="0" fontId="21" fillId="0" borderId="0" xfId="0" applyFont="1" applyAlignment="1">
      <alignment horizontal="center"/>
    </xf>
    <xf numFmtId="0" fontId="22" fillId="0" borderId="0" xfId="0" applyFont="1"/>
    <xf numFmtId="0" fontId="23" fillId="0" borderId="0" xfId="0" applyFont="1" applyAlignment="1">
      <alignment horizontal="right" vertical="center"/>
    </xf>
    <xf numFmtId="0" fontId="24" fillId="0" borderId="0" xfId="0" applyFont="1" applyAlignment="1">
      <alignment horizontal="left" indent="6"/>
    </xf>
    <xf numFmtId="0" fontId="25" fillId="0" borderId="0" xfId="0" applyFont="1" applyAlignment="1">
      <alignment vertical="center"/>
    </xf>
    <xf numFmtId="0" fontId="26" fillId="0" borderId="0" xfId="0" applyFont="1"/>
    <xf numFmtId="0" fontId="1" fillId="0" borderId="0" xfId="0" applyFont="1" applyAlignment="1">
      <alignment horizontal="left"/>
    </xf>
    <xf numFmtId="0" fontId="17" fillId="0" borderId="0" xfId="0" applyFont="1"/>
    <xf numFmtId="0" fontId="0" fillId="4" borderId="0" xfId="0" applyFill="1"/>
    <xf numFmtId="0" fontId="0" fillId="0" borderId="0" xfId="0" applyAlignment="1">
      <alignment vertical="center"/>
    </xf>
    <xf numFmtId="0" fontId="28" fillId="0" borderId="0" xfId="0" applyFont="1" applyAlignment="1">
      <alignment vertical="center"/>
    </xf>
    <xf numFmtId="0" fontId="3"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9" fillId="0" borderId="0" xfId="0" applyFont="1"/>
    <xf numFmtId="0" fontId="1" fillId="0" borderId="0" xfId="0" applyFont="1" applyAlignment="1">
      <alignment horizontal="center" vertical="top"/>
    </xf>
    <xf numFmtId="0" fontId="1" fillId="0" borderId="0" xfId="0" applyFont="1" applyAlignment="1">
      <alignment horizontal="center" vertical="center"/>
    </xf>
    <xf numFmtId="0" fontId="30" fillId="0" borderId="0" xfId="0" applyFont="1"/>
    <xf numFmtId="0" fontId="31" fillId="0" borderId="0" xfId="0" applyFont="1" applyAlignment="1">
      <alignment horizontal="center"/>
    </xf>
    <xf numFmtId="0" fontId="30" fillId="0" borderId="0" xfId="0" applyFont="1" applyAlignment="1">
      <alignment horizontal="center" vertical="center"/>
    </xf>
    <xf numFmtId="0" fontId="0" fillId="7" borderId="0" xfId="0" applyFill="1"/>
    <xf numFmtId="0" fontId="33" fillId="0" borderId="0" xfId="0" applyFont="1" applyAlignment="1">
      <alignment horizontal="center"/>
    </xf>
    <xf numFmtId="0" fontId="1" fillId="0" borderId="0" xfId="0" applyFont="1" applyAlignment="1">
      <alignment horizontal="center"/>
    </xf>
    <xf numFmtId="0" fontId="0" fillId="0" borderId="5" xfId="0" applyBorder="1" applyAlignment="1">
      <alignment horizontal="left" vertical="top"/>
    </xf>
    <xf numFmtId="0" fontId="10" fillId="0" borderId="33" xfId="0" applyFont="1" applyBorder="1" applyAlignment="1">
      <alignment vertical="top"/>
    </xf>
    <xf numFmtId="0" fontId="27" fillId="0" borderId="0" xfId="0" applyFont="1"/>
    <xf numFmtId="0" fontId="28" fillId="0" borderId="0" xfId="0" applyFont="1" applyAlignment="1">
      <alignment horizontal="left" vertical="center"/>
    </xf>
    <xf numFmtId="0" fontId="34" fillId="0" borderId="26" xfId="0" applyFont="1" applyBorder="1" applyAlignment="1">
      <alignment horizontal="center" indent="1"/>
    </xf>
    <xf numFmtId="0" fontId="6" fillId="0" borderId="26" xfId="0" applyFont="1" applyBorder="1" applyAlignment="1">
      <alignment horizontal="left" indent="1"/>
    </xf>
    <xf numFmtId="0" fontId="36" fillId="0" borderId="26" xfId="0" applyFont="1" applyBorder="1" applyAlignment="1">
      <alignment horizontal="center" vertical="center" indent="1"/>
    </xf>
    <xf numFmtId="0" fontId="38" fillId="0" borderId="1" xfId="0" applyFont="1" applyBorder="1" applyAlignment="1">
      <alignment horizontal="center" vertical="top"/>
    </xf>
    <xf numFmtId="0" fontId="15" fillId="0" borderId="21" xfId="0" applyFont="1" applyBorder="1" applyAlignment="1">
      <alignment horizontal="center" vertical="top" wrapText="1"/>
    </xf>
    <xf numFmtId="0" fontId="39" fillId="0" borderId="1" xfId="0" applyFont="1" applyBorder="1" applyAlignment="1">
      <alignment horizontal="center" vertical="top"/>
    </xf>
    <xf numFmtId="0" fontId="42" fillId="0" borderId="10" xfId="0" applyFont="1" applyBorder="1"/>
    <xf numFmtId="0" fontId="1" fillId="3" borderId="0" xfId="0" applyFont="1" applyFill="1" applyAlignment="1">
      <alignment horizontal="center" vertical="center"/>
    </xf>
    <xf numFmtId="0" fontId="0" fillId="0" borderId="0" xfId="0" applyAlignment="1">
      <alignment horizontal="center" vertical="center" wrapText="1"/>
    </xf>
    <xf numFmtId="0" fontId="44" fillId="6" borderId="0" xfId="0" applyFont="1" applyFill="1" applyAlignment="1">
      <alignment horizontal="center" vertical="center"/>
    </xf>
    <xf numFmtId="0" fontId="1" fillId="0" borderId="0" xfId="0" applyFont="1" applyAlignment="1">
      <alignment vertical="top"/>
    </xf>
    <xf numFmtId="0" fontId="46" fillId="0" borderId="38" xfId="0" applyFont="1" applyBorder="1" applyAlignment="1">
      <alignment horizontal="left" vertical="center" indent="1"/>
    </xf>
    <xf numFmtId="0" fontId="47" fillId="0" borderId="43" xfId="0" applyFont="1" applyBorder="1" applyAlignment="1">
      <alignment horizontal="left" vertical="center" indent="1"/>
    </xf>
    <xf numFmtId="0" fontId="45" fillId="0" borderId="44" xfId="0" applyFont="1" applyBorder="1" applyAlignment="1">
      <alignment vertical="center"/>
    </xf>
    <xf numFmtId="0" fontId="48" fillId="0" borderId="45" xfId="0" applyFont="1" applyBorder="1" applyAlignment="1">
      <alignment horizontal="center" vertical="center"/>
    </xf>
    <xf numFmtId="0" fontId="49" fillId="0" borderId="42" xfId="0" applyFont="1" applyBorder="1" applyAlignment="1">
      <alignment horizontal="left" vertical="center" indent="1"/>
    </xf>
    <xf numFmtId="0" fontId="50" fillId="0" borderId="39" xfId="0" applyFont="1" applyBorder="1" applyAlignment="1">
      <alignment horizontal="left" vertical="center" indent="1"/>
    </xf>
    <xf numFmtId="0" fontId="51" fillId="0" borderId="39" xfId="0" applyFont="1" applyBorder="1" applyAlignment="1">
      <alignment horizontal="left" vertical="center" indent="1"/>
    </xf>
    <xf numFmtId="0" fontId="46" fillId="11" borderId="40" xfId="0" applyFont="1" applyFill="1" applyBorder="1" applyAlignment="1">
      <alignment horizontal="left" vertical="center" indent="1"/>
    </xf>
    <xf numFmtId="0" fontId="51" fillId="11" borderId="41" xfId="0" applyFont="1" applyFill="1" applyBorder="1" applyAlignment="1">
      <alignment horizontal="left" vertical="center" indent="1"/>
    </xf>
    <xf numFmtId="0" fontId="5" fillId="0" borderId="0" xfId="0" applyFont="1" applyAlignment="1">
      <alignment horizontal="left"/>
    </xf>
    <xf numFmtId="0" fontId="38" fillId="0" borderId="1" xfId="0" applyFont="1" applyBorder="1" applyAlignment="1">
      <alignment horizontal="left" vertical="top" indent="1"/>
    </xf>
    <xf numFmtId="0" fontId="15" fillId="0" borderId="21" xfId="0" applyFont="1" applyBorder="1" applyAlignment="1">
      <alignment horizontal="left" vertical="top" wrapText="1" indent="1"/>
    </xf>
    <xf numFmtId="0" fontId="38" fillId="0" borderId="1" xfId="0" applyFont="1" applyBorder="1" applyAlignment="1">
      <alignment horizontal="left" vertical="top" wrapText="1" indent="1"/>
    </xf>
    <xf numFmtId="0" fontId="53" fillId="0" borderId="0" xfId="0" applyFont="1" applyAlignment="1">
      <alignment horizontal="left" vertical="top" wrapText="1" indent="1"/>
    </xf>
    <xf numFmtId="0" fontId="11" fillId="0" borderId="49" xfId="0" applyFont="1" applyBorder="1" applyAlignment="1">
      <alignment horizontal="center"/>
    </xf>
    <xf numFmtId="0" fontId="10" fillId="0" borderId="48" xfId="0" applyFont="1" applyBorder="1"/>
    <xf numFmtId="0" fontId="0" fillId="0" borderId="48" xfId="0" applyBorder="1"/>
    <xf numFmtId="0" fontId="0" fillId="0" borderId="50" xfId="0" applyBorder="1"/>
    <xf numFmtId="0" fontId="0" fillId="0" borderId="52" xfId="0" applyBorder="1" applyAlignment="1">
      <alignment horizontal="center"/>
    </xf>
    <xf numFmtId="0" fontId="0" fillId="0" borderId="51" xfId="0" applyBorder="1" applyAlignment="1">
      <alignment horizontal="left"/>
    </xf>
    <xf numFmtId="0" fontId="0" fillId="0" borderId="54" xfId="0" applyBorder="1"/>
    <xf numFmtId="0" fontId="0" fillId="0" borderId="55" xfId="0" applyBorder="1"/>
    <xf numFmtId="0" fontId="0" fillId="0" borderId="56" xfId="0" applyBorder="1"/>
    <xf numFmtId="0" fontId="0" fillId="0" borderId="52" xfId="0" applyBorder="1"/>
    <xf numFmtId="0" fontId="10" fillId="0" borderId="57" xfId="0" applyFont="1" applyBorder="1" applyAlignment="1">
      <alignment vertical="top"/>
    </xf>
    <xf numFmtId="0" fontId="0" fillId="0" borderId="58" xfId="0" applyBorder="1" applyAlignment="1">
      <alignment horizontal="left" vertical="top"/>
    </xf>
    <xf numFmtId="0" fontId="10" fillId="0" borderId="51" xfId="0" applyFont="1" applyBorder="1" applyAlignment="1">
      <alignment vertical="top"/>
    </xf>
    <xf numFmtId="0" fontId="10" fillId="0" borderId="56" xfId="0" applyFont="1" applyBorder="1" applyAlignment="1">
      <alignment vertical="top"/>
    </xf>
    <xf numFmtId="0" fontId="10" fillId="0" borderId="60" xfId="0" applyFont="1" applyBorder="1" applyAlignment="1">
      <alignment vertical="top"/>
    </xf>
    <xf numFmtId="0" fontId="0" fillId="0" borderId="54" xfId="0" applyBorder="1" applyAlignment="1">
      <alignment horizontal="left" vertical="top"/>
    </xf>
    <xf numFmtId="0" fontId="38" fillId="0" borderId="63" xfId="0" applyFont="1" applyBorder="1" applyAlignment="1">
      <alignment horizontal="left" vertical="top" wrapText="1" indent="1"/>
    </xf>
    <xf numFmtId="0" fontId="38" fillId="0" borderId="63" xfId="0" applyFont="1" applyBorder="1" applyAlignment="1">
      <alignment horizontal="left" vertical="top" indent="1"/>
    </xf>
    <xf numFmtId="0" fontId="39" fillId="0" borderId="63" xfId="0" applyFont="1" applyBorder="1" applyAlignment="1">
      <alignment horizontal="center" vertical="top"/>
    </xf>
    <xf numFmtId="0" fontId="0" fillId="0" borderId="51" xfId="0" applyBorder="1"/>
    <xf numFmtId="0" fontId="0" fillId="0" borderId="55" xfId="0" applyBorder="1" applyAlignment="1">
      <alignment horizontal="left"/>
    </xf>
    <xf numFmtId="0" fontId="0" fillId="0" borderId="52" xfId="0" applyBorder="1" applyAlignment="1">
      <alignment horizontal="left"/>
    </xf>
    <xf numFmtId="0" fontId="0" fillId="0" borderId="60" xfId="0" applyBorder="1"/>
    <xf numFmtId="0" fontId="0" fillId="0" borderId="62" xfId="0" applyBorder="1"/>
    <xf numFmtId="0" fontId="0" fillId="0" borderId="64" xfId="0" applyBorder="1"/>
    <xf numFmtId="0" fontId="0" fillId="0" borderId="65" xfId="0" applyBorder="1"/>
    <xf numFmtId="0" fontId="42" fillId="0" borderId="66" xfId="0" applyFont="1" applyBorder="1"/>
    <xf numFmtId="0" fontId="6" fillId="0" borderId="0" xfId="0" applyFont="1" applyAlignment="1">
      <alignment horizontal="left" indent="1" shrinkToFit="1"/>
    </xf>
    <xf numFmtId="0" fontId="43" fillId="0" borderId="0" xfId="0" applyFont="1" applyAlignment="1">
      <alignment horizontal="left" indent="1"/>
    </xf>
    <xf numFmtId="164" fontId="35" fillId="0" borderId="26" xfId="0" applyNumberFormat="1" applyFont="1" applyBorder="1" applyAlignment="1">
      <alignment horizontal="left"/>
    </xf>
    <xf numFmtId="0" fontId="55" fillId="0" borderId="0" xfId="0" applyFont="1" applyAlignment="1">
      <alignment horizontal="center"/>
    </xf>
    <xf numFmtId="0" fontId="56" fillId="0" borderId="0" xfId="0" applyFont="1" applyAlignment="1">
      <alignment horizontal="center"/>
    </xf>
    <xf numFmtId="0" fontId="56" fillId="0" borderId="0" xfId="0" applyFont="1" applyAlignment="1">
      <alignment horizontal="left" indent="1"/>
    </xf>
    <xf numFmtId="164" fontId="55" fillId="0" borderId="0" xfId="0" applyNumberFormat="1" applyFont="1" applyAlignment="1">
      <alignment horizontal="center"/>
    </xf>
    <xf numFmtId="0" fontId="56" fillId="0" borderId="0" xfId="0" applyFont="1" applyAlignment="1">
      <alignment horizontal="left" indent="1" shrinkToFit="1"/>
    </xf>
    <xf numFmtId="0" fontId="55" fillId="0" borderId="0" xfId="0" applyFont="1" applyAlignment="1">
      <alignment horizontal="left" indent="1"/>
    </xf>
    <xf numFmtId="0" fontId="55" fillId="0" borderId="0" xfId="0" applyFont="1" applyAlignment="1">
      <alignment horizontal="left"/>
    </xf>
    <xf numFmtId="0" fontId="57" fillId="0" borderId="0" xfId="0" applyFont="1"/>
    <xf numFmtId="0" fontId="55" fillId="0" borderId="0" xfId="0" applyFont="1"/>
    <xf numFmtId="0" fontId="56" fillId="0" borderId="0" xfId="0" applyFont="1"/>
    <xf numFmtId="0" fontId="56" fillId="0" borderId="0" xfId="0" applyFont="1" applyAlignment="1">
      <alignment horizontal="left"/>
    </xf>
    <xf numFmtId="0" fontId="58" fillId="8" borderId="0" xfId="0" applyFont="1" applyFill="1" applyAlignment="1">
      <alignment horizontal="center" vertical="center"/>
    </xf>
    <xf numFmtId="0" fontId="58" fillId="8" borderId="0" xfId="0" applyFont="1" applyFill="1" applyAlignment="1">
      <alignment horizontal="left" vertical="center"/>
    </xf>
    <xf numFmtId="164" fontId="58" fillId="8" borderId="0" xfId="0" applyNumberFormat="1" applyFont="1" applyFill="1" applyAlignment="1">
      <alignment horizontal="center" vertical="center"/>
    </xf>
    <xf numFmtId="0" fontId="58" fillId="8" borderId="0" xfId="0" applyFont="1" applyFill="1" applyAlignment="1">
      <alignment horizontal="left" vertical="center" indent="1"/>
    </xf>
    <xf numFmtId="0" fontId="59" fillId="8" borderId="0" xfId="0" applyFont="1" applyFill="1" applyAlignment="1">
      <alignment horizontal="center" vertical="center"/>
    </xf>
    <xf numFmtId="0" fontId="60" fillId="8" borderId="0" xfId="0" applyFont="1" applyFill="1" applyAlignment="1">
      <alignment vertical="center"/>
    </xf>
    <xf numFmtId="0" fontId="72" fillId="0" borderId="0" xfId="0" applyFont="1" applyAlignment="1">
      <alignment horizontal="center"/>
    </xf>
    <xf numFmtId="0" fontId="73" fillId="0" borderId="0" xfId="0" applyFont="1" applyAlignment="1">
      <alignment horizontal="center"/>
    </xf>
    <xf numFmtId="0" fontId="73" fillId="0" borderId="0" xfId="0" applyFont="1" applyAlignment="1">
      <alignment horizontal="left" indent="1"/>
    </xf>
    <xf numFmtId="164" fontId="72" fillId="0" borderId="0" xfId="0" applyNumberFormat="1" applyFont="1" applyAlignment="1">
      <alignment horizontal="center"/>
    </xf>
    <xf numFmtId="0" fontId="73" fillId="0" borderId="0" xfId="0" applyFont="1" applyAlignment="1">
      <alignment horizontal="left" indent="1" shrinkToFit="1"/>
    </xf>
    <xf numFmtId="0" fontId="72" fillId="0" borderId="0" xfId="0" applyFont="1" applyAlignment="1">
      <alignment horizontal="left" indent="1"/>
    </xf>
    <xf numFmtId="0" fontId="72" fillId="0" borderId="0" xfId="0" applyFont="1" applyAlignment="1">
      <alignment horizontal="left"/>
    </xf>
    <xf numFmtId="0" fontId="74" fillId="0" borderId="0" xfId="0" applyFont="1" applyAlignment="1">
      <alignment horizontal="center"/>
    </xf>
    <xf numFmtId="0" fontId="75" fillId="0" borderId="0" xfId="0" applyFont="1" applyAlignment="1">
      <alignment horizontal="center"/>
    </xf>
    <xf numFmtId="0" fontId="76" fillId="0" borderId="0" xfId="0" applyFont="1"/>
    <xf numFmtId="17" fontId="72" fillId="0" borderId="0" xfId="0" quotePrefix="1" applyNumberFormat="1" applyFont="1" applyAlignment="1">
      <alignment horizontal="left"/>
    </xf>
    <xf numFmtId="0" fontId="72" fillId="0" borderId="0" xfId="0" quotePrefix="1" applyFont="1" applyAlignment="1">
      <alignment horizontal="left"/>
    </xf>
    <xf numFmtId="0" fontId="72" fillId="0" borderId="0" xfId="0" quotePrefix="1" applyFont="1" applyAlignment="1">
      <alignment horizontal="left" vertical="center"/>
    </xf>
    <xf numFmtId="164" fontId="72" fillId="0" borderId="0" xfId="0" quotePrefix="1" applyNumberFormat="1" applyFont="1" applyAlignment="1">
      <alignment horizontal="center"/>
    </xf>
    <xf numFmtId="0" fontId="73" fillId="9" borderId="34" xfId="0" applyFont="1" applyFill="1" applyBorder="1" applyAlignment="1">
      <alignment horizontal="center"/>
    </xf>
    <xf numFmtId="166" fontId="72" fillId="0" borderId="0" xfId="0" applyNumberFormat="1" applyFont="1" applyAlignment="1">
      <alignment horizontal="left"/>
    </xf>
    <xf numFmtId="0" fontId="72" fillId="0" borderId="35" xfId="0" applyFont="1" applyBorder="1" applyAlignment="1">
      <alignment horizontal="center"/>
    </xf>
    <xf numFmtId="0" fontId="72" fillId="0" borderId="26" xfId="0" applyFont="1" applyBorder="1" applyAlignment="1">
      <alignment horizontal="center"/>
    </xf>
    <xf numFmtId="0" fontId="73" fillId="0" borderId="26" xfId="0" applyFont="1" applyBorder="1" applyAlignment="1">
      <alignment horizontal="left" indent="1" shrinkToFit="1"/>
    </xf>
    <xf numFmtId="0" fontId="72" fillId="0" borderId="26" xfId="0" applyFont="1" applyBorder="1" applyAlignment="1">
      <alignment horizontal="left" indent="1"/>
    </xf>
    <xf numFmtId="0" fontId="72" fillId="0" borderId="36" xfId="0" applyFont="1" applyBorder="1" applyAlignment="1">
      <alignment horizontal="left"/>
    </xf>
    <xf numFmtId="0" fontId="72" fillId="10" borderId="26" xfId="0" applyFont="1" applyFill="1" applyBorder="1" applyAlignment="1">
      <alignment horizontal="center"/>
    </xf>
    <xf numFmtId="0" fontId="73" fillId="10" borderId="26" xfId="0" applyFont="1" applyFill="1" applyBorder="1" applyAlignment="1">
      <alignment horizontal="left" indent="1" shrinkToFit="1"/>
    </xf>
    <xf numFmtId="0" fontId="72" fillId="10" borderId="26" xfId="0" applyFont="1" applyFill="1" applyBorder="1" applyAlignment="1">
      <alignment horizontal="left" indent="1"/>
    </xf>
    <xf numFmtId="0" fontId="72" fillId="10" borderId="36" xfId="0" applyFont="1" applyFill="1" applyBorder="1" applyAlignment="1">
      <alignment horizontal="left"/>
    </xf>
    <xf numFmtId="164" fontId="72" fillId="0" borderId="26" xfId="0" applyNumberFormat="1" applyFont="1" applyBorder="1" applyAlignment="1">
      <alignment horizontal="center"/>
    </xf>
    <xf numFmtId="3" fontId="55" fillId="0" borderId="0" xfId="0" applyNumberFormat="1" applyFont="1" applyAlignment="1">
      <alignment horizontal="left"/>
    </xf>
    <xf numFmtId="0" fontId="77" fillId="8" borderId="0" xfId="0" applyFont="1" applyFill="1" applyAlignment="1">
      <alignment horizontal="left" vertical="center" indent="1" shrinkToFit="1"/>
    </xf>
    <xf numFmtId="0" fontId="78" fillId="0" borderId="1" xfId="0" applyFont="1" applyBorder="1" applyAlignment="1">
      <alignment horizontal="center" vertical="center" textRotation="90" wrapText="1"/>
    </xf>
    <xf numFmtId="0" fontId="79" fillId="0" borderId="1" xfId="0" applyFont="1" applyBorder="1" applyAlignment="1">
      <alignment horizontal="center" vertical="center" wrapText="1" indent="1"/>
    </xf>
    <xf numFmtId="0" fontId="80" fillId="0" borderId="1" xfId="0" applyFont="1" applyBorder="1" applyAlignment="1">
      <alignment horizontal="center" vertical="center" wrapText="1" indent="1"/>
    </xf>
    <xf numFmtId="0" fontId="81" fillId="0" borderId="1" xfId="0" applyFont="1" applyBorder="1" applyAlignment="1">
      <alignment horizontal="center" vertical="center" textRotation="90" wrapText="1"/>
    </xf>
    <xf numFmtId="0" fontId="51" fillId="0" borderId="39" xfId="0" applyFont="1" applyBorder="1" applyAlignment="1">
      <alignment horizontal="left" vertical="center" indent="1" shrinkToFit="1"/>
    </xf>
    <xf numFmtId="0" fontId="54" fillId="0" borderId="0" xfId="0" applyFont="1"/>
    <xf numFmtId="0" fontId="63" fillId="0" borderId="0" xfId="0" applyFont="1" applyAlignment="1">
      <alignment horizontal="left" vertical="center"/>
    </xf>
    <xf numFmtId="0" fontId="62" fillId="0" borderId="0" xfId="0" applyFont="1" applyAlignment="1">
      <alignment horizontal="left" vertical="center"/>
    </xf>
    <xf numFmtId="0" fontId="67" fillId="0" borderId="0" xfId="0" applyFont="1" applyAlignment="1">
      <alignment horizontal="left" vertical="center"/>
    </xf>
    <xf numFmtId="0" fontId="68" fillId="0" borderId="0" xfId="0" applyFont="1" applyAlignment="1">
      <alignment horizontal="left" vertical="center" wrapText="1"/>
    </xf>
    <xf numFmtId="0" fontId="69" fillId="0" borderId="0" xfId="0" applyFont="1" applyAlignment="1">
      <alignment horizontal="left" vertical="center"/>
    </xf>
    <xf numFmtId="0" fontId="61" fillId="0" borderId="0" xfId="0" applyFont="1" applyAlignment="1">
      <alignment horizontal="left" vertical="center"/>
    </xf>
    <xf numFmtId="0" fontId="65" fillId="0" borderId="0" xfId="0" applyFont="1" applyAlignment="1">
      <alignment horizontal="left" vertical="center"/>
    </xf>
    <xf numFmtId="0" fontId="64" fillId="0" borderId="0" xfId="0" applyFont="1" applyAlignment="1">
      <alignment horizontal="left" vertical="center"/>
    </xf>
    <xf numFmtId="164" fontId="67" fillId="0" borderId="0" xfId="0" applyNumberFormat="1" applyFont="1" applyAlignment="1">
      <alignment horizontal="left" vertical="center"/>
    </xf>
    <xf numFmtId="164" fontId="69" fillId="0" borderId="0" xfId="0" applyNumberFormat="1" applyFont="1" applyAlignment="1">
      <alignment horizontal="left" vertical="center"/>
    </xf>
    <xf numFmtId="164" fontId="61" fillId="0" borderId="0" xfId="0" applyNumberFormat="1" applyFont="1" applyAlignment="1">
      <alignment horizontal="left" vertical="center"/>
    </xf>
    <xf numFmtId="164" fontId="62" fillId="0" borderId="0" xfId="0" applyNumberFormat="1" applyFont="1" applyAlignment="1">
      <alignment horizontal="left" vertical="center"/>
    </xf>
    <xf numFmtId="0" fontId="51" fillId="0" borderId="39" xfId="0" applyFont="1" applyBorder="1" applyAlignment="1">
      <alignment horizontal="left" vertical="center" wrapText="1" indent="1" shrinkToFit="1"/>
    </xf>
    <xf numFmtId="0" fontId="84" fillId="0" borderId="0" xfId="0" applyFont="1" applyAlignment="1">
      <alignment horizontal="left" vertical="center"/>
    </xf>
    <xf numFmtId="164" fontId="84" fillId="0" borderId="0" xfId="0" applyNumberFormat="1" applyFont="1" applyAlignment="1">
      <alignment horizontal="left" vertical="center"/>
    </xf>
    <xf numFmtId="0" fontId="86" fillId="12" borderId="0" xfId="0" applyFont="1" applyFill="1" applyAlignment="1">
      <alignment horizontal="left" vertical="center" wrapText="1"/>
    </xf>
    <xf numFmtId="0" fontId="87" fillId="0" borderId="35" xfId="0" applyFont="1" applyBorder="1" applyAlignment="1">
      <alignment horizontal="center"/>
    </xf>
    <xf numFmtId="0" fontId="88" fillId="0" borderId="0" xfId="0" applyFont="1" applyAlignment="1">
      <alignment horizontal="center"/>
    </xf>
    <xf numFmtId="0" fontId="88" fillId="0" borderId="0" xfId="0" applyFont="1" applyAlignment="1">
      <alignment horizontal="left" indent="1"/>
    </xf>
    <xf numFmtId="164" fontId="87" fillId="0" borderId="26" xfId="0" applyNumberFormat="1" applyFont="1" applyBorder="1" applyAlignment="1">
      <alignment horizontal="center"/>
    </xf>
    <xf numFmtId="0" fontId="87" fillId="0" borderId="26" xfId="0" applyFont="1" applyBorder="1" applyAlignment="1">
      <alignment horizontal="center"/>
    </xf>
    <xf numFmtId="0" fontId="88" fillId="0" borderId="0" xfId="0" applyFont="1" applyAlignment="1">
      <alignment horizontal="left" indent="1" shrinkToFit="1"/>
    </xf>
    <xf numFmtId="0" fontId="87" fillId="0" borderId="26" xfId="0" applyFont="1" applyBorder="1" applyAlignment="1">
      <alignment horizontal="left" indent="1"/>
    </xf>
    <xf numFmtId="0" fontId="87" fillId="0" borderId="0" xfId="0" applyFont="1" applyAlignment="1">
      <alignment horizontal="left" indent="1"/>
    </xf>
    <xf numFmtId="0" fontId="87" fillId="0" borderId="0" xfId="0" applyFont="1" applyAlignment="1">
      <alignment horizontal="left"/>
    </xf>
    <xf numFmtId="0" fontId="89" fillId="0" borderId="0" xfId="0" applyFont="1" applyAlignment="1">
      <alignment horizontal="center"/>
    </xf>
    <xf numFmtId="0" fontId="87" fillId="0" borderId="0" xfId="0" applyFont="1" applyAlignment="1">
      <alignment horizontal="center"/>
    </xf>
    <xf numFmtId="0" fontId="90" fillId="0" borderId="0" xfId="0" applyFont="1"/>
    <xf numFmtId="0" fontId="88" fillId="0" borderId="26" xfId="0" applyFont="1" applyBorder="1" applyAlignment="1">
      <alignment horizontal="left" indent="1" shrinkToFit="1"/>
    </xf>
    <xf numFmtId="164" fontId="87" fillId="0" borderId="37" xfId="0" applyNumberFormat="1" applyFont="1" applyBorder="1" applyAlignment="1">
      <alignment horizontal="center"/>
    </xf>
    <xf numFmtId="0" fontId="87" fillId="0" borderId="26" xfId="0" applyFont="1" applyBorder="1" applyAlignment="1">
      <alignment horizontal="left" indent="1" shrinkToFit="1"/>
    </xf>
    <xf numFmtId="0" fontId="91" fillId="0" borderId="0" xfId="0" applyFont="1"/>
    <xf numFmtId="164" fontId="87" fillId="0" borderId="0" xfId="0" quotePrefix="1" applyNumberFormat="1" applyFont="1" applyAlignment="1">
      <alignment horizontal="center"/>
    </xf>
    <xf numFmtId="164" fontId="55" fillId="0" borderId="0" xfId="0" quotePrefix="1" applyNumberFormat="1" applyFont="1" applyAlignment="1">
      <alignment horizontal="center"/>
    </xf>
    <xf numFmtId="0" fontId="55" fillId="0" borderId="0" xfId="0" applyFont="1" applyAlignment="1">
      <alignment horizontal="left" indent="1" shrinkToFit="1"/>
    </xf>
    <xf numFmtId="0" fontId="92" fillId="0" borderId="0" xfId="0" applyFont="1"/>
    <xf numFmtId="0" fontId="55" fillId="12" borderId="0" xfId="0" applyFont="1" applyFill="1" applyAlignment="1">
      <alignment horizontal="center"/>
    </xf>
    <xf numFmtId="164" fontId="87" fillId="0" borderId="0" xfId="0" applyNumberFormat="1" applyFont="1" applyAlignment="1">
      <alignment horizontal="center"/>
    </xf>
    <xf numFmtId="0" fontId="67" fillId="0" borderId="0" xfId="0" applyFont="1" applyAlignment="1">
      <alignment horizontal="left" vertical="center" shrinkToFit="1"/>
    </xf>
    <xf numFmtId="0" fontId="68" fillId="0" borderId="0" xfId="0" applyFont="1" applyAlignment="1">
      <alignment horizontal="left" vertical="center"/>
    </xf>
    <xf numFmtId="0" fontId="67" fillId="0" borderId="0" xfId="0" applyFont="1" applyAlignment="1">
      <alignment horizontal="left" vertical="center" wrapText="1"/>
    </xf>
    <xf numFmtId="0" fontId="85" fillId="12" borderId="0" xfId="0" applyFont="1" applyFill="1" applyAlignment="1">
      <alignment horizontal="left" vertical="center" wrapText="1"/>
    </xf>
    <xf numFmtId="0" fontId="66" fillId="0" borderId="0" xfId="0" applyFont="1" applyAlignment="1">
      <alignment horizontal="left" vertical="center"/>
    </xf>
    <xf numFmtId="0" fontId="69" fillId="0" borderId="0" xfId="0" applyFont="1" applyAlignment="1">
      <alignment horizontal="left" vertical="center" shrinkToFit="1"/>
    </xf>
    <xf numFmtId="0" fontId="70" fillId="0" borderId="0" xfId="0" applyFont="1" applyAlignment="1">
      <alignment horizontal="left" vertical="center"/>
    </xf>
    <xf numFmtId="0" fontId="71" fillId="0" borderId="0" xfId="0" applyFont="1" applyAlignment="1">
      <alignment horizontal="left" vertical="center"/>
    </xf>
    <xf numFmtId="0" fontId="69" fillId="0" borderId="35" xfId="0" applyFont="1" applyBorder="1" applyAlignment="1">
      <alignment horizontal="left" vertical="center"/>
    </xf>
    <xf numFmtId="0" fontId="69" fillId="0" borderId="46" xfId="0" applyFont="1" applyBorder="1" applyAlignment="1">
      <alignment horizontal="left" vertical="center"/>
    </xf>
    <xf numFmtId="0" fontId="61" fillId="0" borderId="0" xfId="0" applyFont="1" applyAlignment="1">
      <alignment horizontal="left" vertical="center" shrinkToFit="1"/>
    </xf>
    <xf numFmtId="0" fontId="83" fillId="0" borderId="0" xfId="0" applyFont="1" applyAlignment="1">
      <alignment horizontal="left" vertical="center"/>
    </xf>
    <xf numFmtId="0" fontId="84" fillId="0" borderId="0" xfId="0" applyFont="1" applyAlignment="1">
      <alignment horizontal="left" vertical="center" shrinkToFit="1"/>
    </xf>
    <xf numFmtId="0" fontId="49" fillId="0" borderId="0" xfId="0" applyFont="1" applyAlignment="1">
      <alignment horizontal="left" vertical="center"/>
    </xf>
    <xf numFmtId="0" fontId="63" fillId="0" borderId="0" xfId="0" applyFont="1" applyAlignment="1">
      <alignment horizontal="left" vertical="center" shrinkToFit="1"/>
    </xf>
    <xf numFmtId="0" fontId="79" fillId="0" borderId="1" xfId="0" applyFont="1" applyBorder="1" applyAlignment="1">
      <alignment horizontal="center" vertical="center" textRotation="90"/>
    </xf>
    <xf numFmtId="0" fontId="55" fillId="0" borderId="0" xfId="0" applyFont="1" applyAlignment="1">
      <alignment horizontal="left" indent="2"/>
    </xf>
    <xf numFmtId="0" fontId="56" fillId="0" borderId="0" xfId="0" applyFont="1" applyAlignment="1">
      <alignment horizontal="left" indent="2" shrinkToFit="1"/>
    </xf>
    <xf numFmtId="0" fontId="95" fillId="0" borderId="0" xfId="0" applyFont="1" applyAlignment="1">
      <alignment horizontal="left" vertical="center"/>
    </xf>
    <xf numFmtId="164" fontId="95" fillId="0" borderId="0" xfId="0" applyNumberFormat="1" applyFont="1" applyAlignment="1">
      <alignment horizontal="left" vertical="center"/>
    </xf>
    <xf numFmtId="0" fontId="95" fillId="0" borderId="0" xfId="0" applyFont="1" applyAlignment="1">
      <alignment horizontal="left" vertical="center" shrinkToFit="1"/>
    </xf>
    <xf numFmtId="0" fontId="96" fillId="0" borderId="0" xfId="0" applyFont="1" applyAlignment="1">
      <alignment horizontal="left" vertical="center"/>
    </xf>
    <xf numFmtId="0" fontId="97" fillId="0" borderId="0" xfId="0" applyFont="1" applyAlignment="1">
      <alignment horizontal="left" vertical="center"/>
    </xf>
    <xf numFmtId="0" fontId="95" fillId="0" borderId="0" xfId="0" applyFont="1" applyAlignment="1">
      <alignment horizontal="left" vertical="top"/>
    </xf>
    <xf numFmtId="0" fontId="98" fillId="0" borderId="0" xfId="0" applyFont="1" applyAlignment="1">
      <alignment horizontal="left" vertical="center"/>
    </xf>
    <xf numFmtId="0" fontId="49" fillId="0" borderId="67" xfId="0" applyFont="1" applyBorder="1" applyAlignment="1">
      <alignment horizontal="left" vertical="center" indent="1"/>
    </xf>
    <xf numFmtId="0" fontId="48" fillId="0" borderId="68" xfId="0" applyFont="1" applyBorder="1" applyAlignment="1">
      <alignment horizontal="center" vertical="center"/>
    </xf>
    <xf numFmtId="0" fontId="50" fillId="0" borderId="43" xfId="0" applyFont="1" applyBorder="1" applyAlignment="1">
      <alignment horizontal="left" vertical="center" indent="1"/>
    </xf>
    <xf numFmtId="0" fontId="99" fillId="0" borderId="0" xfId="0" applyFont="1" applyAlignment="1">
      <alignment horizontal="center"/>
    </xf>
    <xf numFmtId="0" fontId="100" fillId="0" borderId="69" xfId="0" applyFont="1" applyBorder="1" applyAlignment="1">
      <alignment horizontal="left" vertical="center"/>
    </xf>
    <xf numFmtId="0" fontId="93" fillId="0" borderId="46" xfId="0" applyFont="1" applyBorder="1" applyAlignment="1">
      <alignment horizontal="left" vertical="center"/>
    </xf>
    <xf numFmtId="0" fontId="94" fillId="0" borderId="0" xfId="0" applyFont="1" applyAlignment="1">
      <alignment horizontal="left" vertical="center"/>
    </xf>
    <xf numFmtId="164" fontId="93" fillId="0" borderId="0" xfId="0" applyNumberFormat="1" applyFont="1" applyAlignment="1">
      <alignment horizontal="left" vertical="center"/>
    </xf>
    <xf numFmtId="0" fontId="93" fillId="0" borderId="37" xfId="0" applyFont="1" applyBorder="1" applyAlignment="1">
      <alignment horizontal="left" vertical="center"/>
    </xf>
    <xf numFmtId="0" fontId="94" fillId="0" borderId="0" xfId="0" applyFont="1" applyAlignment="1">
      <alignment horizontal="left" vertical="center" shrinkToFit="1"/>
    </xf>
    <xf numFmtId="0" fontId="93" fillId="0" borderId="0" xfId="0" applyFont="1" applyAlignment="1">
      <alignment horizontal="left" vertical="center"/>
    </xf>
    <xf numFmtId="0" fontId="101" fillId="0" borderId="0" xfId="0" applyFont="1" applyAlignment="1">
      <alignment horizontal="left" vertical="center"/>
    </xf>
    <xf numFmtId="0" fontId="102" fillId="0" borderId="0" xfId="0" applyFont="1" applyAlignment="1">
      <alignment horizontal="left" vertical="center"/>
    </xf>
    <xf numFmtId="164" fontId="101" fillId="0" borderId="0" xfId="0" applyNumberFormat="1" applyFont="1" applyAlignment="1">
      <alignment horizontal="left" vertical="center"/>
    </xf>
    <xf numFmtId="0" fontId="101" fillId="0" borderId="0" xfId="0" applyFont="1" applyAlignment="1">
      <alignment horizontal="left" vertical="center" shrinkToFit="1"/>
    </xf>
    <xf numFmtId="17" fontId="101" fillId="0" borderId="0" xfId="0" applyNumberFormat="1" applyFont="1" applyAlignment="1">
      <alignment horizontal="left" vertical="center"/>
    </xf>
    <xf numFmtId="0" fontId="103" fillId="0" borderId="0" xfId="0" applyFont="1" applyAlignment="1">
      <alignment horizontal="left" vertical="center"/>
    </xf>
    <xf numFmtId="0" fontId="102" fillId="0" borderId="0" xfId="0" applyFont="1" applyAlignment="1">
      <alignment horizontal="left" vertical="center" shrinkToFit="1"/>
    </xf>
    <xf numFmtId="0" fontId="101" fillId="0" borderId="46" xfId="0" applyFont="1" applyBorder="1" applyAlignment="1">
      <alignment horizontal="left" vertical="center"/>
    </xf>
    <xf numFmtId="0" fontId="47" fillId="0" borderId="69" xfId="0" applyFont="1" applyBorder="1" applyAlignment="1">
      <alignment horizontal="left" vertical="center"/>
    </xf>
    <xf numFmtId="0" fontId="104" fillId="0" borderId="69" xfId="0" applyFont="1" applyBorder="1" applyAlignment="1">
      <alignment horizontal="left" vertical="center"/>
    </xf>
    <xf numFmtId="0" fontId="82" fillId="2" borderId="1" xfId="0" applyFont="1" applyFill="1" applyBorder="1" applyAlignment="1">
      <alignment horizontal="center" vertical="center"/>
    </xf>
    <xf numFmtId="0" fontId="40" fillId="0" borderId="0" xfId="0" applyFont="1" applyAlignment="1">
      <alignment horizontal="center" vertical="center"/>
    </xf>
    <xf numFmtId="0" fontId="32" fillId="0" borderId="0" xfId="0" applyFont="1" applyAlignment="1">
      <alignment horizontal="center" shrinkToFit="1"/>
    </xf>
    <xf numFmtId="164" fontId="35" fillId="0" borderId="0" xfId="0" applyNumberFormat="1" applyFont="1" applyAlignment="1">
      <alignment horizontal="left"/>
    </xf>
    <xf numFmtId="0" fontId="52" fillId="0" borderId="13" xfId="0" applyFont="1" applyBorder="1" applyAlignment="1">
      <alignment horizontal="center" indent="6"/>
    </xf>
    <xf numFmtId="0" fontId="13" fillId="0" borderId="0" xfId="0" applyFont="1" applyAlignment="1">
      <alignment horizontal="center"/>
    </xf>
    <xf numFmtId="0" fontId="13" fillId="0" borderId="6" xfId="0" applyFont="1" applyBorder="1" applyAlignment="1">
      <alignment horizontal="center" wrapText="1"/>
    </xf>
    <xf numFmtId="165" fontId="15" fillId="0" borderId="6" xfId="0" applyNumberFormat="1" applyFont="1" applyBorder="1" applyAlignment="1">
      <alignment horizontal="center" vertical="top"/>
    </xf>
    <xf numFmtId="165" fontId="15" fillId="0" borderId="16" xfId="0" applyNumberFormat="1" applyFont="1" applyBorder="1" applyAlignment="1">
      <alignment horizontal="center" vertical="top"/>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6" fillId="0" borderId="11" xfId="1" applyFont="1" applyBorder="1" applyAlignment="1">
      <alignment horizontal="center" vertical="center"/>
    </xf>
    <xf numFmtId="0" fontId="17" fillId="0" borderId="11" xfId="0" applyFont="1" applyBorder="1" applyAlignment="1">
      <alignment horizontal="center" vertical="center"/>
    </xf>
    <xf numFmtId="0" fontId="1" fillId="0" borderId="0" xfId="0" applyFont="1" applyAlignment="1">
      <alignment horizontal="right"/>
    </xf>
    <xf numFmtId="0" fontId="11" fillId="0" borderId="12" xfId="0" applyFont="1" applyBorder="1" applyAlignment="1">
      <alignment horizontal="center"/>
    </xf>
    <xf numFmtId="0" fontId="11" fillId="0" borderId="13"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7" fillId="0" borderId="15" xfId="0" applyFont="1" applyBorder="1" applyAlignment="1">
      <alignment horizontal="center"/>
    </xf>
    <xf numFmtId="0" fontId="17" fillId="0" borderId="0" xfId="0" applyFont="1" applyAlignment="1">
      <alignment horizontal="center"/>
    </xf>
    <xf numFmtId="0" fontId="17" fillId="0" borderId="16" xfId="0" applyFont="1" applyBorder="1" applyAlignment="1">
      <alignment horizontal="center"/>
    </xf>
    <xf numFmtId="0" fontId="11" fillId="0" borderId="15" xfId="0" applyFont="1" applyBorder="1" applyAlignment="1">
      <alignment horizontal="center"/>
    </xf>
    <xf numFmtId="0" fontId="11" fillId="0" borderId="0" xfId="0" applyFont="1" applyAlignment="1">
      <alignment horizontal="center"/>
    </xf>
    <xf numFmtId="0" fontId="11" fillId="0" borderId="16" xfId="0" applyFont="1" applyBorder="1" applyAlignment="1">
      <alignment horizontal="center"/>
    </xf>
    <xf numFmtId="0" fontId="10" fillId="0" borderId="15" xfId="0" applyFont="1" applyBorder="1" applyAlignment="1">
      <alignment horizontal="center"/>
    </xf>
    <xf numFmtId="0" fontId="10" fillId="0" borderId="0" xfId="0" applyFont="1" applyAlignment="1">
      <alignment horizontal="center"/>
    </xf>
    <xf numFmtId="0" fontId="10" fillId="0" borderId="16" xfId="0" applyFont="1" applyBorder="1" applyAlignment="1">
      <alignment horizontal="center"/>
    </xf>
    <xf numFmtId="0" fontId="15" fillId="0" borderId="22" xfId="0" applyFont="1" applyBorder="1" applyAlignment="1">
      <alignment horizontal="center" vertical="top"/>
    </xf>
    <xf numFmtId="0" fontId="14" fillId="0" borderId="3" xfId="0" applyFont="1" applyBorder="1" applyAlignment="1">
      <alignment horizontal="center" vertical="top" wrapText="1"/>
    </xf>
    <xf numFmtId="0" fontId="14" fillId="0" borderId="4" xfId="0" applyFont="1" applyBorder="1" applyAlignment="1">
      <alignment horizontal="center" vertical="top" wrapText="1"/>
    </xf>
    <xf numFmtId="0" fontId="15" fillId="0" borderId="1" xfId="0" applyFont="1" applyBorder="1" applyAlignment="1">
      <alignment horizontal="center" vertical="top"/>
    </xf>
    <xf numFmtId="0" fontId="18" fillId="3" borderId="20" xfId="0" applyFont="1" applyFill="1" applyBorder="1" applyAlignment="1">
      <alignment horizontal="center" vertical="center"/>
    </xf>
    <xf numFmtId="0" fontId="18" fillId="3" borderId="2" xfId="0" applyFont="1" applyFill="1" applyBorder="1" applyAlignment="1">
      <alignment horizontal="center" vertical="center"/>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20" fillId="3" borderId="15" xfId="0" applyFont="1" applyFill="1" applyBorder="1" applyAlignment="1">
      <alignment horizontal="center" vertical="center"/>
    </xf>
    <xf numFmtId="0" fontId="20" fillId="3" borderId="0" xfId="0" applyFont="1" applyFill="1" applyAlignment="1">
      <alignment horizontal="center" vertical="center"/>
    </xf>
    <xf numFmtId="0" fontId="20" fillId="3" borderId="17" xfId="0" applyFont="1" applyFill="1" applyBorder="1" applyAlignment="1">
      <alignment horizontal="center" vertical="center"/>
    </xf>
    <xf numFmtId="0" fontId="20" fillId="3" borderId="18" xfId="0" applyFont="1" applyFill="1" applyBorder="1" applyAlignment="1">
      <alignment horizontal="center" vertical="center"/>
    </xf>
    <xf numFmtId="0" fontId="20" fillId="3" borderId="27" xfId="0" applyFont="1" applyFill="1" applyBorder="1" applyAlignment="1">
      <alignment horizontal="center" vertical="center"/>
    </xf>
    <xf numFmtId="0" fontId="20" fillId="3" borderId="28" xfId="0" applyFont="1" applyFill="1" applyBorder="1" applyAlignment="1">
      <alignment horizontal="center" vertical="center"/>
    </xf>
    <xf numFmtId="0" fontId="20" fillId="3" borderId="29" xfId="0" applyFont="1" applyFill="1" applyBorder="1" applyAlignment="1">
      <alignment horizontal="center" vertical="center"/>
    </xf>
    <xf numFmtId="0" fontId="20" fillId="3" borderId="30" xfId="0" applyFont="1" applyFill="1" applyBorder="1" applyAlignment="1">
      <alignment horizontal="center" vertical="center"/>
    </xf>
    <xf numFmtId="0" fontId="20" fillId="3" borderId="31" xfId="0" applyFont="1" applyFill="1" applyBorder="1" applyAlignment="1">
      <alignment horizontal="center" vertical="center"/>
    </xf>
    <xf numFmtId="0" fontId="20" fillId="3" borderId="32" xfId="0" applyFont="1" applyFill="1" applyBorder="1" applyAlignment="1">
      <alignment horizontal="center" vertical="center"/>
    </xf>
    <xf numFmtId="0" fontId="19" fillId="3" borderId="12" xfId="0" applyFont="1" applyFill="1" applyBorder="1" applyAlignment="1">
      <alignment horizontal="center" vertical="center"/>
    </xf>
    <xf numFmtId="0" fontId="19" fillId="3" borderId="15" xfId="0" applyFont="1" applyFill="1" applyBorder="1" applyAlignment="1">
      <alignment horizontal="center" vertical="center"/>
    </xf>
    <xf numFmtId="0" fontId="19" fillId="3" borderId="17" xfId="0" applyFont="1" applyFill="1" applyBorder="1" applyAlignment="1">
      <alignment horizontal="center" vertical="center"/>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6"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3" fillId="0" borderId="9" xfId="0" applyFont="1" applyBorder="1" applyAlignment="1">
      <alignment horizontal="center"/>
    </xf>
    <xf numFmtId="0" fontId="0" fillId="0" borderId="0" xfId="0" applyAlignment="1">
      <alignment horizontal="center"/>
    </xf>
    <xf numFmtId="0" fontId="13" fillId="0" borderId="3" xfId="0" applyFont="1" applyBorder="1" applyAlignment="1">
      <alignment horizontal="center"/>
    </xf>
    <xf numFmtId="0" fontId="12" fillId="0" borderId="12" xfId="0" applyFont="1" applyBorder="1" applyAlignment="1">
      <alignment horizontal="center" vertical="top" wrapText="1"/>
    </xf>
    <xf numFmtId="0" fontId="12" fillId="0" borderId="13" xfId="0" applyFont="1" applyBorder="1" applyAlignment="1">
      <alignment horizontal="center" vertical="top" wrapText="1"/>
    </xf>
    <xf numFmtId="0" fontId="0" fillId="0" borderId="0" xfId="0" applyAlignment="1">
      <alignment horizontal="right"/>
    </xf>
    <xf numFmtId="0" fontId="10" fillId="0" borderId="0" xfId="0" applyFont="1" applyAlignment="1">
      <alignment horizontal="center" vertical="center"/>
    </xf>
    <xf numFmtId="0" fontId="0" fillId="0" borderId="0" xfId="0" applyAlignment="1">
      <alignment horizontal="center" vertical="center"/>
    </xf>
    <xf numFmtId="0" fontId="13" fillId="0" borderId="10" xfId="0" applyFont="1" applyBorder="1" applyAlignment="1">
      <alignment horizontal="left" vertical="center"/>
    </xf>
    <xf numFmtId="0" fontId="41" fillId="2" borderId="9" xfId="0" applyFont="1" applyFill="1" applyBorder="1" applyAlignment="1">
      <alignment horizontal="center" vertical="center"/>
    </xf>
    <xf numFmtId="0" fontId="13" fillId="0" borderId="10" xfId="0" applyFont="1" applyBorder="1" applyAlignment="1">
      <alignment horizontal="left" vertical="top"/>
    </xf>
    <xf numFmtId="0" fontId="12" fillId="0" borderId="12" xfId="0" applyFont="1" applyBorder="1" applyAlignment="1">
      <alignment horizontal="left" vertical="top" wrapText="1" indent="1"/>
    </xf>
    <xf numFmtId="0" fontId="12" fillId="0" borderId="13" xfId="0" applyFont="1" applyBorder="1" applyAlignment="1">
      <alignment horizontal="left" vertical="top" wrapText="1" indent="1"/>
    </xf>
    <xf numFmtId="0" fontId="15" fillId="0" borderId="22" xfId="0" applyFont="1" applyBorder="1" applyAlignment="1">
      <alignment horizontal="left" vertical="top" wrapText="1" indent="1"/>
    </xf>
    <xf numFmtId="0" fontId="15" fillId="0" borderId="22" xfId="0" applyFont="1" applyBorder="1" applyAlignment="1">
      <alignment horizontal="left" vertical="top" indent="1"/>
    </xf>
    <xf numFmtId="0" fontId="14" fillId="0" borderId="3" xfId="0" applyFont="1" applyBorder="1" applyAlignment="1">
      <alignment horizontal="left" vertical="top" wrapText="1" indent="1"/>
    </xf>
    <xf numFmtId="0" fontId="14" fillId="0" borderId="4" xfId="0" applyFont="1" applyBorder="1" applyAlignment="1">
      <alignment horizontal="left" vertical="top" wrapText="1" indent="1"/>
    </xf>
    <xf numFmtId="0" fontId="15" fillId="0" borderId="1" xfId="0" applyFont="1" applyBorder="1" applyAlignment="1">
      <alignment horizontal="left" vertical="top" indent="1"/>
    </xf>
    <xf numFmtId="0" fontId="17" fillId="0" borderId="51" xfId="0" applyFont="1" applyBorder="1" applyAlignment="1">
      <alignment horizontal="center"/>
    </xf>
    <xf numFmtId="0" fontId="11" fillId="0" borderId="47" xfId="0" applyFont="1" applyBorder="1" applyAlignment="1">
      <alignment horizontal="center"/>
    </xf>
    <xf numFmtId="0" fontId="11" fillId="0" borderId="48" xfId="0" applyFont="1" applyBorder="1" applyAlignment="1">
      <alignment horizontal="center"/>
    </xf>
    <xf numFmtId="0" fontId="11" fillId="0" borderId="51" xfId="0" applyFont="1" applyBorder="1" applyAlignment="1">
      <alignment horizontal="center"/>
    </xf>
    <xf numFmtId="0" fontId="10" fillId="0" borderId="51" xfId="0" applyFont="1" applyBorder="1" applyAlignment="1">
      <alignment horizontal="center"/>
    </xf>
    <xf numFmtId="0" fontId="13" fillId="0" borderId="53" xfId="0" applyFont="1" applyBorder="1" applyAlignment="1">
      <alignment horizontal="center"/>
    </xf>
    <xf numFmtId="0" fontId="18" fillId="3" borderId="61" xfId="0" applyFont="1" applyFill="1" applyBorder="1" applyAlignment="1">
      <alignment horizontal="center" vertical="center"/>
    </xf>
    <xf numFmtId="0" fontId="18" fillId="3" borderId="62" xfId="0" applyFont="1" applyFill="1" applyBorder="1" applyAlignment="1">
      <alignment horizontal="center" vertical="center"/>
    </xf>
    <xf numFmtId="0" fontId="19" fillId="3" borderId="55" xfId="0" applyFont="1" applyFill="1" applyBorder="1" applyAlignment="1">
      <alignment horizontal="center" vertical="center" wrapText="1"/>
    </xf>
    <xf numFmtId="0" fontId="19" fillId="3" borderId="52" xfId="0" applyFont="1" applyFill="1" applyBorder="1" applyAlignment="1">
      <alignment horizontal="center" vertical="center" wrapText="1"/>
    </xf>
    <xf numFmtId="0" fontId="19" fillId="3" borderId="54" xfId="0" applyFont="1" applyFill="1" applyBorder="1" applyAlignment="1">
      <alignment horizontal="center" vertical="center" wrapText="1"/>
    </xf>
    <xf numFmtId="0" fontId="13" fillId="0" borderId="52" xfId="0" applyFont="1" applyBorder="1" applyAlignment="1">
      <alignment horizontal="center" wrapText="1"/>
    </xf>
    <xf numFmtId="0" fontId="17" fillId="0" borderId="59" xfId="0" applyFont="1" applyBorder="1" applyAlignment="1">
      <alignment horizontal="center" vertical="center"/>
    </xf>
    <xf numFmtId="0" fontId="14" fillId="0" borderId="55" xfId="0" applyFont="1" applyBorder="1" applyAlignment="1">
      <alignment horizontal="left" vertical="top" wrapText="1" indent="1"/>
    </xf>
    <xf numFmtId="0" fontId="14" fillId="0" borderId="55" xfId="0" applyFont="1" applyBorder="1" applyAlignment="1">
      <alignment horizontal="center" vertical="top" wrapText="1"/>
    </xf>
    <xf numFmtId="0" fontId="54" fillId="0" borderId="10" xfId="0" applyFont="1" applyBorder="1" applyAlignment="1">
      <alignment horizontal="left" vertical="top"/>
    </xf>
    <xf numFmtId="0" fontId="54" fillId="0" borderId="9" xfId="0" applyFont="1" applyBorder="1" applyAlignment="1">
      <alignment horizontal="center"/>
    </xf>
    <xf numFmtId="0" fontId="101" fillId="12" borderId="0" xfId="0" applyFont="1" applyFill="1" applyAlignment="1">
      <alignment horizontal="left" vertical="center"/>
    </xf>
    <xf numFmtId="0" fontId="102" fillId="12" borderId="0" xfId="0" applyFont="1" applyFill="1" applyAlignment="1">
      <alignment horizontal="left" vertical="center"/>
    </xf>
    <xf numFmtId="164" fontId="101" fillId="12" borderId="0" xfId="0" applyNumberFormat="1" applyFont="1" applyFill="1" applyAlignment="1">
      <alignment horizontal="left" vertical="center"/>
    </xf>
  </cellXfs>
  <cellStyles count="2">
    <cellStyle name="Hyperlink" xfId="1" builtinId="8"/>
    <cellStyle name="Normal" xfId="0" builtinId="0"/>
  </cellStyles>
  <dxfs count="8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ill>
        <patternFill>
          <bgColor rgb="FFFFC7CE"/>
        </patternFill>
      </fill>
    </dxf>
    <dxf>
      <font>
        <color rgb="FF006100"/>
      </font>
      <fill>
        <patternFill>
          <bgColor rgb="FFC6EFCE"/>
        </patternFill>
      </fill>
    </dxf>
    <dxf>
      <font>
        <color rgb="FF9C0006"/>
      </font>
    </dxf>
    <dxf>
      <font>
        <color rgb="FF9C0006"/>
      </font>
      <fill>
        <patternFill>
          <bgColor rgb="FFFFC7CE"/>
        </patternFill>
      </fill>
    </dxf>
    <dxf>
      <font>
        <strike val="0"/>
        <outline val="0"/>
        <shadow val="0"/>
        <u val="none"/>
        <vertAlign val="baseline"/>
        <sz val="10"/>
        <color rgb="FFC00000"/>
        <name val="Aptos Narrow"/>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ptos Narrow"/>
        <scheme val="none"/>
      </font>
      <fill>
        <patternFill patternType="none">
          <fgColor indexed="64"/>
          <bgColor auto="1"/>
        </patternFill>
      </fill>
      <alignment horizontal="left" vertical="center" textRotation="0" wrapText="0" indent="0" justifyLastLine="0" shrinkToFit="0" readingOrder="0"/>
    </dxf>
    <dxf>
      <font>
        <b/>
        <strike val="0"/>
        <outline val="0"/>
        <shadow val="0"/>
        <u val="none"/>
        <vertAlign val="baseline"/>
        <sz val="10"/>
        <color auto="1"/>
        <name val="Aptos Narrow"/>
        <scheme val="none"/>
      </font>
      <numFmt numFmtId="0" formatCode="General"/>
      <fill>
        <patternFill patternType="none">
          <fgColor indexed="64"/>
          <bgColor auto="1"/>
        </patternFill>
      </fill>
      <alignment horizontal="left" vertical="center" textRotation="0" wrapText="0" indent="0" justifyLastLine="0" shrinkToFit="0" readingOrder="0"/>
    </dxf>
    <dxf>
      <font>
        <b/>
        <strike val="0"/>
        <outline val="0"/>
        <shadow val="0"/>
        <u val="none"/>
        <vertAlign val="baseline"/>
        <sz val="10"/>
        <color auto="1"/>
        <name val="Aptos Narrow"/>
        <scheme val="none"/>
      </font>
      <numFmt numFmtId="0" formatCode="General"/>
      <fill>
        <patternFill patternType="none">
          <fgColor indexed="64"/>
          <bgColor auto="1"/>
        </patternFill>
      </fill>
      <alignment horizontal="left" vertical="center" textRotation="0" wrapText="0" indent="0" justifyLastLine="0" shrinkToFit="0" readingOrder="0"/>
    </dxf>
    <dxf>
      <font>
        <b/>
        <strike val="0"/>
        <outline val="0"/>
        <shadow val="0"/>
        <u val="none"/>
        <vertAlign val="baseline"/>
        <sz val="10"/>
        <color auto="1"/>
        <name val="Aptos Narrow"/>
        <scheme val="none"/>
      </font>
      <numFmt numFmtId="0" formatCode="General"/>
      <fill>
        <patternFill patternType="none">
          <fgColor indexed="64"/>
          <bgColor auto="1"/>
        </patternFill>
      </fill>
      <alignment horizontal="left" vertical="center" textRotation="0" wrapText="0" indent="0" justifyLastLine="0" shrinkToFit="0" readingOrder="0"/>
    </dxf>
    <dxf>
      <font>
        <b/>
        <strike val="0"/>
        <outline val="0"/>
        <shadow val="0"/>
        <u val="none"/>
        <vertAlign val="baseline"/>
        <sz val="10"/>
        <color auto="1"/>
        <name val="Aptos Narrow"/>
        <scheme val="none"/>
      </font>
      <fill>
        <patternFill patternType="none">
          <fgColor indexed="64"/>
          <bgColor auto="1"/>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Oswald"/>
        <scheme val="none"/>
      </font>
      <alignment horizontal="center" vertical="bottom" textRotation="0" wrapText="0" indent="0" justifyLastLine="0" shrinkToFit="0" readingOrder="0"/>
    </dxf>
    <dxf>
      <font>
        <b/>
        <strike val="0"/>
        <outline val="0"/>
        <shadow val="0"/>
        <u val="none"/>
        <vertAlign val="baseline"/>
        <sz val="10"/>
        <color auto="1"/>
        <name val="Aptos Narrow"/>
        <scheme val="none"/>
      </font>
      <fill>
        <patternFill patternType="none">
          <fgColor indexed="64"/>
          <bgColor auto="1"/>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Oswald"/>
        <scheme val="none"/>
      </font>
      <alignment horizontal="center" vertical="bottom" textRotation="0" wrapText="0" indent="0" justifyLastLine="0" shrinkToFit="0" readingOrder="0"/>
    </dxf>
    <dxf>
      <font>
        <b/>
        <strike val="0"/>
        <outline val="0"/>
        <shadow val="0"/>
        <u val="none"/>
        <vertAlign val="baseline"/>
        <sz val="10"/>
        <color auto="1"/>
        <name val="Aptos Narrow"/>
        <scheme val="none"/>
      </font>
      <fill>
        <patternFill patternType="none">
          <fgColor indexed="64"/>
          <bgColor auto="1"/>
        </patternFill>
      </fill>
      <alignment horizontal="left" vertical="center" textRotation="0" wrapText="0" indent="0" justifyLastLine="0" shrinkToFit="0" readingOrder="0"/>
    </dxf>
    <dxf>
      <font>
        <b/>
        <i val="0"/>
        <strike val="0"/>
        <condense val="0"/>
        <extend val="0"/>
        <outline val="0"/>
        <shadow val="0"/>
        <u val="none"/>
        <vertAlign val="baseline"/>
        <sz val="10"/>
        <color rgb="FF002060"/>
        <name val="Oswald"/>
        <scheme val="none"/>
      </font>
      <alignment horizontal="center" vertical="bottom" textRotation="0" wrapText="0" indent="0" justifyLastLine="0" shrinkToFit="0" readingOrder="0"/>
    </dxf>
    <dxf>
      <font>
        <b/>
        <strike val="0"/>
        <outline val="0"/>
        <shadow val="0"/>
        <u val="none"/>
        <vertAlign val="baseline"/>
        <sz val="10"/>
        <color auto="1"/>
        <name val="Aptos Narrow"/>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C00000"/>
        <name val="Oswald"/>
        <scheme val="none"/>
      </font>
      <alignment horizontal="center" vertical="bottom" textRotation="0" wrapText="0" indent="0" justifyLastLine="0" shrinkToFit="1" readingOrder="0"/>
    </dxf>
    <dxf>
      <font>
        <b val="0"/>
        <i val="0"/>
        <strike val="0"/>
        <condense val="0"/>
        <extend val="0"/>
        <outline val="0"/>
        <shadow val="0"/>
        <u val="none"/>
        <vertAlign val="baseline"/>
        <sz val="10"/>
        <color auto="1"/>
        <name val="Aptos Narrow"/>
        <scheme val="none"/>
      </font>
      <fill>
        <patternFill patternType="none">
          <fgColor indexed="64"/>
          <bgColor auto="1"/>
        </patternFill>
      </fill>
      <alignment horizontal="left" vertical="center" textRotation="0" wrapText="0" indent="0" justifyLastLine="0" shrinkToFit="1" readingOrder="0"/>
    </dxf>
    <dxf>
      <font>
        <b/>
        <i val="0"/>
        <strike val="0"/>
        <condense val="0"/>
        <extend val="0"/>
        <outline val="0"/>
        <shadow val="0"/>
        <u val="none"/>
        <vertAlign val="baseline"/>
        <sz val="10"/>
        <color rgb="FF002060"/>
        <name val="Oswald"/>
        <scheme val="none"/>
      </font>
      <alignment horizontal="center" vertical="bottom" textRotation="0" wrapText="0" indent="0" justifyLastLine="0" shrinkToFit="0" readingOrder="0"/>
    </dxf>
    <dxf>
      <font>
        <b/>
        <i val="0"/>
        <strike val="0"/>
        <condense val="0"/>
        <extend val="0"/>
        <outline val="0"/>
        <shadow val="0"/>
        <u val="none"/>
        <vertAlign val="baseline"/>
        <sz val="10"/>
        <color auto="1"/>
        <name val="Aptos Narrow"/>
        <scheme val="none"/>
      </font>
      <fill>
        <patternFill patternType="none">
          <fgColor indexed="64"/>
          <bgColor auto="1"/>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Oswald"/>
        <scheme val="none"/>
      </font>
      <numFmt numFmtId="164" formatCode="mm/dd/yyyy;@"/>
      <alignment horizontal="center" vertical="bottom" textRotation="0" wrapText="0" indent="0" justifyLastLine="0" shrinkToFit="0" readingOrder="0"/>
    </dxf>
    <dxf>
      <font>
        <b/>
        <strike val="0"/>
        <outline val="0"/>
        <shadow val="0"/>
        <u val="none"/>
        <vertAlign val="baseline"/>
        <sz val="10"/>
        <color auto="1"/>
        <name val="Aptos Narrow"/>
        <scheme val="none"/>
      </font>
      <numFmt numFmtId="164" formatCode="mm/dd/yyyy;@"/>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C00000"/>
        <name val="Oswald"/>
        <scheme val="none"/>
      </font>
      <alignment horizontal="left" vertical="bottom" textRotation="0" wrapText="0" indent="1" justifyLastLine="0" shrinkToFit="0" readingOrder="0"/>
    </dxf>
    <dxf>
      <font>
        <b val="0"/>
        <i val="0"/>
        <strike val="0"/>
        <condense val="0"/>
        <extend val="0"/>
        <outline val="0"/>
        <shadow val="0"/>
        <u val="none"/>
        <vertAlign val="baseline"/>
        <sz val="10"/>
        <color auto="1"/>
        <name val="Aptos Narrow"/>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Oswald"/>
        <scheme val="none"/>
      </font>
      <alignment horizontal="center" vertical="bottom" textRotation="0" wrapText="0" indent="0" justifyLastLine="0" shrinkToFit="0" readingOrder="0"/>
    </dxf>
    <dxf>
      <font>
        <strike val="0"/>
        <outline val="0"/>
        <shadow val="0"/>
        <u val="none"/>
        <vertAlign val="baseline"/>
        <sz val="10"/>
        <color auto="1"/>
        <name val="Aptos Narrow"/>
        <scheme val="none"/>
      </font>
      <fill>
        <patternFill patternType="none">
          <fgColor indexed="64"/>
          <bgColor auto="1"/>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Oswald"/>
        <scheme val="none"/>
      </font>
      <alignment horizontal="center" vertical="bottom" textRotation="0" wrapText="0" indent="0" justifyLastLine="0" shrinkToFit="0" readingOrder="0"/>
    </dxf>
    <dxf>
      <font>
        <b/>
        <strike val="0"/>
        <outline val="0"/>
        <shadow val="0"/>
        <u val="none"/>
        <vertAlign val="baseline"/>
        <sz val="10"/>
        <color auto="1"/>
        <name val="Aptos Narrow"/>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ptos Narrow"/>
        <scheme val="none"/>
      </font>
      <fill>
        <patternFill patternType="none">
          <fgColor indexed="64"/>
          <bgColor auto="1"/>
        </patternFill>
      </fill>
      <alignment horizontal="left" vertical="center" textRotation="0" wrapText="0" indent="0" justifyLastLine="0" shrinkToFit="0" readingOrder="0"/>
    </dxf>
    <dxf>
      <font>
        <b/>
        <i val="0"/>
        <strike val="0"/>
        <condense val="0"/>
        <extend val="0"/>
        <outline val="0"/>
        <shadow val="0"/>
        <u val="none"/>
        <vertAlign val="baseline"/>
        <sz val="14"/>
        <color rgb="FFFFFF00"/>
        <name val="Aptos Narrow"/>
        <family val="2"/>
        <scheme val="none"/>
      </font>
      <fill>
        <patternFill patternType="none">
          <fgColor indexed="64"/>
          <bgColor auto="1"/>
        </patternFill>
      </fill>
      <alignment horizontal="left" vertical="center" textRotation="0" wrapText="0" indent="0" justifyLastLine="0" shrinkToFit="0" readingOrder="0"/>
    </dxf>
    <dxf>
      <font>
        <b/>
        <strike val="0"/>
        <outline val="0"/>
        <shadow val="0"/>
        <u val="none"/>
        <vertAlign val="baseline"/>
        <sz val="10"/>
        <color auto="1"/>
        <name val="Oswald"/>
        <scheme val="none"/>
      </font>
      <numFmt numFmtId="0" formatCode="General"/>
      <alignment horizontal="center" vertical="bottom" textRotation="0" wrapText="0" indent="0" justifyLastLine="0" shrinkToFit="0" readingOrder="0"/>
    </dxf>
    <dxf>
      <font>
        <b/>
        <strike val="0"/>
        <outline val="0"/>
        <shadow val="0"/>
        <u val="none"/>
        <vertAlign val="baseline"/>
        <sz val="10"/>
        <color auto="1"/>
        <name val="Oswald"/>
        <scheme val="none"/>
      </font>
      <numFmt numFmtId="0" formatCode="General"/>
      <alignment horizontal="center" vertical="bottom" textRotation="0" wrapText="0" indent="0" justifyLastLine="0" shrinkToFit="0" readingOrder="0"/>
    </dxf>
    <dxf>
      <font>
        <strike val="0"/>
        <outline val="0"/>
        <shadow val="0"/>
        <u val="none"/>
        <vertAlign val="baseline"/>
        <sz val="10"/>
        <color auto="1"/>
        <name val="Oswald"/>
        <scheme val="none"/>
      </font>
      <alignment horizontal="center" vertical="bottom" textRotation="0" wrapText="0" indent="0" justifyLastLine="0" shrinkToFit="0" readingOrder="0"/>
    </dxf>
    <dxf>
      <font>
        <b/>
        <strike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strike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strike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strike val="0"/>
        <outline val="0"/>
        <shadow val="0"/>
        <u val="none"/>
        <vertAlign val="baseline"/>
        <sz val="10"/>
        <color auto="1"/>
        <name val="Oswald"/>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Oswald"/>
        <scheme val="none"/>
      </font>
      <alignment horizontal="center" vertical="bottom" textRotation="0" wrapText="0" indent="0" justifyLastLine="0" shrinkToFit="0" readingOrder="0"/>
    </dxf>
    <dxf>
      <font>
        <b/>
        <strike val="0"/>
        <outline val="0"/>
        <shadow val="0"/>
        <u val="none"/>
        <vertAlign val="baseline"/>
        <sz val="10"/>
        <color auto="1"/>
        <name val="Oswald"/>
        <scheme val="none"/>
      </font>
      <alignment horizontal="left" vertical="bottom" textRotation="0" wrapText="0" indent="0" justifyLastLine="0" shrinkToFit="0" readingOrder="0"/>
    </dxf>
    <dxf>
      <font>
        <b/>
        <i val="0"/>
        <strike val="0"/>
        <condense val="0"/>
        <extend val="0"/>
        <outline val="0"/>
        <shadow val="0"/>
        <u val="none"/>
        <vertAlign val="baseline"/>
        <sz val="10"/>
        <color theme="1"/>
        <name val="Oswald"/>
        <scheme val="none"/>
      </font>
      <alignment horizontal="center" vertical="bottom" textRotation="0" wrapText="0" indent="0" justifyLastLine="0" shrinkToFit="0" readingOrder="0"/>
    </dxf>
    <dxf>
      <font>
        <b/>
        <strike val="0"/>
        <outline val="0"/>
        <shadow val="0"/>
        <u val="none"/>
        <vertAlign val="baseline"/>
        <sz val="10"/>
        <color auto="1"/>
        <name val="Oswald"/>
        <scheme val="none"/>
      </font>
      <alignment horizontal="left" vertical="bottom" textRotation="0" wrapText="0" relativeIndent="1" justifyLastLine="0" shrinkToFit="0" readingOrder="0"/>
    </dxf>
    <dxf>
      <font>
        <b/>
        <i val="0"/>
        <strike val="0"/>
        <condense val="0"/>
        <extend val="0"/>
        <outline val="0"/>
        <shadow val="0"/>
        <u val="none"/>
        <vertAlign val="baseline"/>
        <sz val="10"/>
        <color rgb="FF002060"/>
        <name val="Oswald"/>
        <scheme val="none"/>
      </font>
      <alignment horizontal="center" vertical="bottom" textRotation="0" wrapText="0" indent="0" justifyLastLine="0" shrinkToFit="0" readingOrder="0"/>
    </dxf>
    <dxf>
      <font>
        <b/>
        <strike val="0"/>
        <outline val="0"/>
        <shadow val="0"/>
        <u val="none"/>
        <vertAlign val="baseline"/>
        <sz val="10"/>
        <color auto="1"/>
        <name val="Oswald"/>
        <scheme val="none"/>
      </font>
      <alignment horizontal="left" vertical="bottom" textRotation="0" wrapText="0" relativeIndent="1" justifyLastLine="0" shrinkToFit="0" readingOrder="0"/>
    </dxf>
    <dxf>
      <font>
        <b val="0"/>
        <i val="0"/>
        <strike val="0"/>
        <condense val="0"/>
        <extend val="0"/>
        <outline val="0"/>
        <shadow val="0"/>
        <u val="none"/>
        <vertAlign val="baseline"/>
        <sz val="10"/>
        <color rgb="FFC00000"/>
        <name val="Oswald"/>
        <scheme val="none"/>
      </font>
      <alignment horizontal="center" vertical="bottom" textRotation="0" wrapText="0" indent="0" justifyLastLine="0" shrinkToFit="1" readingOrder="0"/>
    </dxf>
    <dxf>
      <font>
        <b val="0"/>
        <i val="0"/>
        <strike val="0"/>
        <condense val="0"/>
        <extend val="0"/>
        <outline val="0"/>
        <shadow val="0"/>
        <u val="none"/>
        <vertAlign val="baseline"/>
        <sz val="10"/>
        <color auto="1"/>
        <name val="Oswald"/>
        <scheme val="none"/>
      </font>
      <alignment horizontal="left" vertical="bottom" textRotation="0" wrapText="0" relativeIndent="1" justifyLastLine="0" shrinkToFit="1" readingOrder="0"/>
    </dxf>
    <dxf>
      <font>
        <b/>
        <i val="0"/>
        <strike val="0"/>
        <condense val="0"/>
        <extend val="0"/>
        <outline val="0"/>
        <shadow val="0"/>
        <u val="none"/>
        <vertAlign val="baseline"/>
        <sz val="10"/>
        <color rgb="FF002060"/>
        <name val="Oswald"/>
        <scheme val="none"/>
      </font>
      <alignment horizontal="center" vertical="bottom" textRotation="0" wrapText="0" indent="0" justifyLastLine="0" shrinkToFit="0" readingOrder="0"/>
    </dxf>
    <dxf>
      <font>
        <b/>
        <i val="0"/>
        <strike val="0"/>
        <condense val="0"/>
        <extend val="0"/>
        <outline val="0"/>
        <shadow val="0"/>
        <u val="none"/>
        <vertAlign val="baseline"/>
        <sz val="10"/>
        <color auto="1"/>
        <name val="Oswald"/>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Oswald"/>
        <scheme val="none"/>
      </font>
      <numFmt numFmtId="164" formatCode="mm/dd/yyyy;@"/>
      <alignment horizontal="center" vertical="bottom" textRotation="0" wrapText="0" indent="0" justifyLastLine="0" shrinkToFit="0" readingOrder="0"/>
    </dxf>
    <dxf>
      <font>
        <b/>
        <strike val="0"/>
        <outline val="0"/>
        <shadow val="0"/>
        <u val="none"/>
        <vertAlign val="baseline"/>
        <sz val="10"/>
        <color auto="1"/>
        <name val="Oswald"/>
        <scheme val="none"/>
      </font>
      <numFmt numFmtId="164" formatCode="mm/dd/yyyy;@"/>
      <alignment horizontal="center" vertical="bottom" textRotation="0" wrapText="0" indent="0" justifyLastLine="0" shrinkToFit="0" readingOrder="0"/>
    </dxf>
    <dxf>
      <font>
        <b val="0"/>
        <i val="0"/>
        <strike val="0"/>
        <condense val="0"/>
        <extend val="0"/>
        <outline val="0"/>
        <shadow val="0"/>
        <u val="none"/>
        <vertAlign val="baseline"/>
        <sz val="10"/>
        <color rgb="FFC00000"/>
        <name val="Oswald"/>
        <scheme val="none"/>
      </font>
      <alignment horizontal="left" vertical="bottom" textRotation="0" wrapText="0" indent="1" justifyLastLine="0" shrinkToFit="0" readingOrder="0"/>
    </dxf>
    <dxf>
      <font>
        <b val="0"/>
        <i val="0"/>
        <strike val="0"/>
        <condense val="0"/>
        <extend val="0"/>
        <outline val="0"/>
        <shadow val="0"/>
        <u val="none"/>
        <vertAlign val="baseline"/>
        <sz val="10"/>
        <color auto="1"/>
        <name val="Oswald"/>
        <scheme val="none"/>
      </font>
      <alignment horizontal="left" vertical="bottom" textRotation="0" wrapText="0" relativeIndent="1" justifyLastLine="0" shrinkToFit="0" readingOrder="0"/>
    </dxf>
    <dxf>
      <font>
        <b val="0"/>
        <i val="0"/>
        <strike val="0"/>
        <condense val="0"/>
        <extend val="0"/>
        <outline val="0"/>
        <shadow val="0"/>
        <u val="none"/>
        <vertAlign val="baseline"/>
        <sz val="10"/>
        <color theme="1"/>
        <name val="Oswald"/>
        <scheme val="none"/>
      </font>
      <alignment horizontal="center" vertical="bottom" textRotation="0" wrapText="0" indent="0" justifyLastLine="0" shrinkToFit="0" readingOrder="0"/>
    </dxf>
    <dxf>
      <font>
        <strike val="0"/>
        <outline val="0"/>
        <shadow val="0"/>
        <u val="none"/>
        <vertAlign val="baseline"/>
        <sz val="10"/>
        <color auto="1"/>
        <name val="Oswald"/>
        <scheme val="none"/>
      </font>
      <alignment horizontal="center" vertical="bottom" textRotation="0" wrapText="0" indent="0" justifyLastLine="0" shrinkToFit="0" readingOrder="0"/>
    </dxf>
    <dxf>
      <font>
        <b/>
        <i val="0"/>
        <strike val="0"/>
        <condense val="0"/>
        <extend val="0"/>
        <outline val="0"/>
        <shadow val="0"/>
        <u val="none"/>
        <vertAlign val="baseline"/>
        <sz val="10"/>
        <color theme="1"/>
        <name val="Oswald"/>
        <scheme val="none"/>
      </font>
      <alignment horizontal="center" vertical="bottom" textRotation="0" wrapText="0" indent="0" justifyLastLine="0" shrinkToFit="0" readingOrder="0"/>
    </dxf>
    <dxf>
      <font>
        <b/>
        <strike val="0"/>
        <outline val="0"/>
        <shadow val="0"/>
        <u val="none"/>
        <vertAlign val="baseline"/>
        <sz val="10"/>
        <color auto="1"/>
        <name val="Oswald"/>
        <scheme val="none"/>
      </font>
      <fill>
        <patternFill patternType="none"/>
      </fill>
      <alignment horizontal="center" vertical="bottom" textRotation="0" wrapText="0" indent="0" justifyLastLine="0" shrinkToFit="0" readingOrder="0"/>
    </dxf>
    <dxf>
      <font>
        <strike val="0"/>
        <outline val="0"/>
        <shadow val="0"/>
        <u val="none"/>
        <vertAlign val="baseline"/>
        <sz val="10"/>
        <color auto="1"/>
        <name val="Oswald"/>
        <scheme val="none"/>
      </font>
      <alignment horizontal="center" vertical="bottom" textRotation="0" wrapText="0" indent="0" justifyLastLine="0" shrinkToFit="0" readingOrder="0"/>
    </dxf>
    <dxf>
      <font>
        <b/>
        <i val="0"/>
        <strike val="0"/>
        <condense val="0"/>
        <extend val="0"/>
        <outline val="0"/>
        <shadow val="0"/>
        <u val="none"/>
        <vertAlign val="baseline"/>
        <sz val="12"/>
        <color theme="0"/>
        <name val="Oswald"/>
        <scheme val="none"/>
      </font>
      <fill>
        <patternFill patternType="solid">
          <fgColor indexed="64"/>
          <bgColor rgb="FF002060"/>
        </patternFill>
      </fill>
      <alignment horizontal="center" vertical="center" textRotation="0" wrapText="0" indent="0" justifyLastLine="0" shrinkToFit="0" readingOrder="0"/>
    </dxf>
  </dxfs>
  <tableStyles count="0" defaultTableStyle="TableStyleMedium2" defaultPivotStyle="PivotStyleLight16"/>
  <colors>
    <mruColors>
      <color rgb="FFF5B8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0</xdr:row>
      <xdr:rowOff>85725</xdr:rowOff>
    </xdr:from>
    <xdr:to>
      <xdr:col>0</xdr:col>
      <xdr:colOff>1085850</xdr:colOff>
      <xdr:row>0</xdr:row>
      <xdr:rowOff>828675</xdr:rowOff>
    </xdr:to>
    <xdr:pic>
      <xdr:nvPicPr>
        <xdr:cNvPr id="2" name="Picture 1">
          <a:extLst>
            <a:ext uri="{FF2B5EF4-FFF2-40B4-BE49-F238E27FC236}">
              <a16:creationId xmlns:a16="http://schemas.microsoft.com/office/drawing/2014/main" id="{ADEF2035-2EB4-49EC-3532-105723CB5DDD}"/>
            </a:ext>
          </a:extLst>
        </xdr:cNvPr>
        <xdr:cNvPicPr>
          <a:picLocks noChangeAspect="1"/>
        </xdr:cNvPicPr>
      </xdr:nvPicPr>
      <xdr:blipFill>
        <a:blip xmlns:r="http://schemas.openxmlformats.org/officeDocument/2006/relationships" r:embed="rId1"/>
        <a:stretch>
          <a:fillRect/>
        </a:stretch>
      </xdr:blipFill>
      <xdr:spPr>
        <a:xfrm>
          <a:off x="133350" y="85725"/>
          <a:ext cx="952500" cy="742950"/>
        </a:xfrm>
        <a:prstGeom prst="rect">
          <a:avLst/>
        </a:prstGeom>
      </xdr:spPr>
    </xdr:pic>
    <xdr:clientData/>
  </xdr:twoCellAnchor>
  <xdr:twoCellAnchor editAs="oneCell">
    <xdr:from>
      <xdr:col>0</xdr:col>
      <xdr:colOff>133350</xdr:colOff>
      <xdr:row>10</xdr:row>
      <xdr:rowOff>85725</xdr:rowOff>
    </xdr:from>
    <xdr:to>
      <xdr:col>0</xdr:col>
      <xdr:colOff>1085850</xdr:colOff>
      <xdr:row>10</xdr:row>
      <xdr:rowOff>828675</xdr:rowOff>
    </xdr:to>
    <xdr:pic>
      <xdr:nvPicPr>
        <xdr:cNvPr id="3" name="Picture 1">
          <a:extLst>
            <a:ext uri="{FF2B5EF4-FFF2-40B4-BE49-F238E27FC236}">
              <a16:creationId xmlns:a16="http://schemas.microsoft.com/office/drawing/2014/main" id="{71042412-A5A4-4DD2-80F4-8D1D6F766ABE}"/>
            </a:ext>
            <a:ext uri="{147F2762-F138-4A5C-976F-8EAC2B608ADB}">
              <a16:predDERef xmlns:a16="http://schemas.microsoft.com/office/drawing/2014/main" pred="{ADEF2035-2EB4-49EC-3532-105723CB5DDD}"/>
            </a:ext>
          </a:extLst>
        </xdr:cNvPr>
        <xdr:cNvPicPr>
          <a:picLocks noChangeAspect="1"/>
        </xdr:cNvPicPr>
      </xdr:nvPicPr>
      <xdr:blipFill>
        <a:blip xmlns:r="http://schemas.openxmlformats.org/officeDocument/2006/relationships" r:embed="rId1"/>
        <a:stretch>
          <a:fillRect/>
        </a:stretch>
      </xdr:blipFill>
      <xdr:spPr>
        <a:xfrm>
          <a:off x="133350" y="85725"/>
          <a:ext cx="952500" cy="742950"/>
        </a:xfrm>
        <a:prstGeom prst="rect">
          <a:avLst/>
        </a:prstGeom>
      </xdr:spPr>
    </xdr:pic>
    <xdr:clientData/>
  </xdr:twoCellAnchor>
  <xdr:twoCellAnchor editAs="oneCell">
    <xdr:from>
      <xdr:col>0</xdr:col>
      <xdr:colOff>142875</xdr:colOff>
      <xdr:row>10</xdr:row>
      <xdr:rowOff>95250</xdr:rowOff>
    </xdr:from>
    <xdr:to>
      <xdr:col>0</xdr:col>
      <xdr:colOff>1095375</xdr:colOff>
      <xdr:row>10</xdr:row>
      <xdr:rowOff>838200</xdr:rowOff>
    </xdr:to>
    <xdr:pic>
      <xdr:nvPicPr>
        <xdr:cNvPr id="4" name="Picture 1">
          <a:extLst>
            <a:ext uri="{FF2B5EF4-FFF2-40B4-BE49-F238E27FC236}">
              <a16:creationId xmlns:a16="http://schemas.microsoft.com/office/drawing/2014/main" id="{79B36674-4910-46CA-95E4-86B37E024B1F}"/>
            </a:ext>
            <a:ext uri="{147F2762-F138-4A5C-976F-8EAC2B608ADB}">
              <a16:predDERef xmlns:a16="http://schemas.microsoft.com/office/drawing/2014/main" pred="{71042412-A5A4-4DD2-80F4-8D1D6F766ABE}"/>
            </a:ext>
          </a:extLst>
        </xdr:cNvPr>
        <xdr:cNvPicPr>
          <a:picLocks noChangeAspect="1"/>
        </xdr:cNvPicPr>
      </xdr:nvPicPr>
      <xdr:blipFill>
        <a:blip xmlns:r="http://schemas.openxmlformats.org/officeDocument/2006/relationships" r:embed="rId1"/>
        <a:stretch>
          <a:fillRect/>
        </a:stretch>
      </xdr:blipFill>
      <xdr:spPr>
        <a:xfrm>
          <a:off x="142875" y="5248275"/>
          <a:ext cx="952500" cy="742950"/>
        </a:xfrm>
        <a:prstGeom prst="rect">
          <a:avLst/>
        </a:prstGeom>
      </xdr:spPr>
    </xdr:pic>
    <xdr:clientData/>
  </xdr:twoCellAnchor>
  <xdr:twoCellAnchor editAs="oneCell">
    <xdr:from>
      <xdr:col>0</xdr:col>
      <xdr:colOff>133350</xdr:colOff>
      <xdr:row>0</xdr:row>
      <xdr:rowOff>85725</xdr:rowOff>
    </xdr:from>
    <xdr:to>
      <xdr:col>0</xdr:col>
      <xdr:colOff>1085850</xdr:colOff>
      <xdr:row>0</xdr:row>
      <xdr:rowOff>828675</xdr:rowOff>
    </xdr:to>
    <xdr:pic>
      <xdr:nvPicPr>
        <xdr:cNvPr id="6" name="Picture 1">
          <a:extLst>
            <a:ext uri="{FF2B5EF4-FFF2-40B4-BE49-F238E27FC236}">
              <a16:creationId xmlns:a16="http://schemas.microsoft.com/office/drawing/2014/main" id="{C3651B54-4589-4C87-8664-76391412349C}"/>
            </a:ext>
            <a:ext uri="{147F2762-F138-4A5C-976F-8EAC2B608ADB}">
              <a16:predDERef xmlns:a16="http://schemas.microsoft.com/office/drawing/2014/main" pred="{79B36674-4910-46CA-95E4-86B37E024B1F}"/>
            </a:ext>
          </a:extLst>
        </xdr:cNvPr>
        <xdr:cNvPicPr>
          <a:picLocks noChangeAspect="1"/>
        </xdr:cNvPicPr>
      </xdr:nvPicPr>
      <xdr:blipFill>
        <a:blip xmlns:r="http://schemas.openxmlformats.org/officeDocument/2006/relationships" r:embed="rId1"/>
        <a:stretch>
          <a:fillRect/>
        </a:stretch>
      </xdr:blipFill>
      <xdr:spPr>
        <a:xfrm>
          <a:off x="133350" y="5238750"/>
          <a:ext cx="952500" cy="742950"/>
        </a:xfrm>
        <a:prstGeom prst="rect">
          <a:avLst/>
        </a:prstGeom>
      </xdr:spPr>
    </xdr:pic>
    <xdr:clientData/>
  </xdr:twoCellAnchor>
  <xdr:twoCellAnchor editAs="oneCell">
    <xdr:from>
      <xdr:col>0</xdr:col>
      <xdr:colOff>133350</xdr:colOff>
      <xdr:row>0</xdr:row>
      <xdr:rowOff>104775</xdr:rowOff>
    </xdr:from>
    <xdr:to>
      <xdr:col>0</xdr:col>
      <xdr:colOff>1085850</xdr:colOff>
      <xdr:row>0</xdr:row>
      <xdr:rowOff>847725</xdr:rowOff>
    </xdr:to>
    <xdr:pic>
      <xdr:nvPicPr>
        <xdr:cNvPr id="7" name="Picture 1">
          <a:extLst>
            <a:ext uri="{FF2B5EF4-FFF2-40B4-BE49-F238E27FC236}">
              <a16:creationId xmlns:a16="http://schemas.microsoft.com/office/drawing/2014/main" id="{E6209A12-D373-4E52-9630-564011627012}"/>
            </a:ext>
            <a:ext uri="{147F2762-F138-4A5C-976F-8EAC2B608ADB}">
              <a16:predDERef xmlns:a16="http://schemas.microsoft.com/office/drawing/2014/main" pred="{C3651B54-4589-4C87-8664-76391412349C}"/>
            </a:ext>
          </a:extLst>
        </xdr:cNvPr>
        <xdr:cNvPicPr>
          <a:picLocks noChangeAspect="1"/>
        </xdr:cNvPicPr>
      </xdr:nvPicPr>
      <xdr:blipFill>
        <a:blip xmlns:r="http://schemas.openxmlformats.org/officeDocument/2006/relationships" r:embed="rId1"/>
        <a:stretch>
          <a:fillRect/>
        </a:stretch>
      </xdr:blipFill>
      <xdr:spPr>
        <a:xfrm>
          <a:off x="133350" y="104775"/>
          <a:ext cx="952500" cy="742950"/>
        </a:xfrm>
        <a:prstGeom prst="rect">
          <a:avLst/>
        </a:prstGeom>
      </xdr:spPr>
    </xdr:pic>
    <xdr:clientData/>
  </xdr:twoCellAnchor>
  <xdr:twoCellAnchor editAs="oneCell">
    <xdr:from>
      <xdr:col>3</xdr:col>
      <xdr:colOff>133350</xdr:colOff>
      <xdr:row>0</xdr:row>
      <xdr:rowOff>85725</xdr:rowOff>
    </xdr:from>
    <xdr:to>
      <xdr:col>3</xdr:col>
      <xdr:colOff>1085850</xdr:colOff>
      <xdr:row>0</xdr:row>
      <xdr:rowOff>828675</xdr:rowOff>
    </xdr:to>
    <xdr:pic>
      <xdr:nvPicPr>
        <xdr:cNvPr id="5" name="Picture 1">
          <a:extLst>
            <a:ext uri="{FF2B5EF4-FFF2-40B4-BE49-F238E27FC236}">
              <a16:creationId xmlns:a16="http://schemas.microsoft.com/office/drawing/2014/main" id="{A516B0B8-CB88-4272-ABC0-6FE74E26466C}"/>
            </a:ext>
            <a:ext uri="{147F2762-F138-4A5C-976F-8EAC2B608ADB}">
              <a16:predDERef xmlns:a16="http://schemas.microsoft.com/office/drawing/2014/main" pred="{E6209A12-D373-4E52-9630-564011627012}"/>
            </a:ext>
          </a:extLst>
        </xdr:cNvPr>
        <xdr:cNvPicPr>
          <a:picLocks noChangeAspect="1"/>
        </xdr:cNvPicPr>
      </xdr:nvPicPr>
      <xdr:blipFill>
        <a:blip xmlns:r="http://schemas.openxmlformats.org/officeDocument/2006/relationships" r:embed="rId1"/>
        <a:stretch>
          <a:fillRect/>
        </a:stretch>
      </xdr:blipFill>
      <xdr:spPr>
        <a:xfrm>
          <a:off x="133350" y="85725"/>
          <a:ext cx="952500" cy="742950"/>
        </a:xfrm>
        <a:prstGeom prst="rect">
          <a:avLst/>
        </a:prstGeom>
      </xdr:spPr>
    </xdr:pic>
    <xdr:clientData/>
  </xdr:twoCellAnchor>
  <xdr:twoCellAnchor editAs="oneCell">
    <xdr:from>
      <xdr:col>3</xdr:col>
      <xdr:colOff>133350</xdr:colOff>
      <xdr:row>10</xdr:row>
      <xdr:rowOff>85725</xdr:rowOff>
    </xdr:from>
    <xdr:to>
      <xdr:col>3</xdr:col>
      <xdr:colOff>1085850</xdr:colOff>
      <xdr:row>10</xdr:row>
      <xdr:rowOff>828675</xdr:rowOff>
    </xdr:to>
    <xdr:pic>
      <xdr:nvPicPr>
        <xdr:cNvPr id="8" name="Picture 1">
          <a:extLst>
            <a:ext uri="{FF2B5EF4-FFF2-40B4-BE49-F238E27FC236}">
              <a16:creationId xmlns:a16="http://schemas.microsoft.com/office/drawing/2014/main" id="{7713032A-AB14-4537-8781-1D3B99FA9568}"/>
            </a:ext>
            <a:ext uri="{147F2762-F138-4A5C-976F-8EAC2B608ADB}">
              <a16:predDERef xmlns:a16="http://schemas.microsoft.com/office/drawing/2014/main" pred="{A516B0B8-CB88-4272-ABC0-6FE74E26466C}"/>
            </a:ext>
          </a:extLst>
        </xdr:cNvPr>
        <xdr:cNvPicPr>
          <a:picLocks noChangeAspect="1"/>
        </xdr:cNvPicPr>
      </xdr:nvPicPr>
      <xdr:blipFill>
        <a:blip xmlns:r="http://schemas.openxmlformats.org/officeDocument/2006/relationships" r:embed="rId1"/>
        <a:stretch>
          <a:fillRect/>
        </a:stretch>
      </xdr:blipFill>
      <xdr:spPr>
        <a:xfrm>
          <a:off x="133350" y="5238750"/>
          <a:ext cx="952500" cy="742950"/>
        </a:xfrm>
        <a:prstGeom prst="rect">
          <a:avLst/>
        </a:prstGeom>
      </xdr:spPr>
    </xdr:pic>
    <xdr:clientData/>
  </xdr:twoCellAnchor>
  <xdr:twoCellAnchor editAs="oneCell">
    <xdr:from>
      <xdr:col>3</xdr:col>
      <xdr:colOff>142875</xdr:colOff>
      <xdr:row>10</xdr:row>
      <xdr:rowOff>95250</xdr:rowOff>
    </xdr:from>
    <xdr:to>
      <xdr:col>3</xdr:col>
      <xdr:colOff>1095375</xdr:colOff>
      <xdr:row>10</xdr:row>
      <xdr:rowOff>838200</xdr:rowOff>
    </xdr:to>
    <xdr:pic>
      <xdr:nvPicPr>
        <xdr:cNvPr id="9" name="Picture 1">
          <a:extLst>
            <a:ext uri="{FF2B5EF4-FFF2-40B4-BE49-F238E27FC236}">
              <a16:creationId xmlns:a16="http://schemas.microsoft.com/office/drawing/2014/main" id="{9A489432-4E3C-4052-935F-C2B0CE41ABA7}"/>
            </a:ext>
            <a:ext uri="{147F2762-F138-4A5C-976F-8EAC2B608ADB}">
              <a16:predDERef xmlns:a16="http://schemas.microsoft.com/office/drawing/2014/main" pred="{7713032A-AB14-4537-8781-1D3B99FA9568}"/>
            </a:ext>
          </a:extLst>
        </xdr:cNvPr>
        <xdr:cNvPicPr>
          <a:picLocks noChangeAspect="1"/>
        </xdr:cNvPicPr>
      </xdr:nvPicPr>
      <xdr:blipFill>
        <a:blip xmlns:r="http://schemas.openxmlformats.org/officeDocument/2006/relationships" r:embed="rId1"/>
        <a:stretch>
          <a:fillRect/>
        </a:stretch>
      </xdr:blipFill>
      <xdr:spPr>
        <a:xfrm>
          <a:off x="142875" y="5248275"/>
          <a:ext cx="952500" cy="742950"/>
        </a:xfrm>
        <a:prstGeom prst="rect">
          <a:avLst/>
        </a:prstGeom>
      </xdr:spPr>
    </xdr:pic>
    <xdr:clientData/>
  </xdr:twoCellAnchor>
  <xdr:twoCellAnchor editAs="oneCell">
    <xdr:from>
      <xdr:col>3</xdr:col>
      <xdr:colOff>133350</xdr:colOff>
      <xdr:row>0</xdr:row>
      <xdr:rowOff>85725</xdr:rowOff>
    </xdr:from>
    <xdr:to>
      <xdr:col>3</xdr:col>
      <xdr:colOff>1085850</xdr:colOff>
      <xdr:row>0</xdr:row>
      <xdr:rowOff>828675</xdr:rowOff>
    </xdr:to>
    <xdr:pic>
      <xdr:nvPicPr>
        <xdr:cNvPr id="10" name="Picture 1">
          <a:extLst>
            <a:ext uri="{FF2B5EF4-FFF2-40B4-BE49-F238E27FC236}">
              <a16:creationId xmlns:a16="http://schemas.microsoft.com/office/drawing/2014/main" id="{60007154-1B4D-4769-BBBC-A5FEFB702A0E}"/>
            </a:ext>
            <a:ext uri="{147F2762-F138-4A5C-976F-8EAC2B608ADB}">
              <a16:predDERef xmlns:a16="http://schemas.microsoft.com/office/drawing/2014/main" pred="{9A489432-4E3C-4052-935F-C2B0CE41ABA7}"/>
            </a:ext>
          </a:extLst>
        </xdr:cNvPr>
        <xdr:cNvPicPr>
          <a:picLocks noChangeAspect="1"/>
        </xdr:cNvPicPr>
      </xdr:nvPicPr>
      <xdr:blipFill>
        <a:blip xmlns:r="http://schemas.openxmlformats.org/officeDocument/2006/relationships" r:embed="rId1"/>
        <a:stretch>
          <a:fillRect/>
        </a:stretch>
      </xdr:blipFill>
      <xdr:spPr>
        <a:xfrm>
          <a:off x="133350" y="85725"/>
          <a:ext cx="952500" cy="742950"/>
        </a:xfrm>
        <a:prstGeom prst="rect">
          <a:avLst/>
        </a:prstGeom>
      </xdr:spPr>
    </xdr:pic>
    <xdr:clientData/>
  </xdr:twoCellAnchor>
  <xdr:twoCellAnchor editAs="oneCell">
    <xdr:from>
      <xdr:col>3</xdr:col>
      <xdr:colOff>142875</xdr:colOff>
      <xdr:row>0</xdr:row>
      <xdr:rowOff>95250</xdr:rowOff>
    </xdr:from>
    <xdr:to>
      <xdr:col>3</xdr:col>
      <xdr:colOff>1095375</xdr:colOff>
      <xdr:row>0</xdr:row>
      <xdr:rowOff>838200</xdr:rowOff>
    </xdr:to>
    <xdr:pic>
      <xdr:nvPicPr>
        <xdr:cNvPr id="11" name="Picture 1">
          <a:extLst>
            <a:ext uri="{FF2B5EF4-FFF2-40B4-BE49-F238E27FC236}">
              <a16:creationId xmlns:a16="http://schemas.microsoft.com/office/drawing/2014/main" id="{7503CD4E-AB7F-4875-8EC3-E83F789CA86D}"/>
            </a:ext>
            <a:ext uri="{147F2762-F138-4A5C-976F-8EAC2B608ADB}">
              <a16:predDERef xmlns:a16="http://schemas.microsoft.com/office/drawing/2014/main" pred="{60007154-1B4D-4769-BBBC-A5FEFB702A0E}"/>
            </a:ext>
          </a:extLst>
        </xdr:cNvPr>
        <xdr:cNvPicPr>
          <a:picLocks noChangeAspect="1"/>
        </xdr:cNvPicPr>
      </xdr:nvPicPr>
      <xdr:blipFill>
        <a:blip xmlns:r="http://schemas.openxmlformats.org/officeDocument/2006/relationships" r:embed="rId1"/>
        <a:stretch>
          <a:fillRect/>
        </a:stretch>
      </xdr:blipFill>
      <xdr:spPr>
        <a:xfrm>
          <a:off x="142875" y="95250"/>
          <a:ext cx="952500" cy="742950"/>
        </a:xfrm>
        <a:prstGeom prst="rect">
          <a:avLst/>
        </a:prstGeom>
      </xdr:spPr>
    </xdr:pic>
    <xdr:clientData/>
  </xdr:twoCellAnchor>
  <xdr:twoCellAnchor editAs="oneCell">
    <xdr:from>
      <xdr:col>0</xdr:col>
      <xdr:colOff>133350</xdr:colOff>
      <xdr:row>20</xdr:row>
      <xdr:rowOff>85725</xdr:rowOff>
    </xdr:from>
    <xdr:to>
      <xdr:col>0</xdr:col>
      <xdr:colOff>1085850</xdr:colOff>
      <xdr:row>20</xdr:row>
      <xdr:rowOff>828675</xdr:rowOff>
    </xdr:to>
    <xdr:pic>
      <xdr:nvPicPr>
        <xdr:cNvPr id="12" name="Picture 1">
          <a:extLst>
            <a:ext uri="{FF2B5EF4-FFF2-40B4-BE49-F238E27FC236}">
              <a16:creationId xmlns:a16="http://schemas.microsoft.com/office/drawing/2014/main" id="{E3E3A692-1BEC-4F68-8D24-A065A46348EA}"/>
            </a:ext>
            <a:ext uri="{147F2762-F138-4A5C-976F-8EAC2B608ADB}">
              <a16:predDERef xmlns:a16="http://schemas.microsoft.com/office/drawing/2014/main" pred="{7503CD4E-AB7F-4875-8EC3-E83F789CA86D}"/>
            </a:ext>
          </a:extLst>
        </xdr:cNvPr>
        <xdr:cNvPicPr>
          <a:picLocks noChangeAspect="1"/>
        </xdr:cNvPicPr>
      </xdr:nvPicPr>
      <xdr:blipFill>
        <a:blip xmlns:r="http://schemas.openxmlformats.org/officeDocument/2006/relationships" r:embed="rId1"/>
        <a:stretch>
          <a:fillRect/>
        </a:stretch>
      </xdr:blipFill>
      <xdr:spPr>
        <a:xfrm>
          <a:off x="133350" y="5238750"/>
          <a:ext cx="952500" cy="742950"/>
        </a:xfrm>
        <a:prstGeom prst="rect">
          <a:avLst/>
        </a:prstGeom>
      </xdr:spPr>
    </xdr:pic>
    <xdr:clientData/>
  </xdr:twoCellAnchor>
  <xdr:twoCellAnchor editAs="oneCell">
    <xdr:from>
      <xdr:col>0</xdr:col>
      <xdr:colOff>142875</xdr:colOff>
      <xdr:row>20</xdr:row>
      <xdr:rowOff>95250</xdr:rowOff>
    </xdr:from>
    <xdr:to>
      <xdr:col>0</xdr:col>
      <xdr:colOff>1095375</xdr:colOff>
      <xdr:row>20</xdr:row>
      <xdr:rowOff>838200</xdr:rowOff>
    </xdr:to>
    <xdr:pic>
      <xdr:nvPicPr>
        <xdr:cNvPr id="13" name="Picture 1">
          <a:extLst>
            <a:ext uri="{FF2B5EF4-FFF2-40B4-BE49-F238E27FC236}">
              <a16:creationId xmlns:a16="http://schemas.microsoft.com/office/drawing/2014/main" id="{5877F4E9-4D2B-47C4-915C-81C4FF7D02E9}"/>
            </a:ext>
            <a:ext uri="{147F2762-F138-4A5C-976F-8EAC2B608ADB}">
              <a16:predDERef xmlns:a16="http://schemas.microsoft.com/office/drawing/2014/main" pred="{E3E3A692-1BEC-4F68-8D24-A065A46348EA}"/>
            </a:ext>
          </a:extLst>
        </xdr:cNvPr>
        <xdr:cNvPicPr>
          <a:picLocks noChangeAspect="1"/>
        </xdr:cNvPicPr>
      </xdr:nvPicPr>
      <xdr:blipFill>
        <a:blip xmlns:r="http://schemas.openxmlformats.org/officeDocument/2006/relationships" r:embed="rId1"/>
        <a:stretch>
          <a:fillRect/>
        </a:stretch>
      </xdr:blipFill>
      <xdr:spPr>
        <a:xfrm>
          <a:off x="142875" y="5248275"/>
          <a:ext cx="952500" cy="742950"/>
        </a:xfrm>
        <a:prstGeom prst="rect">
          <a:avLst/>
        </a:prstGeom>
      </xdr:spPr>
    </xdr:pic>
    <xdr:clientData/>
  </xdr:twoCellAnchor>
  <xdr:twoCellAnchor editAs="oneCell">
    <xdr:from>
      <xdr:col>3</xdr:col>
      <xdr:colOff>133350</xdr:colOff>
      <xdr:row>20</xdr:row>
      <xdr:rowOff>85725</xdr:rowOff>
    </xdr:from>
    <xdr:to>
      <xdr:col>3</xdr:col>
      <xdr:colOff>1085850</xdr:colOff>
      <xdr:row>20</xdr:row>
      <xdr:rowOff>828675</xdr:rowOff>
    </xdr:to>
    <xdr:pic>
      <xdr:nvPicPr>
        <xdr:cNvPr id="14" name="Picture 1">
          <a:extLst>
            <a:ext uri="{FF2B5EF4-FFF2-40B4-BE49-F238E27FC236}">
              <a16:creationId xmlns:a16="http://schemas.microsoft.com/office/drawing/2014/main" id="{109E33D8-6777-4AA7-A2CC-C70DCA768182}"/>
            </a:ext>
            <a:ext uri="{147F2762-F138-4A5C-976F-8EAC2B608ADB}">
              <a16:predDERef xmlns:a16="http://schemas.microsoft.com/office/drawing/2014/main" pred="{5877F4E9-4D2B-47C4-915C-81C4FF7D02E9}"/>
            </a:ext>
          </a:extLst>
        </xdr:cNvPr>
        <xdr:cNvPicPr>
          <a:picLocks noChangeAspect="1"/>
        </xdr:cNvPicPr>
      </xdr:nvPicPr>
      <xdr:blipFill>
        <a:blip xmlns:r="http://schemas.openxmlformats.org/officeDocument/2006/relationships" r:embed="rId1"/>
        <a:stretch>
          <a:fillRect/>
        </a:stretch>
      </xdr:blipFill>
      <xdr:spPr>
        <a:xfrm>
          <a:off x="6886575" y="5238750"/>
          <a:ext cx="952500" cy="742950"/>
        </a:xfrm>
        <a:prstGeom prst="rect">
          <a:avLst/>
        </a:prstGeom>
      </xdr:spPr>
    </xdr:pic>
    <xdr:clientData/>
  </xdr:twoCellAnchor>
  <xdr:twoCellAnchor editAs="oneCell">
    <xdr:from>
      <xdr:col>3</xdr:col>
      <xdr:colOff>142875</xdr:colOff>
      <xdr:row>20</xdr:row>
      <xdr:rowOff>95250</xdr:rowOff>
    </xdr:from>
    <xdr:to>
      <xdr:col>3</xdr:col>
      <xdr:colOff>1095375</xdr:colOff>
      <xdr:row>20</xdr:row>
      <xdr:rowOff>838200</xdr:rowOff>
    </xdr:to>
    <xdr:pic>
      <xdr:nvPicPr>
        <xdr:cNvPr id="15" name="Picture 1">
          <a:extLst>
            <a:ext uri="{FF2B5EF4-FFF2-40B4-BE49-F238E27FC236}">
              <a16:creationId xmlns:a16="http://schemas.microsoft.com/office/drawing/2014/main" id="{DED77F71-9A4C-4990-BEEC-F58DF255EE0E}"/>
            </a:ext>
            <a:ext uri="{147F2762-F138-4A5C-976F-8EAC2B608ADB}">
              <a16:predDERef xmlns:a16="http://schemas.microsoft.com/office/drawing/2014/main" pred="{109E33D8-6777-4AA7-A2CC-C70DCA768182}"/>
            </a:ext>
          </a:extLst>
        </xdr:cNvPr>
        <xdr:cNvPicPr>
          <a:picLocks noChangeAspect="1"/>
        </xdr:cNvPicPr>
      </xdr:nvPicPr>
      <xdr:blipFill>
        <a:blip xmlns:r="http://schemas.openxmlformats.org/officeDocument/2006/relationships" r:embed="rId1"/>
        <a:stretch>
          <a:fillRect/>
        </a:stretch>
      </xdr:blipFill>
      <xdr:spPr>
        <a:xfrm>
          <a:off x="6896100" y="5248275"/>
          <a:ext cx="952500" cy="742950"/>
        </a:xfrm>
        <a:prstGeom prst="rect">
          <a:avLst/>
        </a:prstGeom>
      </xdr:spPr>
    </xdr:pic>
    <xdr:clientData/>
  </xdr:twoCellAnchor>
  <xdr:twoCellAnchor editAs="oneCell">
    <xdr:from>
      <xdr:col>0</xdr:col>
      <xdr:colOff>133350</xdr:colOff>
      <xdr:row>30</xdr:row>
      <xdr:rowOff>85725</xdr:rowOff>
    </xdr:from>
    <xdr:to>
      <xdr:col>0</xdr:col>
      <xdr:colOff>1085850</xdr:colOff>
      <xdr:row>30</xdr:row>
      <xdr:rowOff>828675</xdr:rowOff>
    </xdr:to>
    <xdr:pic>
      <xdr:nvPicPr>
        <xdr:cNvPr id="16" name="Picture 1">
          <a:extLst>
            <a:ext uri="{FF2B5EF4-FFF2-40B4-BE49-F238E27FC236}">
              <a16:creationId xmlns:a16="http://schemas.microsoft.com/office/drawing/2014/main" id="{85B9AC2A-694F-4E71-8C40-4B68B87D27FF}"/>
            </a:ext>
            <a:ext uri="{147F2762-F138-4A5C-976F-8EAC2B608ADB}">
              <a16:predDERef xmlns:a16="http://schemas.microsoft.com/office/drawing/2014/main" pred="{DED77F71-9A4C-4990-BEEC-F58DF255EE0E}"/>
            </a:ext>
          </a:extLst>
        </xdr:cNvPr>
        <xdr:cNvPicPr>
          <a:picLocks noChangeAspect="1"/>
        </xdr:cNvPicPr>
      </xdr:nvPicPr>
      <xdr:blipFill>
        <a:blip xmlns:r="http://schemas.openxmlformats.org/officeDocument/2006/relationships" r:embed="rId1"/>
        <a:stretch>
          <a:fillRect/>
        </a:stretch>
      </xdr:blipFill>
      <xdr:spPr>
        <a:xfrm>
          <a:off x="133350" y="10391775"/>
          <a:ext cx="952500" cy="742950"/>
        </a:xfrm>
        <a:prstGeom prst="rect">
          <a:avLst/>
        </a:prstGeom>
      </xdr:spPr>
    </xdr:pic>
    <xdr:clientData/>
  </xdr:twoCellAnchor>
  <xdr:twoCellAnchor editAs="oneCell">
    <xdr:from>
      <xdr:col>0</xdr:col>
      <xdr:colOff>142875</xdr:colOff>
      <xdr:row>30</xdr:row>
      <xdr:rowOff>95250</xdr:rowOff>
    </xdr:from>
    <xdr:to>
      <xdr:col>0</xdr:col>
      <xdr:colOff>1095375</xdr:colOff>
      <xdr:row>30</xdr:row>
      <xdr:rowOff>838200</xdr:rowOff>
    </xdr:to>
    <xdr:pic>
      <xdr:nvPicPr>
        <xdr:cNvPr id="17" name="Picture 1">
          <a:extLst>
            <a:ext uri="{FF2B5EF4-FFF2-40B4-BE49-F238E27FC236}">
              <a16:creationId xmlns:a16="http://schemas.microsoft.com/office/drawing/2014/main" id="{A755A0B3-02C6-4AE6-BE7C-F92168F46D35}"/>
            </a:ext>
            <a:ext uri="{147F2762-F138-4A5C-976F-8EAC2B608ADB}">
              <a16:predDERef xmlns:a16="http://schemas.microsoft.com/office/drawing/2014/main" pred="{85B9AC2A-694F-4E71-8C40-4B68B87D27FF}"/>
            </a:ext>
          </a:extLst>
        </xdr:cNvPr>
        <xdr:cNvPicPr>
          <a:picLocks noChangeAspect="1"/>
        </xdr:cNvPicPr>
      </xdr:nvPicPr>
      <xdr:blipFill>
        <a:blip xmlns:r="http://schemas.openxmlformats.org/officeDocument/2006/relationships" r:embed="rId1"/>
        <a:stretch>
          <a:fillRect/>
        </a:stretch>
      </xdr:blipFill>
      <xdr:spPr>
        <a:xfrm>
          <a:off x="142875" y="10401300"/>
          <a:ext cx="952500" cy="742950"/>
        </a:xfrm>
        <a:prstGeom prst="rect">
          <a:avLst/>
        </a:prstGeom>
      </xdr:spPr>
    </xdr:pic>
    <xdr:clientData/>
  </xdr:twoCellAnchor>
  <xdr:twoCellAnchor editAs="oneCell">
    <xdr:from>
      <xdr:col>3</xdr:col>
      <xdr:colOff>133350</xdr:colOff>
      <xdr:row>30</xdr:row>
      <xdr:rowOff>85725</xdr:rowOff>
    </xdr:from>
    <xdr:to>
      <xdr:col>3</xdr:col>
      <xdr:colOff>1085850</xdr:colOff>
      <xdr:row>30</xdr:row>
      <xdr:rowOff>828675</xdr:rowOff>
    </xdr:to>
    <xdr:pic>
      <xdr:nvPicPr>
        <xdr:cNvPr id="18" name="Picture 1">
          <a:extLst>
            <a:ext uri="{FF2B5EF4-FFF2-40B4-BE49-F238E27FC236}">
              <a16:creationId xmlns:a16="http://schemas.microsoft.com/office/drawing/2014/main" id="{771FB206-686F-4B12-B07E-EEB96AE9E607}"/>
            </a:ext>
            <a:ext uri="{147F2762-F138-4A5C-976F-8EAC2B608ADB}">
              <a16:predDERef xmlns:a16="http://schemas.microsoft.com/office/drawing/2014/main" pred="{A755A0B3-02C6-4AE6-BE7C-F92168F46D35}"/>
            </a:ext>
          </a:extLst>
        </xdr:cNvPr>
        <xdr:cNvPicPr>
          <a:picLocks noChangeAspect="1"/>
        </xdr:cNvPicPr>
      </xdr:nvPicPr>
      <xdr:blipFill>
        <a:blip xmlns:r="http://schemas.openxmlformats.org/officeDocument/2006/relationships" r:embed="rId1"/>
        <a:stretch>
          <a:fillRect/>
        </a:stretch>
      </xdr:blipFill>
      <xdr:spPr>
        <a:xfrm>
          <a:off x="6600825" y="10391775"/>
          <a:ext cx="952500" cy="742950"/>
        </a:xfrm>
        <a:prstGeom prst="rect">
          <a:avLst/>
        </a:prstGeom>
      </xdr:spPr>
    </xdr:pic>
    <xdr:clientData/>
  </xdr:twoCellAnchor>
  <xdr:twoCellAnchor editAs="oneCell">
    <xdr:from>
      <xdr:col>3</xdr:col>
      <xdr:colOff>142875</xdr:colOff>
      <xdr:row>30</xdr:row>
      <xdr:rowOff>95250</xdr:rowOff>
    </xdr:from>
    <xdr:to>
      <xdr:col>3</xdr:col>
      <xdr:colOff>1095375</xdr:colOff>
      <xdr:row>30</xdr:row>
      <xdr:rowOff>838200</xdr:rowOff>
    </xdr:to>
    <xdr:pic>
      <xdr:nvPicPr>
        <xdr:cNvPr id="19" name="Picture 1">
          <a:extLst>
            <a:ext uri="{FF2B5EF4-FFF2-40B4-BE49-F238E27FC236}">
              <a16:creationId xmlns:a16="http://schemas.microsoft.com/office/drawing/2014/main" id="{EE84AFFC-566A-4175-A1C0-3F552D1F6E5C}"/>
            </a:ext>
            <a:ext uri="{147F2762-F138-4A5C-976F-8EAC2B608ADB}">
              <a16:predDERef xmlns:a16="http://schemas.microsoft.com/office/drawing/2014/main" pred="{771FB206-686F-4B12-B07E-EEB96AE9E607}"/>
            </a:ext>
          </a:extLst>
        </xdr:cNvPr>
        <xdr:cNvPicPr>
          <a:picLocks noChangeAspect="1"/>
        </xdr:cNvPicPr>
      </xdr:nvPicPr>
      <xdr:blipFill>
        <a:blip xmlns:r="http://schemas.openxmlformats.org/officeDocument/2006/relationships" r:embed="rId1"/>
        <a:stretch>
          <a:fillRect/>
        </a:stretch>
      </xdr:blipFill>
      <xdr:spPr>
        <a:xfrm>
          <a:off x="6610350" y="10401300"/>
          <a:ext cx="952500" cy="742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608704</xdr:colOff>
      <xdr:row>32</xdr:row>
      <xdr:rowOff>28238</xdr:rowOff>
    </xdr:from>
    <xdr:to>
      <xdr:col>10</xdr:col>
      <xdr:colOff>227704</xdr:colOff>
      <xdr:row>37</xdr:row>
      <xdr:rowOff>28238</xdr:rowOff>
    </xdr:to>
    <xdr:pic>
      <xdr:nvPicPr>
        <xdr:cNvPr id="2" name="Picture 1">
          <a:extLst>
            <a:ext uri="{FF2B5EF4-FFF2-40B4-BE49-F238E27FC236}">
              <a16:creationId xmlns:a16="http://schemas.microsoft.com/office/drawing/2014/main" id="{EA67ACCC-0F33-54C3-10E7-3134C3307B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98751" y="6034591"/>
          <a:ext cx="1555377" cy="8964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574189</xdr:colOff>
      <xdr:row>25</xdr:row>
      <xdr:rowOff>104887</xdr:rowOff>
    </xdr:from>
    <xdr:to>
      <xdr:col>4</xdr:col>
      <xdr:colOff>37517</xdr:colOff>
      <xdr:row>30</xdr:row>
      <xdr:rowOff>89647</xdr:rowOff>
    </xdr:to>
    <xdr:pic>
      <xdr:nvPicPr>
        <xdr:cNvPr id="3" name="Picture 2">
          <a:extLst>
            <a:ext uri="{FF2B5EF4-FFF2-40B4-BE49-F238E27FC236}">
              <a16:creationId xmlns:a16="http://schemas.microsoft.com/office/drawing/2014/main" id="{570DEF05-E530-1118-4973-29DBB8FC6A1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83789" y="5008581"/>
          <a:ext cx="1292128" cy="7288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184161</xdr:colOff>
      <xdr:row>30</xdr:row>
      <xdr:rowOff>6466</xdr:rowOff>
    </xdr:from>
    <xdr:to>
      <xdr:col>20</xdr:col>
      <xdr:colOff>521618</xdr:colOff>
      <xdr:row>35</xdr:row>
      <xdr:rowOff>6466</xdr:rowOff>
    </xdr:to>
    <xdr:pic>
      <xdr:nvPicPr>
        <xdr:cNvPr id="2" name="Picture 1">
          <a:extLst>
            <a:ext uri="{FF2B5EF4-FFF2-40B4-BE49-F238E27FC236}">
              <a16:creationId xmlns:a16="http://schemas.microsoft.com/office/drawing/2014/main" id="{16723F20-3761-4755-A1F9-FB84AF363F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77990" y="4992123"/>
          <a:ext cx="1556657" cy="9252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280274</xdr:colOff>
      <xdr:row>23</xdr:row>
      <xdr:rowOff>17801</xdr:rowOff>
    </xdr:from>
    <xdr:to>
      <xdr:col>22</xdr:col>
      <xdr:colOff>353202</xdr:colOff>
      <xdr:row>27</xdr:row>
      <xdr:rowOff>24332</xdr:rowOff>
    </xdr:to>
    <xdr:pic>
      <xdr:nvPicPr>
        <xdr:cNvPr id="3" name="Picture 2">
          <a:extLst>
            <a:ext uri="{FF2B5EF4-FFF2-40B4-BE49-F238E27FC236}">
              <a16:creationId xmlns:a16="http://schemas.microsoft.com/office/drawing/2014/main" id="{BC550DF5-F501-4938-A352-3C833AD1FEB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93303" y="4666001"/>
          <a:ext cx="1292128" cy="746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C0671F-E6FC-4F75-8F98-90B285BA2D47}" name="Table1" displayName="Table1" ref="A1:P358" totalsRowShown="0" headerRowDxfId="79" dataDxfId="78">
  <autoFilter ref="A1:P358" xr:uid="{31C0671F-E6FC-4F75-8F98-90B285BA2D47}"/>
  <tableColumns count="16">
    <tableColumn id="1" xr3:uid="{98A6E0AF-982A-4C4E-9D14-D09A45CD1753}" name="REFERENCE NO" dataDxfId="77" totalsRowDxfId="76"/>
    <tableColumn id="2" xr3:uid="{30844DB1-3A45-4EB5-BAE4-D62F7A60CB47}" name="BOX" dataDxfId="75" totalsRowDxfId="74"/>
    <tableColumn id="3" xr3:uid="{8103AC7A-30D1-4C97-ADE9-C467E9D6DB65}" name="BATCH NO" dataDxfId="73" totalsRowDxfId="72">
      <calculatedColumnFormula>_xlfn.CONCAT(A2,B2)</calculatedColumnFormula>
    </tableColumn>
    <tableColumn id="4" xr3:uid="{084EA1C9-CAF2-43F0-88F8-04BD66C7257D}" name="DATE" dataDxfId="71" totalsRowDxfId="70"/>
    <tableColumn id="5" xr3:uid="{D73EC97D-09E7-4981-8A69-4A64E89FCD41}" name="GRDS ITEM NO" dataDxfId="69" totalsRowDxfId="68"/>
    <tableColumn id="6" xr3:uid="{4EA73848-9A77-442D-AF9C-9051E34A0275}" name="RECORDS SERIES TITLE" dataDxfId="67" totalsRowDxfId="66">
      <calculatedColumnFormula>VLOOKUP(E2,DESCRIP,2,0)</calculatedColumnFormula>
    </tableColumn>
    <tableColumn id="7" xr3:uid="{C90496E9-7B58-4A3F-8898-B0BF9268CAB7}" name="SECTION" dataDxfId="65" totalsRowDxfId="64"/>
    <tableColumn id="8" xr3:uid="{292CB273-EDDF-43C6-8F85-615CD4D334CC}" name="DESCRIPTION" dataDxfId="63" totalsRowDxfId="62"/>
    <tableColumn id="9" xr3:uid="{7980CE6B-F4AB-453A-AD9A-9791F06A1C2C}" name="PERIOD COVERED" dataDxfId="61" totalsRowDxfId="60"/>
    <tableColumn id="10" xr3:uid="{A835F72C-EA7E-4104-A472-37764A679E2A}" name="LATEST YEAR" dataDxfId="59"/>
    <tableColumn id="11" xr3:uid="{C2187751-1A5C-4830-B836-F9D78782135A}" name="NO. YEARS AS OF 2024" dataDxfId="58">
      <calculatedColumnFormula>2024-Table1[[#This Row],[LATEST YEAR]]</calculatedColumnFormula>
    </tableColumn>
    <tableColumn id="12" xr3:uid="{847A5A13-93F8-4F02-A009-2257796954C9}" name="RETENTION PERIOD" dataDxfId="57">
      <calculatedColumnFormula>VLOOKUP(Table1[[#This Row],[GRDS ITEM NO]],RETENTION1,4,0)</calculatedColumnFormula>
    </tableColumn>
    <tableColumn id="13" xr3:uid="{F5FBDA10-CF12-49C8-96E9-18A75C527458}" name="STATUS (GREEN: for DISPOSAL)" dataDxfId="56">
      <calculatedColumnFormula>Table1[[#This Row],[RETENTION PERIOD]]-Table1[[#This Row],[NO. YEARS AS OF 2024]]</calculatedColumnFormula>
    </tableColumn>
    <tableColumn id="14" xr3:uid="{6EB8A4FE-C1F3-4AF2-86B8-5CF1767E228C}" name="SCANNING" dataDxfId="55"/>
    <tableColumn id="15" xr3:uid="{B628B023-7C99-480A-BB35-4569FEDAD038}" name="BATCH NO FROM ARCHIVES" dataDxfId="54"/>
    <tableColumn id="16" xr3:uid="{46B6A91E-2005-404C-9B6A-1EFC92FB5EBB}" name="LOCATION" dataDxfId="5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420AA9-6C0A-4739-90C5-66C8410A5D1B}" name="Table13" displayName="Table13" ref="A1:O141" totalsRowShown="0" headerRowDxfId="52" dataDxfId="51">
  <autoFilter ref="A1:O141" xr:uid="{F1420AA9-6C0A-4739-90C5-66C8410A5D1B}"/>
  <tableColumns count="15">
    <tableColumn id="1" xr3:uid="{E3AE7ADE-B6D6-4D35-9043-21D7AD11D0CB}" name="REFNO" dataDxfId="50" totalsRowDxfId="49"/>
    <tableColumn id="2" xr3:uid="{B6C98941-96C9-48A0-8F58-8F07D41C8D09}" name="BOX #" dataDxfId="48" totalsRowDxfId="47"/>
    <tableColumn id="3" xr3:uid="{9761890C-15E9-4AB5-AC8A-B4B041827B3E}" name="BATCH NO" dataDxfId="46" totalsRowDxfId="45">
      <calculatedColumnFormula>_xlfn.CONCAT(A2,B2)</calculatedColumnFormula>
    </tableColumn>
    <tableColumn id="4" xr3:uid="{054D3984-DB5B-4C62-8075-2B1D4D0C32F4}" name="DATE" dataDxfId="44" totalsRowDxfId="43"/>
    <tableColumn id="5" xr3:uid="{FB25AB2E-D978-4DA2-B08B-380A6C9E9677}" name="GRDS ITEM NO" dataDxfId="42" totalsRowDxfId="41"/>
    <tableColumn id="6" xr3:uid="{1B7D10BA-E3BE-41B6-9899-C12F135D078D}" name="RECORDS SERIES TITLE" dataDxfId="40" totalsRowDxfId="39">
      <calculatedColumnFormula>VLOOKUP(E2,DESCRIP,2,0)</calculatedColumnFormula>
    </tableColumn>
    <tableColumn id="7" xr3:uid="{633A04F8-9EAB-4DC3-A181-90B6C910830E}" name="SECTION" dataDxfId="38" totalsRowDxfId="37"/>
    <tableColumn id="8" xr3:uid="{EE4A320C-823E-443A-AF02-5DD5F4688CFF}" name="DESCRIPTION" dataDxfId="36" totalsRowDxfId="35"/>
    <tableColumn id="9" xr3:uid="{0963AD3B-065C-40BA-B0F8-213898E14078}" name="PERIOD COVERED" dataDxfId="34" totalsRowDxfId="33"/>
    <tableColumn id="10" xr3:uid="{9A710337-E01F-4A67-9106-48DF2AD73163}" name="LATEST YEAR" dataDxfId="32"/>
    <tableColumn id="11" xr3:uid="{E2F07EC5-C167-4DC2-8183-4EE7594588F2}" name="NO. YEARS AS OF  Y2025" dataDxfId="31">
      <calculatedColumnFormula>2025-Table13[[#This Row],[LATEST YEAR]]</calculatedColumnFormula>
    </tableColumn>
    <tableColumn id="12" xr3:uid="{72A93FF0-E3DC-40E5-B35E-E6D1638943A0}" name="RETENTION PERIOD (NO. OF YEAR/S)" dataDxfId="30">
      <calculatedColumnFormula>VLOOKUP(Table13[[#This Row],[GRDS ITEM NO]],RETENTION1,4,0)</calculatedColumnFormula>
    </tableColumn>
    <tableColumn id="13" xr3:uid="{04B970C0-E55C-4CB2-92B7-39E8622A969A}" name="STATUS (GREEN: for DISPOSAL)" dataDxfId="29">
      <calculatedColumnFormula>Table13[[#This Row],[RETENTION PERIOD (NO. OF YEAR/S)]]-Table13[[#This Row],[NO. YEARS AS OF  Y2025]]</calculatedColumnFormula>
    </tableColumn>
    <tableColumn id="14" xr3:uid="{06C96D3E-16FF-47B7-B9D6-22B90CB9D382}" name="SCANNING" dataDxfId="28"/>
    <tableColumn id="15" xr3:uid="{86B87886-53FF-458C-A333-EC3D403E8B50}" name="STATUS_x000a_BATCH NO DISPOSAL" dataDxfId="2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iligan@sss.gov.ph"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iligan@sss.gov.ph"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hyperlink" Target="mailto:iligan@sss.gov.ph"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hyperlink" Target="mailto:iligan@sss.gov.p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928CD-149D-4C25-A49C-F2704B85843B}">
  <sheetPr>
    <tabColor rgb="FF00B050"/>
  </sheetPr>
  <dimension ref="A1:P509"/>
  <sheetViews>
    <sheetView zoomScale="85" zoomScaleNormal="85" zoomScaleSheetLayoutView="55" workbookViewId="0">
      <pane ySplit="1" topLeftCell="A348" activePane="bottomLeft" state="frozen"/>
      <selection activeCell="F1" sqref="F1"/>
      <selection pane="bottomLeft" activeCell="C360" sqref="C360"/>
    </sheetView>
  </sheetViews>
  <sheetFormatPr defaultColWidth="8.88671875" defaultRowHeight="21.6" x14ac:dyDescent="0.65"/>
  <cols>
    <col min="1" max="1" width="24.44140625" style="153" customWidth="1"/>
    <col min="2" max="2" width="10.6640625" style="154" customWidth="1"/>
    <col min="3" max="3" width="22.88671875" style="155" customWidth="1"/>
    <col min="4" max="4" width="14.88671875" style="148" customWidth="1"/>
    <col min="5" max="5" width="19.88671875" style="153" customWidth="1"/>
    <col min="6" max="6" width="56.88671875" style="142" customWidth="1"/>
    <col min="7" max="7" width="30.44140625" style="150" customWidth="1"/>
    <col min="8" max="8" width="32.44140625" style="150" customWidth="1"/>
    <col min="9" max="9" width="67.33203125" style="151" customWidth="1"/>
    <col min="10" max="10" width="20.109375" style="152" customWidth="1"/>
    <col min="11" max="11" width="28" style="152" customWidth="1"/>
    <col min="12" max="12" width="28.33203125" style="152" customWidth="1"/>
    <col min="13" max="13" width="43" style="152" customWidth="1"/>
    <col min="14" max="15" width="19.6640625" style="152" hidden="1" customWidth="1"/>
    <col min="16" max="16" width="29.44140625" style="152" customWidth="1"/>
    <col min="17" max="16384" width="8.88671875" style="152"/>
  </cols>
  <sheetData>
    <row r="1" spans="1:16" s="161" customFormat="1" ht="60" customHeight="1" x14ac:dyDescent="0.3">
      <c r="A1" s="156" t="s">
        <v>0</v>
      </c>
      <c r="B1" s="156" t="s">
        <v>1</v>
      </c>
      <c r="C1" s="157" t="s">
        <v>2</v>
      </c>
      <c r="D1" s="158" t="s">
        <v>3</v>
      </c>
      <c r="E1" s="156" t="s">
        <v>4</v>
      </c>
      <c r="F1" s="189" t="s">
        <v>5</v>
      </c>
      <c r="G1" s="159" t="s">
        <v>6</v>
      </c>
      <c r="H1" s="159" t="s">
        <v>7</v>
      </c>
      <c r="I1" s="157" t="s">
        <v>8</v>
      </c>
      <c r="J1" s="156" t="s">
        <v>9</v>
      </c>
      <c r="K1" s="160" t="s">
        <v>10</v>
      </c>
      <c r="L1" s="160" t="s">
        <v>11</v>
      </c>
      <c r="M1" s="160" t="s">
        <v>12</v>
      </c>
      <c r="N1" s="156" t="s">
        <v>13</v>
      </c>
      <c r="O1" s="211" t="s">
        <v>14</v>
      </c>
      <c r="P1" s="156" t="s">
        <v>15</v>
      </c>
    </row>
    <row r="2" spans="1:16" s="170" customFormat="1" x14ac:dyDescent="0.65">
      <c r="A2" s="162" t="s">
        <v>16</v>
      </c>
      <c r="B2" s="163">
        <v>1</v>
      </c>
      <c r="C2" s="164" t="str">
        <f>_xlfn.CONCAT(A2,B2)</f>
        <v>H02-23-0011</v>
      </c>
      <c r="D2" s="165">
        <v>45205</v>
      </c>
      <c r="E2" s="162">
        <v>26</v>
      </c>
      <c r="F2" s="166" t="str">
        <f t="shared" ref="F2:F33" si="0">VLOOKUP(E2,DESCRIP,2,0)</f>
        <v>REPORTS
-OTHERS (Batch Balance Sheet)</v>
      </c>
      <c r="G2" s="167" t="s">
        <v>17</v>
      </c>
      <c r="H2" s="167" t="s">
        <v>18</v>
      </c>
      <c r="I2" s="168" t="s">
        <v>19</v>
      </c>
      <c r="J2" s="163">
        <v>2014</v>
      </c>
      <c r="K2" s="169">
        <f>2024-Table1[[#This Row],[LATEST YEAR]]</f>
        <v>10</v>
      </c>
      <c r="L2" s="169">
        <f>VLOOKUP(Table1[[#This Row],[GRDS ITEM NO]],RETENTION1,4,0)</f>
        <v>2</v>
      </c>
      <c r="M2" s="169">
        <f>Table1[[#This Row],[RETENTION PERIOD]]-Table1[[#This Row],[NO. YEARS AS OF 2024]]</f>
        <v>-8</v>
      </c>
      <c r="N2" s="163"/>
      <c r="O2" s="145"/>
      <c r="P2" s="145" t="s">
        <v>20</v>
      </c>
    </row>
    <row r="3" spans="1:16" s="171" customFormat="1" x14ac:dyDescent="0.65">
      <c r="A3" s="162" t="s">
        <v>16</v>
      </c>
      <c r="B3" s="163">
        <v>2</v>
      </c>
      <c r="C3" s="164" t="str">
        <f t="shared" ref="C3:C14" si="1">_xlfn.CONCAT(A3,B3)</f>
        <v>H02-23-0012</v>
      </c>
      <c r="D3" s="165">
        <v>45205</v>
      </c>
      <c r="E3" s="162">
        <v>26</v>
      </c>
      <c r="F3" s="166" t="str">
        <f t="shared" si="0"/>
        <v>REPORTS
-OTHERS (Batch Balance Sheet)</v>
      </c>
      <c r="G3" s="167" t="s">
        <v>17</v>
      </c>
      <c r="H3" s="167" t="s">
        <v>18</v>
      </c>
      <c r="I3" s="168" t="s">
        <v>19</v>
      </c>
      <c r="J3" s="163">
        <v>2014</v>
      </c>
      <c r="K3" s="169">
        <f>2024-Table1[[#This Row],[LATEST YEAR]]</f>
        <v>10</v>
      </c>
      <c r="L3" s="169">
        <f>VLOOKUP(Table1[[#This Row],[GRDS ITEM NO]],RETENTION1,4,0)</f>
        <v>2</v>
      </c>
      <c r="M3" s="169">
        <f>Table1[[#This Row],[RETENTION PERIOD]]-Table1[[#This Row],[NO. YEARS AS OF 2024]]</f>
        <v>-8</v>
      </c>
      <c r="N3" s="163"/>
      <c r="O3" s="145"/>
      <c r="P3" s="145" t="s">
        <v>20</v>
      </c>
    </row>
    <row r="4" spans="1:16" s="171" customFormat="1" x14ac:dyDescent="0.65">
      <c r="A4" s="162" t="s">
        <v>16</v>
      </c>
      <c r="B4" s="163">
        <v>3</v>
      </c>
      <c r="C4" s="164" t="str">
        <f t="shared" si="1"/>
        <v>H02-23-0013</v>
      </c>
      <c r="D4" s="165">
        <v>45205</v>
      </c>
      <c r="E4" s="162">
        <v>26</v>
      </c>
      <c r="F4" s="166" t="str">
        <f t="shared" si="0"/>
        <v>REPORTS
-OTHERS (Batch Balance Sheet)</v>
      </c>
      <c r="G4" s="167" t="s">
        <v>17</v>
      </c>
      <c r="H4" s="167" t="s">
        <v>18</v>
      </c>
      <c r="I4" s="168" t="s">
        <v>19</v>
      </c>
      <c r="J4" s="163">
        <v>2014</v>
      </c>
      <c r="K4" s="169">
        <f>2024-Table1[[#This Row],[LATEST YEAR]]</f>
        <v>10</v>
      </c>
      <c r="L4" s="169">
        <f>VLOOKUP(Table1[[#This Row],[GRDS ITEM NO]],RETENTION1,4,0)</f>
        <v>2</v>
      </c>
      <c r="M4" s="169">
        <f>Table1[[#This Row],[RETENTION PERIOD]]-Table1[[#This Row],[NO. YEARS AS OF 2024]]</f>
        <v>-8</v>
      </c>
      <c r="N4" s="163"/>
      <c r="O4" s="145"/>
      <c r="P4" s="145" t="s">
        <v>20</v>
      </c>
    </row>
    <row r="5" spans="1:16" s="171" customFormat="1" x14ac:dyDescent="0.65">
      <c r="A5" s="162" t="s">
        <v>16</v>
      </c>
      <c r="B5" s="163">
        <v>4</v>
      </c>
      <c r="C5" s="164" t="str">
        <f t="shared" si="1"/>
        <v>H02-23-0014</v>
      </c>
      <c r="D5" s="165">
        <v>45205</v>
      </c>
      <c r="E5" s="162">
        <v>26</v>
      </c>
      <c r="F5" s="166" t="str">
        <f t="shared" si="0"/>
        <v>REPORTS
-OTHERS (Batch Balance Sheet)</v>
      </c>
      <c r="G5" s="167" t="s">
        <v>17</v>
      </c>
      <c r="H5" s="167" t="s">
        <v>18</v>
      </c>
      <c r="I5" s="168" t="s">
        <v>19</v>
      </c>
      <c r="J5" s="163">
        <v>2014</v>
      </c>
      <c r="K5" s="169">
        <f>2024-Table1[[#This Row],[LATEST YEAR]]</f>
        <v>10</v>
      </c>
      <c r="L5" s="169">
        <f>VLOOKUP(Table1[[#This Row],[GRDS ITEM NO]],RETENTION1,4,0)</f>
        <v>2</v>
      </c>
      <c r="M5" s="169">
        <f>Table1[[#This Row],[RETENTION PERIOD]]-Table1[[#This Row],[NO. YEARS AS OF 2024]]</f>
        <v>-8</v>
      </c>
      <c r="N5" s="163"/>
      <c r="O5" s="145"/>
      <c r="P5" s="145" t="s">
        <v>20</v>
      </c>
    </row>
    <row r="6" spans="1:16" s="171" customFormat="1" x14ac:dyDescent="0.65">
      <c r="A6" s="162" t="s">
        <v>16</v>
      </c>
      <c r="B6" s="163">
        <v>5</v>
      </c>
      <c r="C6" s="164" t="str">
        <f t="shared" si="1"/>
        <v>H02-23-0015</v>
      </c>
      <c r="D6" s="165">
        <v>45205</v>
      </c>
      <c r="E6" s="162">
        <v>26</v>
      </c>
      <c r="F6" s="166" t="str">
        <f t="shared" si="0"/>
        <v>REPORTS
-OTHERS (Batch Balance Sheet)</v>
      </c>
      <c r="G6" s="167" t="s">
        <v>17</v>
      </c>
      <c r="H6" s="167" t="s">
        <v>18</v>
      </c>
      <c r="I6" s="168" t="s">
        <v>19</v>
      </c>
      <c r="J6" s="163">
        <v>2014</v>
      </c>
      <c r="K6" s="169">
        <f>2024-Table1[[#This Row],[LATEST YEAR]]</f>
        <v>10</v>
      </c>
      <c r="L6" s="169">
        <f>VLOOKUP(Table1[[#This Row],[GRDS ITEM NO]],RETENTION1,4,0)</f>
        <v>2</v>
      </c>
      <c r="M6" s="169">
        <f>Table1[[#This Row],[RETENTION PERIOD]]-Table1[[#This Row],[NO. YEARS AS OF 2024]]</f>
        <v>-8</v>
      </c>
      <c r="N6" s="163"/>
      <c r="O6" s="145"/>
      <c r="P6" s="145" t="s">
        <v>20</v>
      </c>
    </row>
    <row r="7" spans="1:16" s="171" customFormat="1" x14ac:dyDescent="0.65">
      <c r="A7" s="162" t="s">
        <v>16</v>
      </c>
      <c r="B7" s="163">
        <v>6</v>
      </c>
      <c r="C7" s="164" t="str">
        <f t="shared" si="1"/>
        <v>H02-23-0016</v>
      </c>
      <c r="D7" s="165">
        <v>45205</v>
      </c>
      <c r="E7" s="162">
        <v>26</v>
      </c>
      <c r="F7" s="166" t="str">
        <f t="shared" si="0"/>
        <v>REPORTS
-OTHERS (Batch Balance Sheet)</v>
      </c>
      <c r="G7" s="167" t="s">
        <v>17</v>
      </c>
      <c r="H7" s="167" t="s">
        <v>18</v>
      </c>
      <c r="I7" s="168" t="s">
        <v>19</v>
      </c>
      <c r="J7" s="163">
        <v>2014</v>
      </c>
      <c r="K7" s="169">
        <f>2024-Table1[[#This Row],[LATEST YEAR]]</f>
        <v>10</v>
      </c>
      <c r="L7" s="169">
        <f>VLOOKUP(Table1[[#This Row],[GRDS ITEM NO]],RETENTION1,4,0)</f>
        <v>2</v>
      </c>
      <c r="M7" s="169">
        <f>Table1[[#This Row],[RETENTION PERIOD]]-Table1[[#This Row],[NO. YEARS AS OF 2024]]</f>
        <v>-8</v>
      </c>
      <c r="N7" s="163"/>
      <c r="O7" s="145"/>
      <c r="P7" s="145" t="s">
        <v>20</v>
      </c>
    </row>
    <row r="8" spans="1:16" s="171" customFormat="1" x14ac:dyDescent="0.65">
      <c r="A8" s="162" t="s">
        <v>16</v>
      </c>
      <c r="B8" s="163">
        <v>7</v>
      </c>
      <c r="C8" s="164" t="str">
        <f t="shared" si="1"/>
        <v>H02-23-0017</v>
      </c>
      <c r="D8" s="165">
        <v>45205</v>
      </c>
      <c r="E8" s="162">
        <v>26</v>
      </c>
      <c r="F8" s="166" t="str">
        <f t="shared" si="0"/>
        <v>REPORTS
-OTHERS (Batch Balance Sheet)</v>
      </c>
      <c r="G8" s="167" t="s">
        <v>17</v>
      </c>
      <c r="H8" s="167" t="s">
        <v>18</v>
      </c>
      <c r="I8" s="168" t="s">
        <v>19</v>
      </c>
      <c r="J8" s="163">
        <v>2014</v>
      </c>
      <c r="K8" s="169">
        <f>2024-Table1[[#This Row],[LATEST YEAR]]</f>
        <v>10</v>
      </c>
      <c r="L8" s="169">
        <f>VLOOKUP(Table1[[#This Row],[GRDS ITEM NO]],RETENTION1,4,0)</f>
        <v>2</v>
      </c>
      <c r="M8" s="169">
        <f>Table1[[#This Row],[RETENTION PERIOD]]-Table1[[#This Row],[NO. YEARS AS OF 2024]]</f>
        <v>-8</v>
      </c>
      <c r="N8" s="163"/>
      <c r="O8" s="145"/>
      <c r="P8" s="145" t="s">
        <v>20</v>
      </c>
    </row>
    <row r="9" spans="1:16" s="171" customFormat="1" x14ac:dyDescent="0.65">
      <c r="A9" s="162" t="s">
        <v>16</v>
      </c>
      <c r="B9" s="163">
        <v>8</v>
      </c>
      <c r="C9" s="164" t="str">
        <f t="shared" si="1"/>
        <v>H02-23-0018</v>
      </c>
      <c r="D9" s="165">
        <v>45205</v>
      </c>
      <c r="E9" s="162">
        <v>26</v>
      </c>
      <c r="F9" s="166" t="str">
        <f t="shared" si="0"/>
        <v>REPORTS
-OTHERS (Batch Balance Sheet)</v>
      </c>
      <c r="G9" s="167" t="s">
        <v>17</v>
      </c>
      <c r="H9" s="167" t="s">
        <v>18</v>
      </c>
      <c r="I9" s="168" t="s">
        <v>19</v>
      </c>
      <c r="J9" s="163">
        <v>2014</v>
      </c>
      <c r="K9" s="169">
        <f>2024-Table1[[#This Row],[LATEST YEAR]]</f>
        <v>10</v>
      </c>
      <c r="L9" s="169">
        <f>VLOOKUP(Table1[[#This Row],[GRDS ITEM NO]],RETENTION1,4,0)</f>
        <v>2</v>
      </c>
      <c r="M9" s="169">
        <f>Table1[[#This Row],[RETENTION PERIOD]]-Table1[[#This Row],[NO. YEARS AS OF 2024]]</f>
        <v>-8</v>
      </c>
      <c r="N9" s="163"/>
      <c r="O9" s="145"/>
      <c r="P9" s="145" t="s">
        <v>20</v>
      </c>
    </row>
    <row r="10" spans="1:16" s="171" customFormat="1" x14ac:dyDescent="0.65">
      <c r="A10" s="162" t="s">
        <v>16</v>
      </c>
      <c r="B10" s="163">
        <v>9</v>
      </c>
      <c r="C10" s="164" t="str">
        <f t="shared" si="1"/>
        <v>H02-23-0019</v>
      </c>
      <c r="D10" s="165">
        <v>45205</v>
      </c>
      <c r="E10" s="162">
        <v>26</v>
      </c>
      <c r="F10" s="166" t="str">
        <f t="shared" si="0"/>
        <v>REPORTS
-OTHERS (Batch Balance Sheet)</v>
      </c>
      <c r="G10" s="167" t="s">
        <v>17</v>
      </c>
      <c r="H10" s="167" t="s">
        <v>18</v>
      </c>
      <c r="I10" s="168" t="s">
        <v>19</v>
      </c>
      <c r="J10" s="163">
        <v>2014</v>
      </c>
      <c r="K10" s="169">
        <f>2024-Table1[[#This Row],[LATEST YEAR]]</f>
        <v>10</v>
      </c>
      <c r="L10" s="169">
        <f>VLOOKUP(Table1[[#This Row],[GRDS ITEM NO]],RETENTION1,4,0)</f>
        <v>2</v>
      </c>
      <c r="M10" s="169">
        <f>Table1[[#This Row],[RETENTION PERIOD]]-Table1[[#This Row],[NO. YEARS AS OF 2024]]</f>
        <v>-8</v>
      </c>
      <c r="N10" s="163"/>
      <c r="O10" s="145"/>
      <c r="P10" s="145" t="s">
        <v>20</v>
      </c>
    </row>
    <row r="11" spans="1:16" s="171" customFormat="1" x14ac:dyDescent="0.65">
      <c r="A11" s="162" t="s">
        <v>16</v>
      </c>
      <c r="B11" s="163">
        <v>10</v>
      </c>
      <c r="C11" s="164" t="str">
        <f t="shared" si="1"/>
        <v>H02-23-00110</v>
      </c>
      <c r="D11" s="165">
        <v>45205</v>
      </c>
      <c r="E11" s="162">
        <v>26</v>
      </c>
      <c r="F11" s="166" t="str">
        <f t="shared" si="0"/>
        <v>REPORTS
-OTHERS (Batch Balance Sheet)</v>
      </c>
      <c r="G11" s="167" t="s">
        <v>17</v>
      </c>
      <c r="H11" s="167" t="s">
        <v>18</v>
      </c>
      <c r="I11" s="168" t="s">
        <v>19</v>
      </c>
      <c r="J11" s="163">
        <v>2014</v>
      </c>
      <c r="K11" s="169">
        <f>2024-Table1[[#This Row],[LATEST YEAR]]</f>
        <v>10</v>
      </c>
      <c r="L11" s="169">
        <f>VLOOKUP(Table1[[#This Row],[GRDS ITEM NO]],RETENTION1,4,0)</f>
        <v>2</v>
      </c>
      <c r="M11" s="169">
        <f>Table1[[#This Row],[RETENTION PERIOD]]-Table1[[#This Row],[NO. YEARS AS OF 2024]]</f>
        <v>-8</v>
      </c>
      <c r="N11" s="163"/>
      <c r="O11" s="145"/>
      <c r="P11" s="145" t="s">
        <v>20</v>
      </c>
    </row>
    <row r="12" spans="1:16" s="171" customFormat="1" x14ac:dyDescent="0.65">
      <c r="A12" s="162" t="s">
        <v>16</v>
      </c>
      <c r="B12" s="163">
        <v>11</v>
      </c>
      <c r="C12" s="164" t="str">
        <f t="shared" si="1"/>
        <v>H02-23-00111</v>
      </c>
      <c r="D12" s="165">
        <v>45205</v>
      </c>
      <c r="E12" s="162">
        <v>26</v>
      </c>
      <c r="F12" s="166" t="str">
        <f t="shared" si="0"/>
        <v>REPORTS
-OTHERS (Batch Balance Sheet)</v>
      </c>
      <c r="G12" s="167" t="s">
        <v>17</v>
      </c>
      <c r="H12" s="167" t="s">
        <v>18</v>
      </c>
      <c r="I12" s="168" t="s">
        <v>19</v>
      </c>
      <c r="J12" s="163">
        <v>2014</v>
      </c>
      <c r="K12" s="169">
        <f>2024-Table1[[#This Row],[LATEST YEAR]]</f>
        <v>10</v>
      </c>
      <c r="L12" s="169">
        <f>VLOOKUP(Table1[[#This Row],[GRDS ITEM NO]],RETENTION1,4,0)</f>
        <v>2</v>
      </c>
      <c r="M12" s="169">
        <f>Table1[[#This Row],[RETENTION PERIOD]]-Table1[[#This Row],[NO. YEARS AS OF 2024]]</f>
        <v>-8</v>
      </c>
      <c r="N12" s="163"/>
      <c r="O12" s="145"/>
      <c r="P12" s="145" t="s">
        <v>20</v>
      </c>
    </row>
    <row r="13" spans="1:16" s="171" customFormat="1" x14ac:dyDescent="0.65">
      <c r="A13" s="162" t="s">
        <v>16</v>
      </c>
      <c r="B13" s="163">
        <v>12</v>
      </c>
      <c r="C13" s="164" t="str">
        <f t="shared" si="1"/>
        <v>H02-23-00112</v>
      </c>
      <c r="D13" s="165">
        <v>45205</v>
      </c>
      <c r="E13" s="162">
        <v>26</v>
      </c>
      <c r="F13" s="166" t="str">
        <f t="shared" si="0"/>
        <v>REPORTS
-OTHERS (Batch Balance Sheet)</v>
      </c>
      <c r="G13" s="167" t="s">
        <v>17</v>
      </c>
      <c r="H13" s="167" t="s">
        <v>18</v>
      </c>
      <c r="I13" s="168" t="s">
        <v>19</v>
      </c>
      <c r="J13" s="163">
        <v>2014</v>
      </c>
      <c r="K13" s="169">
        <f>2024-Table1[[#This Row],[LATEST YEAR]]</f>
        <v>10</v>
      </c>
      <c r="L13" s="169">
        <f>VLOOKUP(Table1[[#This Row],[GRDS ITEM NO]],RETENTION1,4,0)</f>
        <v>2</v>
      </c>
      <c r="M13" s="169">
        <f>Table1[[#This Row],[RETENTION PERIOD]]-Table1[[#This Row],[NO. YEARS AS OF 2024]]</f>
        <v>-8</v>
      </c>
      <c r="N13" s="163"/>
      <c r="O13" s="145"/>
      <c r="P13" s="145" t="s">
        <v>20</v>
      </c>
    </row>
    <row r="14" spans="1:16" s="171" customFormat="1" x14ac:dyDescent="0.65">
      <c r="A14" s="162" t="s">
        <v>16</v>
      </c>
      <c r="B14" s="163">
        <v>13</v>
      </c>
      <c r="C14" s="164" t="str">
        <f t="shared" si="1"/>
        <v>H02-23-00113</v>
      </c>
      <c r="D14" s="165">
        <v>45205</v>
      </c>
      <c r="E14" s="162">
        <v>26</v>
      </c>
      <c r="F14" s="166" t="str">
        <f t="shared" si="0"/>
        <v>REPORTS
-OTHERS (Batch Balance Sheet)</v>
      </c>
      <c r="G14" s="167" t="s">
        <v>17</v>
      </c>
      <c r="H14" s="167" t="s">
        <v>18</v>
      </c>
      <c r="I14" s="168" t="s">
        <v>19</v>
      </c>
      <c r="J14" s="163">
        <v>2014</v>
      </c>
      <c r="K14" s="169">
        <f>2024-Table1[[#This Row],[LATEST YEAR]]</f>
        <v>10</v>
      </c>
      <c r="L14" s="169">
        <f>VLOOKUP(Table1[[#This Row],[GRDS ITEM NO]],RETENTION1,4,0)</f>
        <v>2</v>
      </c>
      <c r="M14" s="169">
        <f>Table1[[#This Row],[RETENTION PERIOD]]-Table1[[#This Row],[NO. YEARS AS OF 2024]]</f>
        <v>-8</v>
      </c>
      <c r="N14" s="163"/>
      <c r="O14" s="145"/>
      <c r="P14" s="145" t="s">
        <v>20</v>
      </c>
    </row>
    <row r="15" spans="1:16" s="171" customFormat="1" x14ac:dyDescent="0.65">
      <c r="A15" s="162" t="s">
        <v>21</v>
      </c>
      <c r="B15" s="163">
        <v>1</v>
      </c>
      <c r="C15" s="164" t="str">
        <f>_xlfn.CONCAT(A15,B15)</f>
        <v>H02-23-0021</v>
      </c>
      <c r="D15" s="165">
        <v>45212</v>
      </c>
      <c r="E15" s="162" t="s">
        <v>22</v>
      </c>
      <c r="F15" s="166" t="str">
        <f t="shared" si="0"/>
        <v>APPLICATIONS (RD,RO,EC MED, RF, MAT, SO, RR, SS, PLP, ACOP)</v>
      </c>
      <c r="G15" s="167" t="s">
        <v>23</v>
      </c>
      <c r="H15" s="167" t="s">
        <v>24</v>
      </c>
      <c r="I15" s="168" t="s">
        <v>25</v>
      </c>
      <c r="J15" s="163">
        <v>2016</v>
      </c>
      <c r="K15" s="169">
        <f>2024-Table1[[#This Row],[LATEST YEAR]]</f>
        <v>8</v>
      </c>
      <c r="L15" s="169">
        <f>VLOOKUP(Table1[[#This Row],[GRDS ITEM NO]],RETENTION1,4,0)</f>
        <v>1</v>
      </c>
      <c r="M15" s="169">
        <f>Table1[[#This Row],[RETENTION PERIOD]]-Table1[[#This Row],[NO. YEARS AS OF 2024]]</f>
        <v>-7</v>
      </c>
      <c r="N15" s="163"/>
      <c r="O15" s="145"/>
      <c r="P15" s="145" t="s">
        <v>20</v>
      </c>
    </row>
    <row r="16" spans="1:16" s="171" customFormat="1" x14ac:dyDescent="0.65">
      <c r="A16" s="162" t="s">
        <v>21</v>
      </c>
      <c r="B16" s="163">
        <v>2</v>
      </c>
      <c r="C16" s="164" t="str">
        <f>_xlfn.CONCAT(A16,B16)</f>
        <v>H02-23-0022</v>
      </c>
      <c r="D16" s="165">
        <v>45212</v>
      </c>
      <c r="E16" s="162" t="s">
        <v>22</v>
      </c>
      <c r="F16" s="166" t="str">
        <f t="shared" si="0"/>
        <v>APPLICATIONS (RD,RO,EC MED, RF, MAT, SO, RR, SS, PLP, ACOP)</v>
      </c>
      <c r="G16" s="167" t="s">
        <v>23</v>
      </c>
      <c r="H16" s="167" t="s">
        <v>24</v>
      </c>
      <c r="I16" s="168" t="s">
        <v>26</v>
      </c>
      <c r="J16" s="163">
        <v>2017</v>
      </c>
      <c r="K16" s="169">
        <f>2024-Table1[[#This Row],[LATEST YEAR]]</f>
        <v>7</v>
      </c>
      <c r="L16" s="169">
        <f>VLOOKUP(Table1[[#This Row],[GRDS ITEM NO]],RETENTION1,4,0)</f>
        <v>1</v>
      </c>
      <c r="M16" s="169">
        <f>Table1[[#This Row],[RETENTION PERIOD]]-Table1[[#This Row],[NO. YEARS AS OF 2024]]</f>
        <v>-6</v>
      </c>
      <c r="N16" s="163"/>
      <c r="O16" s="145"/>
      <c r="P16" s="145" t="s">
        <v>20</v>
      </c>
    </row>
    <row r="17" spans="1:16" s="171" customFormat="1" x14ac:dyDescent="0.65">
      <c r="A17" s="162" t="s">
        <v>21</v>
      </c>
      <c r="B17" s="163">
        <v>3</v>
      </c>
      <c r="C17" s="164" t="str">
        <f t="shared" ref="C17:C18" si="2">_xlfn.CONCAT(A17,B17)</f>
        <v>H02-23-0023</v>
      </c>
      <c r="D17" s="165">
        <v>45212</v>
      </c>
      <c r="E17" s="162" t="s">
        <v>22</v>
      </c>
      <c r="F17" s="166" t="str">
        <f t="shared" si="0"/>
        <v>APPLICATIONS (RD,RO,EC MED, RF, MAT, SO, RR, SS, PLP, ACOP)</v>
      </c>
      <c r="G17" s="167" t="s">
        <v>23</v>
      </c>
      <c r="H17" s="167" t="s">
        <v>24</v>
      </c>
      <c r="I17" s="168" t="s">
        <v>27</v>
      </c>
      <c r="J17" s="163">
        <v>2018</v>
      </c>
      <c r="K17" s="169">
        <f>2024-Table1[[#This Row],[LATEST YEAR]]</f>
        <v>6</v>
      </c>
      <c r="L17" s="169">
        <f>VLOOKUP(Table1[[#This Row],[GRDS ITEM NO]],RETENTION1,4,0)</f>
        <v>1</v>
      </c>
      <c r="M17" s="169">
        <f>Table1[[#This Row],[RETENTION PERIOD]]-Table1[[#This Row],[NO. YEARS AS OF 2024]]</f>
        <v>-5</v>
      </c>
      <c r="N17" s="163"/>
      <c r="O17" s="145"/>
      <c r="P17" s="145" t="s">
        <v>20</v>
      </c>
    </row>
    <row r="18" spans="1:16" s="171" customFormat="1" x14ac:dyDescent="0.65">
      <c r="A18" s="162" t="s">
        <v>21</v>
      </c>
      <c r="B18" s="163">
        <v>4</v>
      </c>
      <c r="C18" s="164" t="str">
        <f t="shared" si="2"/>
        <v>H02-23-0024</v>
      </c>
      <c r="D18" s="165">
        <v>45212</v>
      </c>
      <c r="E18" s="162" t="s">
        <v>22</v>
      </c>
      <c r="F18" s="166" t="str">
        <f t="shared" si="0"/>
        <v>APPLICATIONS (RD,RO,EC MED, RF, MAT, SO, RR, SS, PLP, ACOP)</v>
      </c>
      <c r="G18" s="167" t="s">
        <v>23</v>
      </c>
      <c r="H18" s="167" t="s">
        <v>24</v>
      </c>
      <c r="I18" s="168" t="s">
        <v>28</v>
      </c>
      <c r="J18" s="163">
        <v>2018</v>
      </c>
      <c r="K18" s="169">
        <f>2024-Table1[[#This Row],[LATEST YEAR]]</f>
        <v>6</v>
      </c>
      <c r="L18" s="169">
        <f>VLOOKUP(Table1[[#This Row],[GRDS ITEM NO]],RETENTION1,4,0)</f>
        <v>1</v>
      </c>
      <c r="M18" s="169">
        <f>Table1[[#This Row],[RETENTION PERIOD]]-Table1[[#This Row],[NO. YEARS AS OF 2024]]</f>
        <v>-5</v>
      </c>
      <c r="N18" s="163"/>
      <c r="O18" s="145"/>
      <c r="P18" s="145" t="s">
        <v>20</v>
      </c>
    </row>
    <row r="19" spans="1:16" s="171" customFormat="1" x14ac:dyDescent="0.65">
      <c r="A19" s="162" t="s">
        <v>21</v>
      </c>
      <c r="B19" s="163">
        <v>5</v>
      </c>
      <c r="C19" s="164" t="str">
        <f t="shared" ref="C19:C24" si="3">_xlfn.CONCAT(A19,B19)</f>
        <v>H02-23-0025</v>
      </c>
      <c r="D19" s="165">
        <v>45212</v>
      </c>
      <c r="E19" s="162" t="s">
        <v>22</v>
      </c>
      <c r="F19" s="166" t="str">
        <f t="shared" si="0"/>
        <v>APPLICATIONS (RD,RO,EC MED, RF, MAT, SO, RR, SS, PLP, ACOP)</v>
      </c>
      <c r="G19" s="167" t="s">
        <v>23</v>
      </c>
      <c r="H19" s="167" t="s">
        <v>24</v>
      </c>
      <c r="I19" s="168" t="s">
        <v>29</v>
      </c>
      <c r="J19" s="163">
        <v>2021</v>
      </c>
      <c r="K19" s="169">
        <f>2024-Table1[[#This Row],[LATEST YEAR]]</f>
        <v>3</v>
      </c>
      <c r="L19" s="169">
        <f>VLOOKUP(Table1[[#This Row],[GRDS ITEM NO]],RETENTION1,4,0)</f>
        <v>1</v>
      </c>
      <c r="M19" s="169">
        <f>Table1[[#This Row],[RETENTION PERIOD]]-Table1[[#This Row],[NO. YEARS AS OF 2024]]</f>
        <v>-2</v>
      </c>
      <c r="N19" s="163"/>
      <c r="O19" s="145"/>
      <c r="P19" s="145" t="s">
        <v>20</v>
      </c>
    </row>
    <row r="20" spans="1:16" s="171" customFormat="1" x14ac:dyDescent="0.65">
      <c r="A20" s="162" t="s">
        <v>21</v>
      </c>
      <c r="B20" s="163">
        <v>6</v>
      </c>
      <c r="C20" s="164" t="str">
        <f t="shared" si="3"/>
        <v>H02-23-0026</v>
      </c>
      <c r="D20" s="165">
        <v>45212</v>
      </c>
      <c r="E20" s="162" t="s">
        <v>22</v>
      </c>
      <c r="F20" s="166" t="str">
        <f t="shared" si="0"/>
        <v>APPLICATIONS (RD,RO,EC MED, RF, MAT, SO, RR, SS, PLP, ACOP)</v>
      </c>
      <c r="G20" s="167" t="s">
        <v>23</v>
      </c>
      <c r="H20" s="167" t="s">
        <v>24</v>
      </c>
      <c r="I20" s="168" t="s">
        <v>30</v>
      </c>
      <c r="J20" s="163">
        <v>2020</v>
      </c>
      <c r="K20" s="169">
        <f>2024-Table1[[#This Row],[LATEST YEAR]]</f>
        <v>4</v>
      </c>
      <c r="L20" s="169">
        <f>VLOOKUP(Table1[[#This Row],[GRDS ITEM NO]],RETENTION1,4,0)</f>
        <v>1</v>
      </c>
      <c r="M20" s="169">
        <f>Table1[[#This Row],[RETENTION PERIOD]]-Table1[[#This Row],[NO. YEARS AS OF 2024]]</f>
        <v>-3</v>
      </c>
      <c r="N20" s="163"/>
      <c r="O20" s="145"/>
      <c r="P20" s="145" t="s">
        <v>20</v>
      </c>
    </row>
    <row r="21" spans="1:16" s="171" customFormat="1" x14ac:dyDescent="0.65">
      <c r="A21" s="162" t="s">
        <v>21</v>
      </c>
      <c r="B21" s="163">
        <v>7</v>
      </c>
      <c r="C21" s="164" t="str">
        <f t="shared" si="3"/>
        <v>H02-23-0027</v>
      </c>
      <c r="D21" s="165">
        <v>45212</v>
      </c>
      <c r="E21" s="162" t="s">
        <v>22</v>
      </c>
      <c r="F21" s="166" t="str">
        <f t="shared" si="0"/>
        <v>APPLICATIONS (RD,RO,EC MED, RF, MAT, SO, RR, SS, PLP, ACOP)</v>
      </c>
      <c r="G21" s="167" t="s">
        <v>23</v>
      </c>
      <c r="H21" s="167" t="s">
        <v>31</v>
      </c>
      <c r="I21" s="168" t="s">
        <v>32</v>
      </c>
      <c r="J21" s="163">
        <v>2020</v>
      </c>
      <c r="K21" s="169">
        <f>2024-Table1[[#This Row],[LATEST YEAR]]</f>
        <v>4</v>
      </c>
      <c r="L21" s="169">
        <f>VLOOKUP(Table1[[#This Row],[GRDS ITEM NO]],RETENTION1,4,0)</f>
        <v>1</v>
      </c>
      <c r="M21" s="169">
        <f>Table1[[#This Row],[RETENTION PERIOD]]-Table1[[#This Row],[NO. YEARS AS OF 2024]]</f>
        <v>-3</v>
      </c>
      <c r="N21" s="163"/>
      <c r="O21" s="145"/>
      <c r="P21" s="145" t="s">
        <v>20</v>
      </c>
    </row>
    <row r="22" spans="1:16" s="171" customFormat="1" x14ac:dyDescent="0.65">
      <c r="A22" s="162" t="s">
        <v>33</v>
      </c>
      <c r="B22" s="163">
        <v>1</v>
      </c>
      <c r="C22" s="164" t="str">
        <f t="shared" si="3"/>
        <v>H02-23-0031</v>
      </c>
      <c r="D22" s="165">
        <v>45222</v>
      </c>
      <c r="E22" s="162" t="s">
        <v>22</v>
      </c>
      <c r="F22" s="166" t="str">
        <f t="shared" si="0"/>
        <v>APPLICATIONS (RD,RO,EC MED, RF, MAT, SO, RR, SS, PLP, ACOP)</v>
      </c>
      <c r="G22" s="167" t="s">
        <v>34</v>
      </c>
      <c r="H22" s="167" t="s">
        <v>35</v>
      </c>
      <c r="I22" s="172" t="s">
        <v>36</v>
      </c>
      <c r="J22" s="163">
        <v>2019</v>
      </c>
      <c r="K22" s="169">
        <f>2024-Table1[[#This Row],[LATEST YEAR]]</f>
        <v>5</v>
      </c>
      <c r="L22" s="169">
        <f>VLOOKUP(Table1[[#This Row],[GRDS ITEM NO]],RETENTION1,4,0)</f>
        <v>1</v>
      </c>
      <c r="M22" s="169">
        <f>Table1[[#This Row],[RETENTION PERIOD]]-Table1[[#This Row],[NO. YEARS AS OF 2024]]</f>
        <v>-4</v>
      </c>
      <c r="N22" s="163"/>
      <c r="O22" s="145"/>
      <c r="P22" s="145" t="s">
        <v>20</v>
      </c>
    </row>
    <row r="23" spans="1:16" s="171" customFormat="1" x14ac:dyDescent="0.65">
      <c r="A23" s="162" t="s">
        <v>33</v>
      </c>
      <c r="B23" s="163">
        <v>2</v>
      </c>
      <c r="C23" s="164" t="str">
        <f t="shared" si="3"/>
        <v>H02-23-0032</v>
      </c>
      <c r="D23" s="165">
        <f t="shared" ref="D23:E27" si="4">D22</f>
        <v>45222</v>
      </c>
      <c r="E23" s="162" t="str">
        <f t="shared" si="4"/>
        <v>SSSRDS 9</v>
      </c>
      <c r="F23" s="166" t="str">
        <f t="shared" si="0"/>
        <v>APPLICATIONS (RD,RO,EC MED, RF, MAT, SO, RR, SS, PLP, ACOP)</v>
      </c>
      <c r="G23" s="167" t="str">
        <f>G22</f>
        <v>MEMBER SERVICES SECTION</v>
      </c>
      <c r="H23" s="167" t="s">
        <v>35</v>
      </c>
      <c r="I23" s="173" t="s">
        <v>37</v>
      </c>
      <c r="J23" s="163">
        <v>2019</v>
      </c>
      <c r="K23" s="169">
        <f>2024-Table1[[#This Row],[LATEST YEAR]]</f>
        <v>5</v>
      </c>
      <c r="L23" s="169">
        <f>VLOOKUP(Table1[[#This Row],[GRDS ITEM NO]],RETENTION1,4,0)</f>
        <v>1</v>
      </c>
      <c r="M23" s="169">
        <f>Table1[[#This Row],[RETENTION PERIOD]]-Table1[[#This Row],[NO. YEARS AS OF 2024]]</f>
        <v>-4</v>
      </c>
      <c r="N23" s="163"/>
      <c r="O23" s="145"/>
      <c r="P23" s="145" t="s">
        <v>20</v>
      </c>
    </row>
    <row r="24" spans="1:16" s="171" customFormat="1" x14ac:dyDescent="0.65">
      <c r="A24" s="162" t="s">
        <v>33</v>
      </c>
      <c r="B24" s="163">
        <v>3</v>
      </c>
      <c r="C24" s="164" t="str">
        <f t="shared" si="3"/>
        <v>H02-23-0033</v>
      </c>
      <c r="D24" s="165">
        <f t="shared" si="4"/>
        <v>45222</v>
      </c>
      <c r="E24" s="162" t="str">
        <f t="shared" si="4"/>
        <v>SSSRDS 9</v>
      </c>
      <c r="F24" s="166" t="str">
        <f t="shared" si="0"/>
        <v>APPLICATIONS (RD,RO,EC MED, RF, MAT, SO, RR, SS, PLP, ACOP)</v>
      </c>
      <c r="G24" s="167" t="str">
        <f>G23</f>
        <v>MEMBER SERVICES SECTION</v>
      </c>
      <c r="H24" s="167" t="s">
        <v>35</v>
      </c>
      <c r="I24" s="173" t="s">
        <v>38</v>
      </c>
      <c r="J24" s="163">
        <v>2019</v>
      </c>
      <c r="K24" s="169">
        <f>2024-Table1[[#This Row],[LATEST YEAR]]</f>
        <v>5</v>
      </c>
      <c r="L24" s="169">
        <f>VLOOKUP(Table1[[#This Row],[GRDS ITEM NO]],RETENTION1,4,0)</f>
        <v>1</v>
      </c>
      <c r="M24" s="169">
        <f>Table1[[#This Row],[RETENTION PERIOD]]-Table1[[#This Row],[NO. YEARS AS OF 2024]]</f>
        <v>-4</v>
      </c>
      <c r="N24" s="163"/>
      <c r="O24" s="145"/>
      <c r="P24" s="145" t="s">
        <v>20</v>
      </c>
    </row>
    <row r="25" spans="1:16" s="171" customFormat="1" x14ac:dyDescent="0.65">
      <c r="A25" s="162" t="s">
        <v>33</v>
      </c>
      <c r="B25" s="163">
        <v>4</v>
      </c>
      <c r="C25" s="164" t="str">
        <f t="shared" ref="C25:C26" si="5">_xlfn.CONCAT(A25,B25)</f>
        <v>H02-23-0034</v>
      </c>
      <c r="D25" s="165">
        <f t="shared" si="4"/>
        <v>45222</v>
      </c>
      <c r="E25" s="162" t="str">
        <f t="shared" si="4"/>
        <v>SSSRDS 9</v>
      </c>
      <c r="F25" s="166" t="str">
        <f t="shared" si="0"/>
        <v>APPLICATIONS (RD,RO,EC MED, RF, MAT, SO, RR, SS, PLP, ACOP)</v>
      </c>
      <c r="G25" s="167" t="str">
        <f>G24</f>
        <v>MEMBER SERVICES SECTION</v>
      </c>
      <c r="H25" s="167" t="s">
        <v>35</v>
      </c>
      <c r="I25" s="173" t="s">
        <v>39</v>
      </c>
      <c r="J25" s="163">
        <v>2016</v>
      </c>
      <c r="K25" s="169">
        <f>2024-Table1[[#This Row],[LATEST YEAR]]</f>
        <v>8</v>
      </c>
      <c r="L25" s="169">
        <f>VLOOKUP(Table1[[#This Row],[GRDS ITEM NO]],RETENTION1,4,0)</f>
        <v>1</v>
      </c>
      <c r="M25" s="169">
        <f>Table1[[#This Row],[RETENTION PERIOD]]-Table1[[#This Row],[NO. YEARS AS OF 2024]]</f>
        <v>-7</v>
      </c>
      <c r="N25" s="163"/>
      <c r="O25" s="145"/>
      <c r="P25" s="145" t="s">
        <v>20</v>
      </c>
    </row>
    <row r="26" spans="1:16" s="171" customFormat="1" x14ac:dyDescent="0.65">
      <c r="A26" s="162" t="s">
        <v>33</v>
      </c>
      <c r="B26" s="163">
        <v>5</v>
      </c>
      <c r="C26" s="164" t="str">
        <f t="shared" si="5"/>
        <v>H02-23-0035</v>
      </c>
      <c r="D26" s="165">
        <f t="shared" si="4"/>
        <v>45222</v>
      </c>
      <c r="E26" s="162" t="str">
        <f t="shared" si="4"/>
        <v>SSSRDS 9</v>
      </c>
      <c r="F26" s="166" t="str">
        <f t="shared" si="0"/>
        <v>APPLICATIONS (RD,RO,EC MED, RF, MAT, SO, RR, SS, PLP, ACOP)</v>
      </c>
      <c r="G26" s="167" t="str">
        <f>G25</f>
        <v>MEMBER SERVICES SECTION</v>
      </c>
      <c r="H26" s="167" t="s">
        <v>35</v>
      </c>
      <c r="I26" s="173" t="s">
        <v>40</v>
      </c>
      <c r="J26" s="163">
        <v>2019</v>
      </c>
      <c r="K26" s="169">
        <f>2024-Table1[[#This Row],[LATEST YEAR]]</f>
        <v>5</v>
      </c>
      <c r="L26" s="169">
        <f>VLOOKUP(Table1[[#This Row],[GRDS ITEM NO]],RETENTION1,4,0)</f>
        <v>1</v>
      </c>
      <c r="M26" s="169">
        <f>Table1[[#This Row],[RETENTION PERIOD]]-Table1[[#This Row],[NO. YEARS AS OF 2024]]</f>
        <v>-4</v>
      </c>
      <c r="N26" s="163"/>
      <c r="O26" s="145"/>
      <c r="P26" s="145" t="s">
        <v>20</v>
      </c>
    </row>
    <row r="27" spans="1:16" s="171" customFormat="1" x14ac:dyDescent="0.65">
      <c r="A27" s="162" t="s">
        <v>33</v>
      </c>
      <c r="B27" s="163">
        <v>6</v>
      </c>
      <c r="C27" s="164" t="str">
        <f>_xlfn.CONCAT(A27,B27)</f>
        <v>H02-23-0036</v>
      </c>
      <c r="D27" s="165">
        <f t="shared" si="4"/>
        <v>45222</v>
      </c>
      <c r="E27" s="162" t="str">
        <f t="shared" si="4"/>
        <v>SSSRDS 9</v>
      </c>
      <c r="F27" s="166" t="str">
        <f t="shared" si="0"/>
        <v>APPLICATIONS (RD,RO,EC MED, RF, MAT, SO, RR, SS, PLP, ACOP)</v>
      </c>
      <c r="G27" s="167" t="str">
        <f>G26</f>
        <v>MEMBER SERVICES SECTION</v>
      </c>
      <c r="H27" s="167" t="s">
        <v>35</v>
      </c>
      <c r="I27" s="173" t="s">
        <v>41</v>
      </c>
      <c r="J27" s="163">
        <v>2019</v>
      </c>
      <c r="K27" s="169">
        <f>2024-Table1[[#This Row],[LATEST YEAR]]</f>
        <v>5</v>
      </c>
      <c r="L27" s="169">
        <f>VLOOKUP(Table1[[#This Row],[GRDS ITEM NO]],RETENTION1,4,0)</f>
        <v>1</v>
      </c>
      <c r="M27" s="169">
        <f>Table1[[#This Row],[RETENTION PERIOD]]-Table1[[#This Row],[NO. YEARS AS OF 2024]]</f>
        <v>-4</v>
      </c>
      <c r="N27" s="163"/>
      <c r="O27" s="145"/>
      <c r="P27" s="145" t="s">
        <v>20</v>
      </c>
    </row>
    <row r="28" spans="1:16" s="171" customFormat="1" x14ac:dyDescent="0.65">
      <c r="A28" s="162" t="s">
        <v>33</v>
      </c>
      <c r="B28" s="163">
        <v>7</v>
      </c>
      <c r="C28" s="164" t="str">
        <f t="shared" ref="C28:C50" si="6">_xlfn.CONCAT(A28,B28)</f>
        <v>H02-23-0037</v>
      </c>
      <c r="D28" s="165">
        <f t="shared" ref="D28:D91" si="7">D27</f>
        <v>45222</v>
      </c>
      <c r="E28" s="162" t="str">
        <f t="shared" ref="E28:E80" si="8">E27</f>
        <v>SSSRDS 9</v>
      </c>
      <c r="F28" s="166" t="str">
        <f t="shared" si="0"/>
        <v>APPLICATIONS (RD,RO,EC MED, RF, MAT, SO, RR, SS, PLP, ACOP)</v>
      </c>
      <c r="G28" s="167" t="str">
        <f t="shared" ref="G28:G91" si="9">G27</f>
        <v>MEMBER SERVICES SECTION</v>
      </c>
      <c r="H28" s="167" t="s">
        <v>35</v>
      </c>
      <c r="I28" s="173" t="s">
        <v>42</v>
      </c>
      <c r="J28" s="163">
        <v>2019</v>
      </c>
      <c r="K28" s="169">
        <f>2024-Table1[[#This Row],[LATEST YEAR]]</f>
        <v>5</v>
      </c>
      <c r="L28" s="169">
        <f>VLOOKUP(Table1[[#This Row],[GRDS ITEM NO]],RETENTION1,4,0)</f>
        <v>1</v>
      </c>
      <c r="M28" s="169">
        <f>Table1[[#This Row],[RETENTION PERIOD]]-Table1[[#This Row],[NO. YEARS AS OF 2024]]</f>
        <v>-4</v>
      </c>
      <c r="N28" s="163"/>
      <c r="O28" s="145"/>
      <c r="P28" s="145" t="s">
        <v>20</v>
      </c>
    </row>
    <row r="29" spans="1:16" s="171" customFormat="1" x14ac:dyDescent="0.65">
      <c r="A29" s="162" t="s">
        <v>33</v>
      </c>
      <c r="B29" s="163">
        <v>8</v>
      </c>
      <c r="C29" s="164" t="str">
        <f t="shared" si="6"/>
        <v>H02-23-0038</v>
      </c>
      <c r="D29" s="165">
        <f t="shared" si="7"/>
        <v>45222</v>
      </c>
      <c r="E29" s="162" t="str">
        <f t="shared" si="8"/>
        <v>SSSRDS 9</v>
      </c>
      <c r="F29" s="166" t="str">
        <f t="shared" si="0"/>
        <v>APPLICATIONS (RD,RO,EC MED, RF, MAT, SO, RR, SS, PLP, ACOP)</v>
      </c>
      <c r="G29" s="167" t="str">
        <f t="shared" si="9"/>
        <v>MEMBER SERVICES SECTION</v>
      </c>
      <c r="H29" s="167" t="s">
        <v>35</v>
      </c>
      <c r="I29" s="173" t="s">
        <v>43</v>
      </c>
      <c r="J29" s="163">
        <v>2019</v>
      </c>
      <c r="K29" s="169">
        <f>2024-Table1[[#This Row],[LATEST YEAR]]</f>
        <v>5</v>
      </c>
      <c r="L29" s="169">
        <f>VLOOKUP(Table1[[#This Row],[GRDS ITEM NO]],RETENTION1,4,0)</f>
        <v>1</v>
      </c>
      <c r="M29" s="169">
        <f>Table1[[#This Row],[RETENTION PERIOD]]-Table1[[#This Row],[NO. YEARS AS OF 2024]]</f>
        <v>-4</v>
      </c>
      <c r="N29" s="163"/>
      <c r="O29" s="145"/>
      <c r="P29" s="145" t="s">
        <v>20</v>
      </c>
    </row>
    <row r="30" spans="1:16" s="171" customFormat="1" x14ac:dyDescent="0.65">
      <c r="A30" s="162" t="s">
        <v>33</v>
      </c>
      <c r="B30" s="163">
        <v>9</v>
      </c>
      <c r="C30" s="164" t="str">
        <f t="shared" si="6"/>
        <v>H02-23-0039</v>
      </c>
      <c r="D30" s="165">
        <f t="shared" si="7"/>
        <v>45222</v>
      </c>
      <c r="E30" s="162" t="str">
        <f t="shared" si="8"/>
        <v>SSSRDS 9</v>
      </c>
      <c r="F30" s="166" t="str">
        <f t="shared" si="0"/>
        <v>APPLICATIONS (RD,RO,EC MED, RF, MAT, SO, RR, SS, PLP, ACOP)</v>
      </c>
      <c r="G30" s="167" t="str">
        <f t="shared" si="9"/>
        <v>MEMBER SERVICES SECTION</v>
      </c>
      <c r="H30" s="167" t="s">
        <v>35</v>
      </c>
      <c r="I30" s="173" t="s">
        <v>44</v>
      </c>
      <c r="J30" s="163">
        <v>2019</v>
      </c>
      <c r="K30" s="169">
        <f>2024-Table1[[#This Row],[LATEST YEAR]]</f>
        <v>5</v>
      </c>
      <c r="L30" s="169">
        <f>VLOOKUP(Table1[[#This Row],[GRDS ITEM NO]],RETENTION1,4,0)</f>
        <v>1</v>
      </c>
      <c r="M30" s="169">
        <f>Table1[[#This Row],[RETENTION PERIOD]]-Table1[[#This Row],[NO. YEARS AS OF 2024]]</f>
        <v>-4</v>
      </c>
      <c r="N30" s="163"/>
      <c r="O30" s="145"/>
      <c r="P30" s="145" t="s">
        <v>20</v>
      </c>
    </row>
    <row r="31" spans="1:16" s="171" customFormat="1" x14ac:dyDescent="0.65">
      <c r="A31" s="162" t="s">
        <v>33</v>
      </c>
      <c r="B31" s="163">
        <v>10</v>
      </c>
      <c r="C31" s="164" t="str">
        <f t="shared" si="6"/>
        <v>H02-23-00310</v>
      </c>
      <c r="D31" s="165">
        <f t="shared" si="7"/>
        <v>45222</v>
      </c>
      <c r="E31" s="162" t="str">
        <f t="shared" si="8"/>
        <v>SSSRDS 9</v>
      </c>
      <c r="F31" s="166" t="str">
        <f t="shared" si="0"/>
        <v>APPLICATIONS (RD,RO,EC MED, RF, MAT, SO, RR, SS, PLP, ACOP)</v>
      </c>
      <c r="G31" s="167" t="str">
        <f t="shared" si="9"/>
        <v>MEMBER SERVICES SECTION</v>
      </c>
      <c r="H31" s="167" t="s">
        <v>35</v>
      </c>
      <c r="I31" s="173" t="s">
        <v>43</v>
      </c>
      <c r="J31" s="163">
        <v>2019</v>
      </c>
      <c r="K31" s="169">
        <f>2024-Table1[[#This Row],[LATEST YEAR]]</f>
        <v>5</v>
      </c>
      <c r="L31" s="169">
        <f>VLOOKUP(Table1[[#This Row],[GRDS ITEM NO]],RETENTION1,4,0)</f>
        <v>1</v>
      </c>
      <c r="M31" s="169">
        <f>Table1[[#This Row],[RETENTION PERIOD]]-Table1[[#This Row],[NO. YEARS AS OF 2024]]</f>
        <v>-4</v>
      </c>
      <c r="N31" s="163"/>
      <c r="O31" s="145"/>
      <c r="P31" s="145" t="s">
        <v>20</v>
      </c>
    </row>
    <row r="32" spans="1:16" s="171" customFormat="1" x14ac:dyDescent="0.65">
      <c r="A32" s="162" t="s">
        <v>33</v>
      </c>
      <c r="B32" s="163">
        <v>11</v>
      </c>
      <c r="C32" s="164" t="str">
        <f t="shared" si="6"/>
        <v>H02-23-00311</v>
      </c>
      <c r="D32" s="165">
        <f t="shared" si="7"/>
        <v>45222</v>
      </c>
      <c r="E32" s="162" t="str">
        <f t="shared" si="8"/>
        <v>SSSRDS 9</v>
      </c>
      <c r="F32" s="166" t="str">
        <f t="shared" si="0"/>
        <v>APPLICATIONS (RD,RO,EC MED, RF, MAT, SO, RR, SS, PLP, ACOP)</v>
      </c>
      <c r="G32" s="167" t="str">
        <f t="shared" si="9"/>
        <v>MEMBER SERVICES SECTION</v>
      </c>
      <c r="H32" s="167" t="s">
        <v>35</v>
      </c>
      <c r="I32" s="173" t="s">
        <v>45</v>
      </c>
      <c r="J32" s="163">
        <v>2019</v>
      </c>
      <c r="K32" s="169">
        <f>2024-Table1[[#This Row],[LATEST YEAR]]</f>
        <v>5</v>
      </c>
      <c r="L32" s="169">
        <f>VLOOKUP(Table1[[#This Row],[GRDS ITEM NO]],RETENTION1,4,0)</f>
        <v>1</v>
      </c>
      <c r="M32" s="169">
        <f>Table1[[#This Row],[RETENTION PERIOD]]-Table1[[#This Row],[NO. YEARS AS OF 2024]]</f>
        <v>-4</v>
      </c>
      <c r="N32" s="163"/>
      <c r="O32" s="145"/>
      <c r="P32" s="145" t="s">
        <v>20</v>
      </c>
    </row>
    <row r="33" spans="1:16" s="171" customFormat="1" x14ac:dyDescent="0.65">
      <c r="A33" s="162" t="s">
        <v>33</v>
      </c>
      <c r="B33" s="163">
        <v>12</v>
      </c>
      <c r="C33" s="164" t="str">
        <f t="shared" si="6"/>
        <v>H02-23-00312</v>
      </c>
      <c r="D33" s="165">
        <f t="shared" si="7"/>
        <v>45222</v>
      </c>
      <c r="E33" s="162" t="str">
        <f t="shared" si="8"/>
        <v>SSSRDS 9</v>
      </c>
      <c r="F33" s="166" t="str">
        <f t="shared" si="0"/>
        <v>APPLICATIONS (RD,RO,EC MED, RF, MAT, SO, RR, SS, PLP, ACOP)</v>
      </c>
      <c r="G33" s="167" t="str">
        <f t="shared" si="9"/>
        <v>MEMBER SERVICES SECTION</v>
      </c>
      <c r="H33" s="167" t="s">
        <v>35</v>
      </c>
      <c r="I33" s="173" t="s">
        <v>46</v>
      </c>
      <c r="J33" s="163">
        <v>2017</v>
      </c>
      <c r="K33" s="169">
        <f>2024-Table1[[#This Row],[LATEST YEAR]]</f>
        <v>7</v>
      </c>
      <c r="L33" s="169">
        <f>VLOOKUP(Table1[[#This Row],[GRDS ITEM NO]],RETENTION1,4,0)</f>
        <v>1</v>
      </c>
      <c r="M33" s="169">
        <f>Table1[[#This Row],[RETENTION PERIOD]]-Table1[[#This Row],[NO. YEARS AS OF 2024]]</f>
        <v>-6</v>
      </c>
      <c r="N33" s="163"/>
      <c r="O33" s="145"/>
      <c r="P33" s="145" t="s">
        <v>20</v>
      </c>
    </row>
    <row r="34" spans="1:16" s="171" customFormat="1" x14ac:dyDescent="0.65">
      <c r="A34" s="162" t="s">
        <v>33</v>
      </c>
      <c r="B34" s="163">
        <v>13</v>
      </c>
      <c r="C34" s="164" t="str">
        <f t="shared" si="6"/>
        <v>H02-23-00313</v>
      </c>
      <c r="D34" s="165">
        <f t="shared" si="7"/>
        <v>45222</v>
      </c>
      <c r="E34" s="162" t="str">
        <f t="shared" si="8"/>
        <v>SSSRDS 9</v>
      </c>
      <c r="F34" s="166" t="str">
        <f t="shared" ref="F34:F65" si="10">VLOOKUP(E34,DESCRIP,2,0)</f>
        <v>APPLICATIONS (RD,RO,EC MED, RF, MAT, SO, RR, SS, PLP, ACOP)</v>
      </c>
      <c r="G34" s="167" t="str">
        <f t="shared" si="9"/>
        <v>MEMBER SERVICES SECTION</v>
      </c>
      <c r="H34" s="167" t="s">
        <v>35</v>
      </c>
      <c r="I34" s="173" t="s">
        <v>47</v>
      </c>
      <c r="J34" s="163">
        <v>2017</v>
      </c>
      <c r="K34" s="169">
        <f>2024-Table1[[#This Row],[LATEST YEAR]]</f>
        <v>7</v>
      </c>
      <c r="L34" s="169">
        <f>VLOOKUP(Table1[[#This Row],[GRDS ITEM NO]],RETENTION1,4,0)</f>
        <v>1</v>
      </c>
      <c r="M34" s="169">
        <f>Table1[[#This Row],[RETENTION PERIOD]]-Table1[[#This Row],[NO. YEARS AS OF 2024]]</f>
        <v>-6</v>
      </c>
      <c r="N34" s="163"/>
      <c r="O34" s="145"/>
      <c r="P34" s="145" t="s">
        <v>20</v>
      </c>
    </row>
    <row r="35" spans="1:16" s="171" customFormat="1" x14ac:dyDescent="0.65">
      <c r="A35" s="162" t="s">
        <v>33</v>
      </c>
      <c r="B35" s="163">
        <v>14</v>
      </c>
      <c r="C35" s="164" t="str">
        <f t="shared" si="6"/>
        <v>H02-23-00314</v>
      </c>
      <c r="D35" s="165">
        <f t="shared" si="7"/>
        <v>45222</v>
      </c>
      <c r="E35" s="162" t="str">
        <f t="shared" si="8"/>
        <v>SSSRDS 9</v>
      </c>
      <c r="F35" s="166" t="str">
        <f t="shared" si="10"/>
        <v>APPLICATIONS (RD,RO,EC MED, RF, MAT, SO, RR, SS, PLP, ACOP)</v>
      </c>
      <c r="G35" s="167" t="str">
        <f t="shared" si="9"/>
        <v>MEMBER SERVICES SECTION</v>
      </c>
      <c r="H35" s="167" t="s">
        <v>35</v>
      </c>
      <c r="I35" s="173" t="s">
        <v>48</v>
      </c>
      <c r="J35" s="163">
        <v>2019</v>
      </c>
      <c r="K35" s="169">
        <f>2024-Table1[[#This Row],[LATEST YEAR]]</f>
        <v>5</v>
      </c>
      <c r="L35" s="169">
        <f>VLOOKUP(Table1[[#This Row],[GRDS ITEM NO]],RETENTION1,4,0)</f>
        <v>1</v>
      </c>
      <c r="M35" s="169">
        <f>Table1[[#This Row],[RETENTION PERIOD]]-Table1[[#This Row],[NO. YEARS AS OF 2024]]</f>
        <v>-4</v>
      </c>
      <c r="N35" s="163"/>
      <c r="O35" s="145"/>
      <c r="P35" s="145" t="s">
        <v>20</v>
      </c>
    </row>
    <row r="36" spans="1:16" s="171" customFormat="1" x14ac:dyDescent="0.65">
      <c r="A36" s="162" t="s">
        <v>33</v>
      </c>
      <c r="B36" s="163">
        <v>15</v>
      </c>
      <c r="C36" s="164" t="str">
        <f t="shared" si="6"/>
        <v>H02-23-00315</v>
      </c>
      <c r="D36" s="165">
        <f t="shared" si="7"/>
        <v>45222</v>
      </c>
      <c r="E36" s="162" t="str">
        <f t="shared" si="8"/>
        <v>SSSRDS 9</v>
      </c>
      <c r="F36" s="166" t="str">
        <f t="shared" si="10"/>
        <v>APPLICATIONS (RD,RO,EC MED, RF, MAT, SO, RR, SS, PLP, ACOP)</v>
      </c>
      <c r="G36" s="167" t="str">
        <f t="shared" si="9"/>
        <v>MEMBER SERVICES SECTION</v>
      </c>
      <c r="H36" s="167" t="s">
        <v>35</v>
      </c>
      <c r="I36" s="173" t="s">
        <v>49</v>
      </c>
      <c r="J36" s="163">
        <v>2015</v>
      </c>
      <c r="K36" s="169">
        <f>2024-Table1[[#This Row],[LATEST YEAR]]</f>
        <v>9</v>
      </c>
      <c r="L36" s="169">
        <f>VLOOKUP(Table1[[#This Row],[GRDS ITEM NO]],RETENTION1,4,0)</f>
        <v>1</v>
      </c>
      <c r="M36" s="169">
        <f>Table1[[#This Row],[RETENTION PERIOD]]-Table1[[#This Row],[NO. YEARS AS OF 2024]]</f>
        <v>-8</v>
      </c>
      <c r="N36" s="163"/>
      <c r="O36" s="145"/>
      <c r="P36" s="145" t="s">
        <v>20</v>
      </c>
    </row>
    <row r="37" spans="1:16" s="171" customFormat="1" x14ac:dyDescent="0.65">
      <c r="A37" s="162" t="s">
        <v>33</v>
      </c>
      <c r="B37" s="163">
        <v>16</v>
      </c>
      <c r="C37" s="164" t="str">
        <f t="shared" si="6"/>
        <v>H02-23-00316</v>
      </c>
      <c r="D37" s="165">
        <f t="shared" si="7"/>
        <v>45222</v>
      </c>
      <c r="E37" s="162" t="str">
        <f t="shared" si="8"/>
        <v>SSSRDS 9</v>
      </c>
      <c r="F37" s="166" t="str">
        <f t="shared" si="10"/>
        <v>APPLICATIONS (RD,RO,EC MED, RF, MAT, SO, RR, SS, PLP, ACOP)</v>
      </c>
      <c r="G37" s="167" t="str">
        <f t="shared" si="9"/>
        <v>MEMBER SERVICES SECTION</v>
      </c>
      <c r="H37" s="167" t="s">
        <v>35</v>
      </c>
      <c r="I37" s="174" t="s">
        <v>50</v>
      </c>
      <c r="J37" s="163">
        <v>2017</v>
      </c>
      <c r="K37" s="169">
        <f>2024-Table1[[#This Row],[LATEST YEAR]]</f>
        <v>7</v>
      </c>
      <c r="L37" s="169">
        <f>VLOOKUP(Table1[[#This Row],[GRDS ITEM NO]],RETENTION1,4,0)</f>
        <v>1</v>
      </c>
      <c r="M37" s="169">
        <f>Table1[[#This Row],[RETENTION PERIOD]]-Table1[[#This Row],[NO. YEARS AS OF 2024]]</f>
        <v>-6</v>
      </c>
      <c r="N37" s="163"/>
      <c r="O37" s="145"/>
      <c r="P37" s="145" t="s">
        <v>20</v>
      </c>
    </row>
    <row r="38" spans="1:16" s="171" customFormat="1" x14ac:dyDescent="0.65">
      <c r="A38" s="162" t="s">
        <v>33</v>
      </c>
      <c r="B38" s="163">
        <v>17</v>
      </c>
      <c r="C38" s="164" t="str">
        <f t="shared" si="6"/>
        <v>H02-23-00317</v>
      </c>
      <c r="D38" s="165">
        <f t="shared" si="7"/>
        <v>45222</v>
      </c>
      <c r="E38" s="162" t="str">
        <f t="shared" si="8"/>
        <v>SSSRDS 9</v>
      </c>
      <c r="F38" s="166" t="str">
        <f t="shared" si="10"/>
        <v>APPLICATIONS (RD,RO,EC MED, RF, MAT, SO, RR, SS, PLP, ACOP)</v>
      </c>
      <c r="G38" s="167" t="str">
        <f t="shared" si="9"/>
        <v>MEMBER SERVICES SECTION</v>
      </c>
      <c r="H38" s="167" t="s">
        <v>35</v>
      </c>
      <c r="I38" s="173" t="s">
        <v>51</v>
      </c>
      <c r="J38" s="163">
        <v>2017</v>
      </c>
      <c r="K38" s="169">
        <f>2024-Table1[[#This Row],[LATEST YEAR]]</f>
        <v>7</v>
      </c>
      <c r="L38" s="169">
        <f>VLOOKUP(Table1[[#This Row],[GRDS ITEM NO]],RETENTION1,4,0)</f>
        <v>1</v>
      </c>
      <c r="M38" s="169">
        <f>Table1[[#This Row],[RETENTION PERIOD]]-Table1[[#This Row],[NO. YEARS AS OF 2024]]</f>
        <v>-6</v>
      </c>
      <c r="N38" s="163"/>
      <c r="O38" s="145"/>
      <c r="P38" s="145" t="s">
        <v>20</v>
      </c>
    </row>
    <row r="39" spans="1:16" s="171" customFormat="1" x14ac:dyDescent="0.65">
      <c r="A39" s="162" t="s">
        <v>33</v>
      </c>
      <c r="B39" s="163">
        <v>18</v>
      </c>
      <c r="C39" s="164" t="str">
        <f t="shared" si="6"/>
        <v>H02-23-00318</v>
      </c>
      <c r="D39" s="165">
        <f t="shared" si="7"/>
        <v>45222</v>
      </c>
      <c r="E39" s="162" t="str">
        <f t="shared" si="8"/>
        <v>SSSRDS 9</v>
      </c>
      <c r="F39" s="166" t="str">
        <f t="shared" si="10"/>
        <v>APPLICATIONS (RD,RO,EC MED, RF, MAT, SO, RR, SS, PLP, ACOP)</v>
      </c>
      <c r="G39" s="167" t="str">
        <f t="shared" si="9"/>
        <v>MEMBER SERVICES SECTION</v>
      </c>
      <c r="H39" s="167" t="s">
        <v>35</v>
      </c>
      <c r="I39" s="173" t="s">
        <v>52</v>
      </c>
      <c r="J39" s="163">
        <v>2021</v>
      </c>
      <c r="K39" s="169">
        <f>2024-Table1[[#This Row],[LATEST YEAR]]</f>
        <v>3</v>
      </c>
      <c r="L39" s="169">
        <f>VLOOKUP(Table1[[#This Row],[GRDS ITEM NO]],RETENTION1,4,0)</f>
        <v>1</v>
      </c>
      <c r="M39" s="169">
        <f>Table1[[#This Row],[RETENTION PERIOD]]-Table1[[#This Row],[NO. YEARS AS OF 2024]]</f>
        <v>-2</v>
      </c>
      <c r="N39" s="163"/>
      <c r="O39" s="145"/>
      <c r="P39" s="145" t="s">
        <v>20</v>
      </c>
    </row>
    <row r="40" spans="1:16" s="171" customFormat="1" x14ac:dyDescent="0.65">
      <c r="A40" s="162" t="s">
        <v>33</v>
      </c>
      <c r="B40" s="163">
        <v>19</v>
      </c>
      <c r="C40" s="164" t="str">
        <f t="shared" si="6"/>
        <v>H02-23-00319</v>
      </c>
      <c r="D40" s="165">
        <f t="shared" si="7"/>
        <v>45222</v>
      </c>
      <c r="E40" s="162" t="str">
        <f t="shared" si="8"/>
        <v>SSSRDS 9</v>
      </c>
      <c r="F40" s="166" t="str">
        <f t="shared" si="10"/>
        <v>APPLICATIONS (RD,RO,EC MED, RF, MAT, SO, RR, SS, PLP, ACOP)</v>
      </c>
      <c r="G40" s="167" t="str">
        <f t="shared" si="9"/>
        <v>MEMBER SERVICES SECTION</v>
      </c>
      <c r="H40" s="167" t="s">
        <v>35</v>
      </c>
      <c r="I40" s="173" t="s">
        <v>53</v>
      </c>
      <c r="J40" s="163">
        <v>2021</v>
      </c>
      <c r="K40" s="169">
        <f>2024-Table1[[#This Row],[LATEST YEAR]]</f>
        <v>3</v>
      </c>
      <c r="L40" s="169">
        <f>VLOOKUP(Table1[[#This Row],[GRDS ITEM NO]],RETENTION1,4,0)</f>
        <v>1</v>
      </c>
      <c r="M40" s="169">
        <f>Table1[[#This Row],[RETENTION PERIOD]]-Table1[[#This Row],[NO. YEARS AS OF 2024]]</f>
        <v>-2</v>
      </c>
      <c r="N40" s="163"/>
      <c r="O40" s="145"/>
      <c r="P40" s="145" t="s">
        <v>20</v>
      </c>
    </row>
    <row r="41" spans="1:16" s="171" customFormat="1" x14ac:dyDescent="0.65">
      <c r="A41" s="162" t="s">
        <v>33</v>
      </c>
      <c r="B41" s="163">
        <v>20</v>
      </c>
      <c r="C41" s="164" t="str">
        <f t="shared" si="6"/>
        <v>H02-23-00320</v>
      </c>
      <c r="D41" s="165">
        <f t="shared" si="7"/>
        <v>45222</v>
      </c>
      <c r="E41" s="162" t="str">
        <f t="shared" si="8"/>
        <v>SSSRDS 9</v>
      </c>
      <c r="F41" s="166" t="str">
        <f t="shared" si="10"/>
        <v>APPLICATIONS (RD,RO,EC MED, RF, MAT, SO, RR, SS, PLP, ACOP)</v>
      </c>
      <c r="G41" s="167" t="str">
        <f t="shared" si="9"/>
        <v>MEMBER SERVICES SECTION</v>
      </c>
      <c r="H41" s="167" t="s">
        <v>35</v>
      </c>
      <c r="I41" s="173" t="s">
        <v>54</v>
      </c>
      <c r="J41" s="163">
        <v>2020</v>
      </c>
      <c r="K41" s="169">
        <f>2024-Table1[[#This Row],[LATEST YEAR]]</f>
        <v>4</v>
      </c>
      <c r="L41" s="169">
        <f>VLOOKUP(Table1[[#This Row],[GRDS ITEM NO]],RETENTION1,4,0)</f>
        <v>1</v>
      </c>
      <c r="M41" s="169">
        <f>Table1[[#This Row],[RETENTION PERIOD]]-Table1[[#This Row],[NO. YEARS AS OF 2024]]</f>
        <v>-3</v>
      </c>
      <c r="N41" s="163"/>
      <c r="O41" s="145"/>
      <c r="P41" s="145" t="s">
        <v>20</v>
      </c>
    </row>
    <row r="42" spans="1:16" s="171" customFormat="1" x14ac:dyDescent="0.65">
      <c r="A42" s="162" t="s">
        <v>33</v>
      </c>
      <c r="B42" s="163">
        <v>21</v>
      </c>
      <c r="C42" s="164" t="str">
        <f t="shared" si="6"/>
        <v>H02-23-00321</v>
      </c>
      <c r="D42" s="165">
        <f t="shared" si="7"/>
        <v>45222</v>
      </c>
      <c r="E42" s="162" t="str">
        <f t="shared" si="8"/>
        <v>SSSRDS 9</v>
      </c>
      <c r="F42" s="166" t="str">
        <f t="shared" si="10"/>
        <v>APPLICATIONS (RD,RO,EC MED, RF, MAT, SO, RR, SS, PLP, ACOP)</v>
      </c>
      <c r="G42" s="167" t="str">
        <f t="shared" si="9"/>
        <v>MEMBER SERVICES SECTION</v>
      </c>
      <c r="H42" s="167" t="s">
        <v>35</v>
      </c>
      <c r="I42" s="173" t="s">
        <v>55</v>
      </c>
      <c r="J42" s="163">
        <v>2021</v>
      </c>
      <c r="K42" s="169">
        <f>2024-Table1[[#This Row],[LATEST YEAR]]</f>
        <v>3</v>
      </c>
      <c r="L42" s="169">
        <f>VLOOKUP(Table1[[#This Row],[GRDS ITEM NO]],RETENTION1,4,0)</f>
        <v>1</v>
      </c>
      <c r="M42" s="169">
        <f>Table1[[#This Row],[RETENTION PERIOD]]-Table1[[#This Row],[NO. YEARS AS OF 2024]]</f>
        <v>-2</v>
      </c>
      <c r="N42" s="163"/>
      <c r="O42" s="145"/>
      <c r="P42" s="145" t="s">
        <v>20</v>
      </c>
    </row>
    <row r="43" spans="1:16" s="171" customFormat="1" x14ac:dyDescent="0.65">
      <c r="A43" s="162" t="s">
        <v>33</v>
      </c>
      <c r="B43" s="163">
        <v>22</v>
      </c>
      <c r="C43" s="164" t="str">
        <f t="shared" si="6"/>
        <v>H02-23-00322</v>
      </c>
      <c r="D43" s="165">
        <f t="shared" si="7"/>
        <v>45222</v>
      </c>
      <c r="E43" s="162" t="str">
        <f t="shared" si="8"/>
        <v>SSSRDS 9</v>
      </c>
      <c r="F43" s="166" t="str">
        <f t="shared" si="10"/>
        <v>APPLICATIONS (RD,RO,EC MED, RF, MAT, SO, RR, SS, PLP, ACOP)</v>
      </c>
      <c r="G43" s="167" t="str">
        <f t="shared" si="9"/>
        <v>MEMBER SERVICES SECTION</v>
      </c>
      <c r="H43" s="167" t="s">
        <v>35</v>
      </c>
      <c r="I43" s="173" t="s">
        <v>56</v>
      </c>
      <c r="J43" s="163">
        <v>2020</v>
      </c>
      <c r="K43" s="169">
        <f>2024-Table1[[#This Row],[LATEST YEAR]]</f>
        <v>4</v>
      </c>
      <c r="L43" s="169">
        <f>VLOOKUP(Table1[[#This Row],[GRDS ITEM NO]],RETENTION1,4,0)</f>
        <v>1</v>
      </c>
      <c r="M43" s="169">
        <f>Table1[[#This Row],[RETENTION PERIOD]]-Table1[[#This Row],[NO. YEARS AS OF 2024]]</f>
        <v>-3</v>
      </c>
      <c r="N43" s="163"/>
      <c r="O43" s="145"/>
      <c r="P43" s="145" t="s">
        <v>20</v>
      </c>
    </row>
    <row r="44" spans="1:16" s="171" customFormat="1" x14ac:dyDescent="0.65">
      <c r="A44" s="162" t="s">
        <v>33</v>
      </c>
      <c r="B44" s="163">
        <v>23</v>
      </c>
      <c r="C44" s="164" t="str">
        <f t="shared" si="6"/>
        <v>H02-23-00323</v>
      </c>
      <c r="D44" s="165">
        <f t="shared" si="7"/>
        <v>45222</v>
      </c>
      <c r="E44" s="162" t="str">
        <f t="shared" si="8"/>
        <v>SSSRDS 9</v>
      </c>
      <c r="F44" s="166" t="str">
        <f t="shared" si="10"/>
        <v>APPLICATIONS (RD,RO,EC MED, RF, MAT, SO, RR, SS, PLP, ACOP)</v>
      </c>
      <c r="G44" s="167" t="str">
        <f t="shared" si="9"/>
        <v>MEMBER SERVICES SECTION</v>
      </c>
      <c r="H44" s="167" t="s">
        <v>35</v>
      </c>
      <c r="I44" s="173" t="s">
        <v>57</v>
      </c>
      <c r="J44" s="163">
        <v>2020</v>
      </c>
      <c r="K44" s="169">
        <f>2024-Table1[[#This Row],[LATEST YEAR]]</f>
        <v>4</v>
      </c>
      <c r="L44" s="169">
        <f>VLOOKUP(Table1[[#This Row],[GRDS ITEM NO]],RETENTION1,4,0)</f>
        <v>1</v>
      </c>
      <c r="M44" s="169">
        <f>Table1[[#This Row],[RETENTION PERIOD]]-Table1[[#This Row],[NO. YEARS AS OF 2024]]</f>
        <v>-3</v>
      </c>
      <c r="N44" s="163"/>
      <c r="O44" s="145"/>
      <c r="P44" s="145" t="s">
        <v>20</v>
      </c>
    </row>
    <row r="45" spans="1:16" s="171" customFormat="1" x14ac:dyDescent="0.65">
      <c r="A45" s="162" t="s">
        <v>33</v>
      </c>
      <c r="B45" s="163">
        <v>24</v>
      </c>
      <c r="C45" s="164" t="str">
        <f t="shared" si="6"/>
        <v>H02-23-00324</v>
      </c>
      <c r="D45" s="165">
        <f t="shared" si="7"/>
        <v>45222</v>
      </c>
      <c r="E45" s="162" t="str">
        <f t="shared" si="8"/>
        <v>SSSRDS 9</v>
      </c>
      <c r="F45" s="166" t="str">
        <f t="shared" si="10"/>
        <v>APPLICATIONS (RD,RO,EC MED, RF, MAT, SO, RR, SS, PLP, ACOP)</v>
      </c>
      <c r="G45" s="167" t="str">
        <f t="shared" si="9"/>
        <v>MEMBER SERVICES SECTION</v>
      </c>
      <c r="H45" s="167" t="s">
        <v>35</v>
      </c>
      <c r="I45" s="173" t="s">
        <v>58</v>
      </c>
      <c r="J45" s="163">
        <v>2020</v>
      </c>
      <c r="K45" s="169">
        <f>2024-Table1[[#This Row],[LATEST YEAR]]</f>
        <v>4</v>
      </c>
      <c r="L45" s="169">
        <f>VLOOKUP(Table1[[#This Row],[GRDS ITEM NO]],RETENTION1,4,0)</f>
        <v>1</v>
      </c>
      <c r="M45" s="169">
        <f>Table1[[#This Row],[RETENTION PERIOD]]-Table1[[#This Row],[NO. YEARS AS OF 2024]]</f>
        <v>-3</v>
      </c>
      <c r="N45" s="163"/>
      <c r="O45" s="145"/>
      <c r="P45" s="145" t="s">
        <v>20</v>
      </c>
    </row>
    <row r="46" spans="1:16" s="171" customFormat="1" x14ac:dyDescent="0.65">
      <c r="A46" s="162" t="s">
        <v>33</v>
      </c>
      <c r="B46" s="163">
        <v>25</v>
      </c>
      <c r="C46" s="164" t="str">
        <f t="shared" si="6"/>
        <v>H02-23-00325</v>
      </c>
      <c r="D46" s="165">
        <f t="shared" si="7"/>
        <v>45222</v>
      </c>
      <c r="E46" s="162" t="str">
        <f t="shared" si="8"/>
        <v>SSSRDS 9</v>
      </c>
      <c r="F46" s="166" t="str">
        <f t="shared" si="10"/>
        <v>APPLICATIONS (RD,RO,EC MED, RF, MAT, SO, RR, SS, PLP, ACOP)</v>
      </c>
      <c r="G46" s="167" t="str">
        <f t="shared" si="9"/>
        <v>MEMBER SERVICES SECTION</v>
      </c>
      <c r="H46" s="167" t="s">
        <v>35</v>
      </c>
      <c r="I46" s="173" t="s">
        <v>59</v>
      </c>
      <c r="J46" s="163">
        <v>2021</v>
      </c>
      <c r="K46" s="169">
        <f>2024-Table1[[#This Row],[LATEST YEAR]]</f>
        <v>3</v>
      </c>
      <c r="L46" s="169">
        <f>VLOOKUP(Table1[[#This Row],[GRDS ITEM NO]],RETENTION1,4,0)</f>
        <v>1</v>
      </c>
      <c r="M46" s="169">
        <f>Table1[[#This Row],[RETENTION PERIOD]]-Table1[[#This Row],[NO. YEARS AS OF 2024]]</f>
        <v>-2</v>
      </c>
      <c r="N46" s="163"/>
      <c r="O46" s="145"/>
      <c r="P46" s="145" t="s">
        <v>20</v>
      </c>
    </row>
    <row r="47" spans="1:16" s="171" customFormat="1" x14ac:dyDescent="0.65">
      <c r="A47" s="162" t="s">
        <v>33</v>
      </c>
      <c r="B47" s="163">
        <v>26</v>
      </c>
      <c r="C47" s="164" t="str">
        <f t="shared" si="6"/>
        <v>H02-23-00326</v>
      </c>
      <c r="D47" s="165">
        <f t="shared" si="7"/>
        <v>45222</v>
      </c>
      <c r="E47" s="162" t="str">
        <f t="shared" si="8"/>
        <v>SSSRDS 9</v>
      </c>
      <c r="F47" s="166" t="str">
        <f t="shared" si="10"/>
        <v>APPLICATIONS (RD,RO,EC MED, RF, MAT, SO, RR, SS, PLP, ACOP)</v>
      </c>
      <c r="G47" s="167" t="str">
        <f t="shared" si="9"/>
        <v>MEMBER SERVICES SECTION</v>
      </c>
      <c r="H47" s="167" t="s">
        <v>35</v>
      </c>
      <c r="I47" s="173" t="s">
        <v>60</v>
      </c>
      <c r="J47" s="163">
        <v>2021</v>
      </c>
      <c r="K47" s="169">
        <f>2024-Table1[[#This Row],[LATEST YEAR]]</f>
        <v>3</v>
      </c>
      <c r="L47" s="169">
        <f>VLOOKUP(Table1[[#This Row],[GRDS ITEM NO]],RETENTION1,4,0)</f>
        <v>1</v>
      </c>
      <c r="M47" s="169">
        <f>Table1[[#This Row],[RETENTION PERIOD]]-Table1[[#This Row],[NO. YEARS AS OF 2024]]</f>
        <v>-2</v>
      </c>
      <c r="N47" s="163"/>
      <c r="O47" s="145"/>
      <c r="P47" s="145" t="s">
        <v>20</v>
      </c>
    </row>
    <row r="48" spans="1:16" s="171" customFormat="1" x14ac:dyDescent="0.65">
      <c r="A48" s="162" t="s">
        <v>33</v>
      </c>
      <c r="B48" s="163">
        <v>27</v>
      </c>
      <c r="C48" s="164" t="str">
        <f t="shared" si="6"/>
        <v>H02-23-00327</v>
      </c>
      <c r="D48" s="165">
        <f t="shared" si="7"/>
        <v>45222</v>
      </c>
      <c r="E48" s="162" t="str">
        <f t="shared" si="8"/>
        <v>SSSRDS 9</v>
      </c>
      <c r="F48" s="166" t="str">
        <f t="shared" si="10"/>
        <v>APPLICATIONS (RD,RO,EC MED, RF, MAT, SO, RR, SS, PLP, ACOP)</v>
      </c>
      <c r="G48" s="167" t="str">
        <f t="shared" si="9"/>
        <v>MEMBER SERVICES SECTION</v>
      </c>
      <c r="H48" s="167" t="s">
        <v>35</v>
      </c>
      <c r="I48" s="173" t="s">
        <v>61</v>
      </c>
      <c r="J48" s="163">
        <v>2022</v>
      </c>
      <c r="K48" s="169">
        <f>2024-Table1[[#This Row],[LATEST YEAR]]</f>
        <v>2</v>
      </c>
      <c r="L48" s="169">
        <f>VLOOKUP(Table1[[#This Row],[GRDS ITEM NO]],RETENTION1,4,0)</f>
        <v>1</v>
      </c>
      <c r="M48" s="169">
        <f>Table1[[#This Row],[RETENTION PERIOD]]-Table1[[#This Row],[NO. YEARS AS OF 2024]]</f>
        <v>-1</v>
      </c>
      <c r="N48" s="163"/>
      <c r="O48" s="145"/>
      <c r="P48" s="145" t="s">
        <v>20</v>
      </c>
    </row>
    <row r="49" spans="1:16" s="171" customFormat="1" x14ac:dyDescent="0.65">
      <c r="A49" s="162" t="s">
        <v>33</v>
      </c>
      <c r="B49" s="163">
        <v>28</v>
      </c>
      <c r="C49" s="164" t="str">
        <f t="shared" si="6"/>
        <v>H02-23-00328</v>
      </c>
      <c r="D49" s="165">
        <f t="shared" si="7"/>
        <v>45222</v>
      </c>
      <c r="E49" s="162" t="str">
        <f t="shared" si="8"/>
        <v>SSSRDS 9</v>
      </c>
      <c r="F49" s="166" t="str">
        <f t="shared" si="10"/>
        <v>APPLICATIONS (RD,RO,EC MED, RF, MAT, SO, RR, SS, PLP, ACOP)</v>
      </c>
      <c r="G49" s="167" t="str">
        <f t="shared" si="9"/>
        <v>MEMBER SERVICES SECTION</v>
      </c>
      <c r="H49" s="167" t="s">
        <v>35</v>
      </c>
      <c r="I49" s="173" t="s">
        <v>62</v>
      </c>
      <c r="J49" s="163">
        <v>2022</v>
      </c>
      <c r="K49" s="169">
        <f>2024-Table1[[#This Row],[LATEST YEAR]]</f>
        <v>2</v>
      </c>
      <c r="L49" s="169">
        <f>VLOOKUP(Table1[[#This Row],[GRDS ITEM NO]],RETENTION1,4,0)</f>
        <v>1</v>
      </c>
      <c r="M49" s="169">
        <f>Table1[[#This Row],[RETENTION PERIOD]]-Table1[[#This Row],[NO. YEARS AS OF 2024]]</f>
        <v>-1</v>
      </c>
      <c r="N49" s="163"/>
      <c r="O49" s="145"/>
      <c r="P49" s="145" t="s">
        <v>20</v>
      </c>
    </row>
    <row r="50" spans="1:16" s="171" customFormat="1" x14ac:dyDescent="0.65">
      <c r="A50" s="162" t="s">
        <v>33</v>
      </c>
      <c r="B50" s="163">
        <v>29</v>
      </c>
      <c r="C50" s="164" t="str">
        <f t="shared" si="6"/>
        <v>H02-23-00329</v>
      </c>
      <c r="D50" s="165">
        <f t="shared" si="7"/>
        <v>45222</v>
      </c>
      <c r="E50" s="162" t="str">
        <f t="shared" si="8"/>
        <v>SSSRDS 9</v>
      </c>
      <c r="F50" s="166" t="str">
        <f t="shared" si="10"/>
        <v>APPLICATIONS (RD,RO,EC MED, RF, MAT, SO, RR, SS, PLP, ACOP)</v>
      </c>
      <c r="G50" s="167" t="str">
        <f t="shared" si="9"/>
        <v>MEMBER SERVICES SECTION</v>
      </c>
      <c r="H50" s="167" t="s">
        <v>35</v>
      </c>
      <c r="I50" s="173" t="s">
        <v>63</v>
      </c>
      <c r="J50" s="163">
        <v>2022</v>
      </c>
      <c r="K50" s="169">
        <f>2024-Table1[[#This Row],[LATEST YEAR]]</f>
        <v>2</v>
      </c>
      <c r="L50" s="169">
        <f>VLOOKUP(Table1[[#This Row],[GRDS ITEM NO]],RETENTION1,4,0)</f>
        <v>1</v>
      </c>
      <c r="M50" s="169">
        <f>Table1[[#This Row],[RETENTION PERIOD]]-Table1[[#This Row],[NO. YEARS AS OF 2024]]</f>
        <v>-1</v>
      </c>
      <c r="N50" s="163"/>
      <c r="O50" s="145"/>
      <c r="P50" s="145" t="s">
        <v>20</v>
      </c>
    </row>
    <row r="51" spans="1:16" s="171" customFormat="1" x14ac:dyDescent="0.65">
      <c r="A51" s="162" t="s">
        <v>33</v>
      </c>
      <c r="B51" s="163">
        <v>30</v>
      </c>
      <c r="C51" s="164" t="str">
        <f t="shared" ref="C51:C80" si="11">_xlfn.CONCAT(A51,B51)</f>
        <v>H02-23-00330</v>
      </c>
      <c r="D51" s="165">
        <f t="shared" si="7"/>
        <v>45222</v>
      </c>
      <c r="E51" s="162" t="str">
        <f t="shared" si="8"/>
        <v>SSSRDS 9</v>
      </c>
      <c r="F51" s="166" t="str">
        <f t="shared" si="10"/>
        <v>APPLICATIONS (RD,RO,EC MED, RF, MAT, SO, RR, SS, PLP, ACOP)</v>
      </c>
      <c r="G51" s="167" t="str">
        <f t="shared" si="9"/>
        <v>MEMBER SERVICES SECTION</v>
      </c>
      <c r="H51" s="167" t="s">
        <v>35</v>
      </c>
      <c r="I51" s="173" t="s">
        <v>64</v>
      </c>
      <c r="J51" s="163">
        <v>2021</v>
      </c>
      <c r="K51" s="169">
        <f>2024-Table1[[#This Row],[LATEST YEAR]]</f>
        <v>3</v>
      </c>
      <c r="L51" s="169">
        <f>VLOOKUP(Table1[[#This Row],[GRDS ITEM NO]],RETENTION1,4,0)</f>
        <v>1</v>
      </c>
      <c r="M51" s="169">
        <f>Table1[[#This Row],[RETENTION PERIOD]]-Table1[[#This Row],[NO. YEARS AS OF 2024]]</f>
        <v>-2</v>
      </c>
      <c r="N51" s="163"/>
      <c r="O51" s="145"/>
      <c r="P51" s="145" t="s">
        <v>20</v>
      </c>
    </row>
    <row r="52" spans="1:16" s="171" customFormat="1" x14ac:dyDescent="0.65">
      <c r="A52" s="162" t="s">
        <v>33</v>
      </c>
      <c r="B52" s="163">
        <v>31</v>
      </c>
      <c r="C52" s="164" t="str">
        <f t="shared" si="11"/>
        <v>H02-23-00331</v>
      </c>
      <c r="D52" s="165">
        <f t="shared" si="7"/>
        <v>45222</v>
      </c>
      <c r="E52" s="162" t="str">
        <f t="shared" si="8"/>
        <v>SSSRDS 9</v>
      </c>
      <c r="F52" s="166" t="str">
        <f t="shared" si="10"/>
        <v>APPLICATIONS (RD,RO,EC MED, RF, MAT, SO, RR, SS, PLP, ACOP)</v>
      </c>
      <c r="G52" s="167" t="str">
        <f t="shared" si="9"/>
        <v>MEMBER SERVICES SECTION</v>
      </c>
      <c r="H52" s="167" t="s">
        <v>35</v>
      </c>
      <c r="I52" s="173" t="s">
        <v>65</v>
      </c>
      <c r="J52" s="163">
        <v>2021</v>
      </c>
      <c r="K52" s="169">
        <f>2024-Table1[[#This Row],[LATEST YEAR]]</f>
        <v>3</v>
      </c>
      <c r="L52" s="169">
        <f>VLOOKUP(Table1[[#This Row],[GRDS ITEM NO]],RETENTION1,4,0)</f>
        <v>1</v>
      </c>
      <c r="M52" s="169">
        <f>Table1[[#This Row],[RETENTION PERIOD]]-Table1[[#This Row],[NO. YEARS AS OF 2024]]</f>
        <v>-2</v>
      </c>
      <c r="N52" s="163"/>
      <c r="O52" s="145"/>
      <c r="P52" s="145" t="s">
        <v>20</v>
      </c>
    </row>
    <row r="53" spans="1:16" s="171" customFormat="1" x14ac:dyDescent="0.65">
      <c r="A53" s="162" t="s">
        <v>33</v>
      </c>
      <c r="B53" s="163">
        <v>32</v>
      </c>
      <c r="C53" s="164" t="str">
        <f t="shared" si="11"/>
        <v>H02-23-00332</v>
      </c>
      <c r="D53" s="165">
        <f t="shared" si="7"/>
        <v>45222</v>
      </c>
      <c r="E53" s="162" t="str">
        <f t="shared" si="8"/>
        <v>SSSRDS 9</v>
      </c>
      <c r="F53" s="166" t="str">
        <f t="shared" si="10"/>
        <v>APPLICATIONS (RD,RO,EC MED, RF, MAT, SO, RR, SS, PLP, ACOP)</v>
      </c>
      <c r="G53" s="167" t="str">
        <f t="shared" si="9"/>
        <v>MEMBER SERVICES SECTION</v>
      </c>
      <c r="H53" s="167" t="s">
        <v>35</v>
      </c>
      <c r="I53" s="173" t="s">
        <v>66</v>
      </c>
      <c r="J53" s="163">
        <v>2022</v>
      </c>
      <c r="K53" s="169">
        <f>2024-Table1[[#This Row],[LATEST YEAR]]</f>
        <v>2</v>
      </c>
      <c r="L53" s="169">
        <f>VLOOKUP(Table1[[#This Row],[GRDS ITEM NO]],RETENTION1,4,0)</f>
        <v>1</v>
      </c>
      <c r="M53" s="169">
        <f>Table1[[#This Row],[RETENTION PERIOD]]-Table1[[#This Row],[NO. YEARS AS OF 2024]]</f>
        <v>-1</v>
      </c>
      <c r="N53" s="163"/>
      <c r="O53" s="145"/>
      <c r="P53" s="145" t="s">
        <v>20</v>
      </c>
    </row>
    <row r="54" spans="1:16" s="171" customFormat="1" x14ac:dyDescent="0.65">
      <c r="A54" s="162" t="s">
        <v>33</v>
      </c>
      <c r="B54" s="163">
        <v>33</v>
      </c>
      <c r="C54" s="164" t="str">
        <f t="shared" si="11"/>
        <v>H02-23-00333</v>
      </c>
      <c r="D54" s="165">
        <f t="shared" si="7"/>
        <v>45222</v>
      </c>
      <c r="E54" s="162" t="str">
        <f t="shared" si="8"/>
        <v>SSSRDS 9</v>
      </c>
      <c r="F54" s="166" t="str">
        <f t="shared" si="10"/>
        <v>APPLICATIONS (RD,RO,EC MED, RF, MAT, SO, RR, SS, PLP, ACOP)</v>
      </c>
      <c r="G54" s="167" t="str">
        <f t="shared" si="9"/>
        <v>MEMBER SERVICES SECTION</v>
      </c>
      <c r="H54" s="167" t="s">
        <v>35</v>
      </c>
      <c r="I54" s="173" t="s">
        <v>67</v>
      </c>
      <c r="J54" s="163">
        <v>2022</v>
      </c>
      <c r="K54" s="169">
        <f>2024-Table1[[#This Row],[LATEST YEAR]]</f>
        <v>2</v>
      </c>
      <c r="L54" s="169">
        <f>VLOOKUP(Table1[[#This Row],[GRDS ITEM NO]],RETENTION1,4,0)</f>
        <v>1</v>
      </c>
      <c r="M54" s="169">
        <f>Table1[[#This Row],[RETENTION PERIOD]]-Table1[[#This Row],[NO. YEARS AS OF 2024]]</f>
        <v>-1</v>
      </c>
      <c r="N54" s="163"/>
      <c r="O54" s="145"/>
      <c r="P54" s="145" t="s">
        <v>20</v>
      </c>
    </row>
    <row r="55" spans="1:16" s="171" customFormat="1" x14ac:dyDescent="0.65">
      <c r="A55" s="162" t="s">
        <v>33</v>
      </c>
      <c r="B55" s="163">
        <v>34</v>
      </c>
      <c r="C55" s="164" t="str">
        <f t="shared" si="11"/>
        <v>H02-23-00334</v>
      </c>
      <c r="D55" s="165">
        <f t="shared" si="7"/>
        <v>45222</v>
      </c>
      <c r="E55" s="162" t="str">
        <f t="shared" si="8"/>
        <v>SSSRDS 9</v>
      </c>
      <c r="F55" s="166" t="str">
        <f t="shared" si="10"/>
        <v>APPLICATIONS (RD,RO,EC MED, RF, MAT, SO, RR, SS, PLP, ACOP)</v>
      </c>
      <c r="G55" s="167" t="str">
        <f t="shared" si="9"/>
        <v>MEMBER SERVICES SECTION</v>
      </c>
      <c r="H55" s="167" t="s">
        <v>35</v>
      </c>
      <c r="I55" s="173" t="s">
        <v>68</v>
      </c>
      <c r="J55" s="163">
        <v>2016</v>
      </c>
      <c r="K55" s="169">
        <f>2024-Table1[[#This Row],[LATEST YEAR]]</f>
        <v>8</v>
      </c>
      <c r="L55" s="169">
        <f>VLOOKUP(Table1[[#This Row],[GRDS ITEM NO]],RETENTION1,4,0)</f>
        <v>1</v>
      </c>
      <c r="M55" s="169">
        <f>Table1[[#This Row],[RETENTION PERIOD]]-Table1[[#This Row],[NO. YEARS AS OF 2024]]</f>
        <v>-7</v>
      </c>
      <c r="N55" s="163"/>
      <c r="O55" s="145"/>
      <c r="P55" s="145" t="s">
        <v>20</v>
      </c>
    </row>
    <row r="56" spans="1:16" s="171" customFormat="1" x14ac:dyDescent="0.65">
      <c r="A56" s="162" t="s">
        <v>33</v>
      </c>
      <c r="B56" s="163">
        <v>35</v>
      </c>
      <c r="C56" s="164" t="str">
        <f t="shared" si="11"/>
        <v>H02-23-00335</v>
      </c>
      <c r="D56" s="165">
        <f t="shared" si="7"/>
        <v>45222</v>
      </c>
      <c r="E56" s="162" t="str">
        <f t="shared" si="8"/>
        <v>SSSRDS 9</v>
      </c>
      <c r="F56" s="166" t="str">
        <f t="shared" si="10"/>
        <v>APPLICATIONS (RD,RO,EC MED, RF, MAT, SO, RR, SS, PLP, ACOP)</v>
      </c>
      <c r="G56" s="167" t="str">
        <f t="shared" si="9"/>
        <v>MEMBER SERVICES SECTION</v>
      </c>
      <c r="H56" s="167" t="s">
        <v>35</v>
      </c>
      <c r="I56" s="173" t="s">
        <v>69</v>
      </c>
      <c r="J56" s="163">
        <v>2019</v>
      </c>
      <c r="K56" s="169">
        <f>2024-Table1[[#This Row],[LATEST YEAR]]</f>
        <v>5</v>
      </c>
      <c r="L56" s="169">
        <f>VLOOKUP(Table1[[#This Row],[GRDS ITEM NO]],RETENTION1,4,0)</f>
        <v>1</v>
      </c>
      <c r="M56" s="169">
        <f>Table1[[#This Row],[RETENTION PERIOD]]-Table1[[#This Row],[NO. YEARS AS OF 2024]]</f>
        <v>-4</v>
      </c>
      <c r="N56" s="163"/>
      <c r="O56" s="145"/>
      <c r="P56" s="145" t="s">
        <v>20</v>
      </c>
    </row>
    <row r="57" spans="1:16" s="171" customFormat="1" x14ac:dyDescent="0.65">
      <c r="A57" s="162" t="s">
        <v>33</v>
      </c>
      <c r="B57" s="163">
        <v>36</v>
      </c>
      <c r="C57" s="164" t="str">
        <f t="shared" si="11"/>
        <v>H02-23-00336</v>
      </c>
      <c r="D57" s="165">
        <f t="shared" si="7"/>
        <v>45222</v>
      </c>
      <c r="E57" s="162" t="str">
        <f t="shared" si="8"/>
        <v>SSSRDS 9</v>
      </c>
      <c r="F57" s="166" t="str">
        <f t="shared" si="10"/>
        <v>APPLICATIONS (RD,RO,EC MED, RF, MAT, SO, RR, SS, PLP, ACOP)</v>
      </c>
      <c r="G57" s="167" t="str">
        <f t="shared" si="9"/>
        <v>MEMBER SERVICES SECTION</v>
      </c>
      <c r="H57" s="167" t="s">
        <v>35</v>
      </c>
      <c r="I57" s="168" t="s">
        <v>70</v>
      </c>
      <c r="J57" s="163">
        <v>2017</v>
      </c>
      <c r="K57" s="169">
        <f>2024-Table1[[#This Row],[LATEST YEAR]]</f>
        <v>7</v>
      </c>
      <c r="L57" s="169">
        <f>VLOOKUP(Table1[[#This Row],[GRDS ITEM NO]],RETENTION1,4,0)</f>
        <v>1</v>
      </c>
      <c r="M57" s="169">
        <f>Table1[[#This Row],[RETENTION PERIOD]]-Table1[[#This Row],[NO. YEARS AS OF 2024]]</f>
        <v>-6</v>
      </c>
      <c r="N57" s="163"/>
      <c r="O57" s="145"/>
      <c r="P57" s="145" t="s">
        <v>20</v>
      </c>
    </row>
    <row r="58" spans="1:16" s="171" customFormat="1" x14ac:dyDescent="0.65">
      <c r="A58" s="162" t="s">
        <v>33</v>
      </c>
      <c r="B58" s="163">
        <v>37</v>
      </c>
      <c r="C58" s="164" t="str">
        <f t="shared" si="11"/>
        <v>H02-23-00337</v>
      </c>
      <c r="D58" s="165">
        <f t="shared" si="7"/>
        <v>45222</v>
      </c>
      <c r="E58" s="162" t="str">
        <f t="shared" si="8"/>
        <v>SSSRDS 9</v>
      </c>
      <c r="F58" s="166" t="str">
        <f t="shared" si="10"/>
        <v>APPLICATIONS (RD,RO,EC MED, RF, MAT, SO, RR, SS, PLP, ACOP)</v>
      </c>
      <c r="G58" s="167" t="str">
        <f t="shared" si="9"/>
        <v>MEMBER SERVICES SECTION</v>
      </c>
      <c r="H58" s="167" t="s">
        <v>35</v>
      </c>
      <c r="I58" s="173" t="s">
        <v>71</v>
      </c>
      <c r="J58" s="163">
        <v>2017</v>
      </c>
      <c r="K58" s="169">
        <f>2024-Table1[[#This Row],[LATEST YEAR]]</f>
        <v>7</v>
      </c>
      <c r="L58" s="169">
        <f>VLOOKUP(Table1[[#This Row],[GRDS ITEM NO]],RETENTION1,4,0)</f>
        <v>1</v>
      </c>
      <c r="M58" s="169">
        <f>Table1[[#This Row],[RETENTION PERIOD]]-Table1[[#This Row],[NO. YEARS AS OF 2024]]</f>
        <v>-6</v>
      </c>
      <c r="N58" s="163"/>
      <c r="O58" s="145"/>
      <c r="P58" s="145" t="s">
        <v>20</v>
      </c>
    </row>
    <row r="59" spans="1:16" s="171" customFormat="1" x14ac:dyDescent="0.65">
      <c r="A59" s="162" t="s">
        <v>33</v>
      </c>
      <c r="B59" s="163">
        <v>38</v>
      </c>
      <c r="C59" s="164" t="str">
        <f t="shared" si="11"/>
        <v>H02-23-00338</v>
      </c>
      <c r="D59" s="165">
        <f t="shared" si="7"/>
        <v>45222</v>
      </c>
      <c r="E59" s="162" t="str">
        <f t="shared" si="8"/>
        <v>SSSRDS 9</v>
      </c>
      <c r="F59" s="166" t="str">
        <f t="shared" si="10"/>
        <v>APPLICATIONS (RD,RO,EC MED, RF, MAT, SO, RR, SS, PLP, ACOP)</v>
      </c>
      <c r="G59" s="167" t="str">
        <f t="shared" si="9"/>
        <v>MEMBER SERVICES SECTION</v>
      </c>
      <c r="H59" s="167" t="s">
        <v>35</v>
      </c>
      <c r="I59" s="173" t="s">
        <v>72</v>
      </c>
      <c r="J59" s="163">
        <v>2017</v>
      </c>
      <c r="K59" s="169">
        <f>2024-Table1[[#This Row],[LATEST YEAR]]</f>
        <v>7</v>
      </c>
      <c r="L59" s="169">
        <f>VLOOKUP(Table1[[#This Row],[GRDS ITEM NO]],RETENTION1,4,0)</f>
        <v>1</v>
      </c>
      <c r="M59" s="169">
        <f>Table1[[#This Row],[RETENTION PERIOD]]-Table1[[#This Row],[NO. YEARS AS OF 2024]]</f>
        <v>-6</v>
      </c>
      <c r="N59" s="163"/>
      <c r="O59" s="145"/>
      <c r="P59" s="145" t="s">
        <v>20</v>
      </c>
    </row>
    <row r="60" spans="1:16" s="171" customFormat="1" x14ac:dyDescent="0.65">
      <c r="A60" s="162" t="s">
        <v>33</v>
      </c>
      <c r="B60" s="163">
        <v>39</v>
      </c>
      <c r="C60" s="164" t="str">
        <f t="shared" si="11"/>
        <v>H02-23-00339</v>
      </c>
      <c r="D60" s="165">
        <f t="shared" si="7"/>
        <v>45222</v>
      </c>
      <c r="E60" s="162" t="str">
        <f t="shared" si="8"/>
        <v>SSSRDS 9</v>
      </c>
      <c r="F60" s="166" t="str">
        <f t="shared" si="10"/>
        <v>APPLICATIONS (RD,RO,EC MED, RF, MAT, SO, RR, SS, PLP, ACOP)</v>
      </c>
      <c r="G60" s="167" t="str">
        <f t="shared" si="9"/>
        <v>MEMBER SERVICES SECTION</v>
      </c>
      <c r="H60" s="167" t="s">
        <v>35</v>
      </c>
      <c r="I60" s="173" t="s">
        <v>73</v>
      </c>
      <c r="J60" s="163">
        <v>2017</v>
      </c>
      <c r="K60" s="169">
        <f>2024-Table1[[#This Row],[LATEST YEAR]]</f>
        <v>7</v>
      </c>
      <c r="L60" s="169">
        <f>VLOOKUP(Table1[[#This Row],[GRDS ITEM NO]],RETENTION1,4,0)</f>
        <v>1</v>
      </c>
      <c r="M60" s="169">
        <f>Table1[[#This Row],[RETENTION PERIOD]]-Table1[[#This Row],[NO. YEARS AS OF 2024]]</f>
        <v>-6</v>
      </c>
      <c r="N60" s="163"/>
      <c r="O60" s="145"/>
      <c r="P60" s="145" t="s">
        <v>20</v>
      </c>
    </row>
    <row r="61" spans="1:16" s="171" customFormat="1" x14ac:dyDescent="0.65">
      <c r="A61" s="162" t="s">
        <v>33</v>
      </c>
      <c r="B61" s="163">
        <v>40</v>
      </c>
      <c r="C61" s="164" t="str">
        <f t="shared" si="11"/>
        <v>H02-23-00340</v>
      </c>
      <c r="D61" s="165">
        <f t="shared" si="7"/>
        <v>45222</v>
      </c>
      <c r="E61" s="162" t="str">
        <f t="shared" si="8"/>
        <v>SSSRDS 9</v>
      </c>
      <c r="F61" s="166" t="str">
        <f t="shared" si="10"/>
        <v>APPLICATIONS (RD,RO,EC MED, RF, MAT, SO, RR, SS, PLP, ACOP)</v>
      </c>
      <c r="G61" s="167" t="str">
        <f t="shared" si="9"/>
        <v>MEMBER SERVICES SECTION</v>
      </c>
      <c r="H61" s="167" t="s">
        <v>35</v>
      </c>
      <c r="I61" s="173" t="s">
        <v>74</v>
      </c>
      <c r="J61" s="163">
        <v>2017</v>
      </c>
      <c r="K61" s="169">
        <f>2024-Table1[[#This Row],[LATEST YEAR]]</f>
        <v>7</v>
      </c>
      <c r="L61" s="169">
        <f>VLOOKUP(Table1[[#This Row],[GRDS ITEM NO]],RETENTION1,4,0)</f>
        <v>1</v>
      </c>
      <c r="M61" s="169">
        <f>Table1[[#This Row],[RETENTION PERIOD]]-Table1[[#This Row],[NO. YEARS AS OF 2024]]</f>
        <v>-6</v>
      </c>
      <c r="N61" s="163"/>
      <c r="O61" s="145"/>
      <c r="P61" s="145" t="s">
        <v>20</v>
      </c>
    </row>
    <row r="62" spans="1:16" s="171" customFormat="1" x14ac:dyDescent="0.65">
      <c r="A62" s="162" t="s">
        <v>33</v>
      </c>
      <c r="B62" s="163">
        <v>41</v>
      </c>
      <c r="C62" s="164" t="str">
        <f t="shared" si="11"/>
        <v>H02-23-00341</v>
      </c>
      <c r="D62" s="165">
        <f t="shared" si="7"/>
        <v>45222</v>
      </c>
      <c r="E62" s="162" t="str">
        <f t="shared" si="8"/>
        <v>SSSRDS 9</v>
      </c>
      <c r="F62" s="166" t="str">
        <f t="shared" si="10"/>
        <v>APPLICATIONS (RD,RO,EC MED, RF, MAT, SO, RR, SS, PLP, ACOP)</v>
      </c>
      <c r="G62" s="167" t="str">
        <f t="shared" si="9"/>
        <v>MEMBER SERVICES SECTION</v>
      </c>
      <c r="H62" s="167" t="s">
        <v>35</v>
      </c>
      <c r="I62" s="173" t="s">
        <v>75</v>
      </c>
      <c r="J62" s="163">
        <v>2017</v>
      </c>
      <c r="K62" s="169">
        <f>2024-Table1[[#This Row],[LATEST YEAR]]</f>
        <v>7</v>
      </c>
      <c r="L62" s="169">
        <f>VLOOKUP(Table1[[#This Row],[GRDS ITEM NO]],RETENTION1,4,0)</f>
        <v>1</v>
      </c>
      <c r="M62" s="169">
        <f>Table1[[#This Row],[RETENTION PERIOD]]-Table1[[#This Row],[NO. YEARS AS OF 2024]]</f>
        <v>-6</v>
      </c>
      <c r="N62" s="163"/>
      <c r="O62" s="145"/>
      <c r="P62" s="145" t="s">
        <v>20</v>
      </c>
    </row>
    <row r="63" spans="1:16" s="171" customFormat="1" x14ac:dyDescent="0.65">
      <c r="A63" s="162" t="s">
        <v>33</v>
      </c>
      <c r="B63" s="163">
        <v>42</v>
      </c>
      <c r="C63" s="164" t="str">
        <f t="shared" si="11"/>
        <v>H02-23-00342</v>
      </c>
      <c r="D63" s="165">
        <f t="shared" si="7"/>
        <v>45222</v>
      </c>
      <c r="E63" s="162" t="str">
        <f t="shared" si="8"/>
        <v>SSSRDS 9</v>
      </c>
      <c r="F63" s="166" t="str">
        <f t="shared" si="10"/>
        <v>APPLICATIONS (RD,RO,EC MED, RF, MAT, SO, RR, SS, PLP, ACOP)</v>
      </c>
      <c r="G63" s="167" t="str">
        <f t="shared" si="9"/>
        <v>MEMBER SERVICES SECTION</v>
      </c>
      <c r="H63" s="167" t="s">
        <v>35</v>
      </c>
      <c r="I63" s="173" t="s">
        <v>76</v>
      </c>
      <c r="J63" s="163">
        <v>2017</v>
      </c>
      <c r="K63" s="169">
        <f>2024-Table1[[#This Row],[LATEST YEAR]]</f>
        <v>7</v>
      </c>
      <c r="L63" s="169">
        <f>VLOOKUP(Table1[[#This Row],[GRDS ITEM NO]],RETENTION1,4,0)</f>
        <v>1</v>
      </c>
      <c r="M63" s="169">
        <f>Table1[[#This Row],[RETENTION PERIOD]]-Table1[[#This Row],[NO. YEARS AS OF 2024]]</f>
        <v>-6</v>
      </c>
      <c r="N63" s="163"/>
      <c r="O63" s="145"/>
      <c r="P63" s="145" t="s">
        <v>20</v>
      </c>
    </row>
    <row r="64" spans="1:16" s="171" customFormat="1" x14ac:dyDescent="0.65">
      <c r="A64" s="162" t="s">
        <v>33</v>
      </c>
      <c r="B64" s="163">
        <v>43</v>
      </c>
      <c r="C64" s="164" t="str">
        <f t="shared" si="11"/>
        <v>H02-23-00343</v>
      </c>
      <c r="D64" s="165">
        <f t="shared" si="7"/>
        <v>45222</v>
      </c>
      <c r="E64" s="162" t="str">
        <f t="shared" si="8"/>
        <v>SSSRDS 9</v>
      </c>
      <c r="F64" s="166" t="str">
        <f t="shared" si="10"/>
        <v>APPLICATIONS (RD,RO,EC MED, RF, MAT, SO, RR, SS, PLP, ACOP)</v>
      </c>
      <c r="G64" s="167" t="str">
        <f t="shared" si="9"/>
        <v>MEMBER SERVICES SECTION</v>
      </c>
      <c r="H64" s="167" t="s">
        <v>35</v>
      </c>
      <c r="I64" s="173" t="s">
        <v>77</v>
      </c>
      <c r="J64" s="163">
        <v>2017</v>
      </c>
      <c r="K64" s="169">
        <f>2024-Table1[[#This Row],[LATEST YEAR]]</f>
        <v>7</v>
      </c>
      <c r="L64" s="169">
        <f>VLOOKUP(Table1[[#This Row],[GRDS ITEM NO]],RETENTION1,4,0)</f>
        <v>1</v>
      </c>
      <c r="M64" s="169">
        <f>Table1[[#This Row],[RETENTION PERIOD]]-Table1[[#This Row],[NO. YEARS AS OF 2024]]</f>
        <v>-6</v>
      </c>
      <c r="N64" s="163"/>
      <c r="O64" s="145"/>
      <c r="P64" s="145" t="s">
        <v>20</v>
      </c>
    </row>
    <row r="65" spans="1:16" s="171" customFormat="1" x14ac:dyDescent="0.65">
      <c r="A65" s="162" t="s">
        <v>33</v>
      </c>
      <c r="B65" s="163">
        <v>44</v>
      </c>
      <c r="C65" s="164" t="str">
        <f t="shared" si="11"/>
        <v>H02-23-00344</v>
      </c>
      <c r="D65" s="165">
        <f t="shared" si="7"/>
        <v>45222</v>
      </c>
      <c r="E65" s="162" t="str">
        <f t="shared" si="8"/>
        <v>SSSRDS 9</v>
      </c>
      <c r="F65" s="166" t="str">
        <f t="shared" si="10"/>
        <v>APPLICATIONS (RD,RO,EC MED, RF, MAT, SO, RR, SS, PLP, ACOP)</v>
      </c>
      <c r="G65" s="167" t="str">
        <f t="shared" si="9"/>
        <v>MEMBER SERVICES SECTION</v>
      </c>
      <c r="H65" s="167" t="s">
        <v>35</v>
      </c>
      <c r="I65" s="168" t="s">
        <v>78</v>
      </c>
      <c r="J65" s="163">
        <v>2017</v>
      </c>
      <c r="K65" s="169">
        <f>2024-Table1[[#This Row],[LATEST YEAR]]</f>
        <v>7</v>
      </c>
      <c r="L65" s="169">
        <f>VLOOKUP(Table1[[#This Row],[GRDS ITEM NO]],RETENTION1,4,0)</f>
        <v>1</v>
      </c>
      <c r="M65" s="169">
        <f>Table1[[#This Row],[RETENTION PERIOD]]-Table1[[#This Row],[NO. YEARS AS OF 2024]]</f>
        <v>-6</v>
      </c>
      <c r="N65" s="163"/>
      <c r="O65" s="145"/>
      <c r="P65" s="145" t="s">
        <v>20</v>
      </c>
    </row>
    <row r="66" spans="1:16" s="171" customFormat="1" x14ac:dyDescent="0.65">
      <c r="A66" s="162" t="s">
        <v>33</v>
      </c>
      <c r="B66" s="163" t="s">
        <v>79</v>
      </c>
      <c r="C66" s="164" t="str">
        <f t="shared" si="11"/>
        <v>H02-23-00345-1</v>
      </c>
      <c r="D66" s="165">
        <f t="shared" si="7"/>
        <v>45222</v>
      </c>
      <c r="E66" s="162" t="s">
        <v>80</v>
      </c>
      <c r="F66" s="166" t="str">
        <f t="shared" ref="F66:F80" si="12">VLOOKUP(E66,DESCRIP,2,0)</f>
        <v>EMPLOYEE-MEMBER APPLICATIONS (E1, E4, NW1, OW1, RS1)</v>
      </c>
      <c r="G66" s="167" t="str">
        <f t="shared" si="9"/>
        <v>MEMBER SERVICES SECTION</v>
      </c>
      <c r="H66" s="167" t="s">
        <v>81</v>
      </c>
      <c r="I66" s="168" t="s">
        <v>82</v>
      </c>
      <c r="J66" s="163">
        <v>2020</v>
      </c>
      <c r="K66" s="169">
        <f>2024-Table1[[#This Row],[LATEST YEAR]]</f>
        <v>4</v>
      </c>
      <c r="L66" s="169">
        <f>VLOOKUP(Table1[[#This Row],[GRDS ITEM NO]],RETENTION1,4,0)</f>
        <v>1</v>
      </c>
      <c r="M66" s="169">
        <f>Table1[[#This Row],[RETENTION PERIOD]]-Table1[[#This Row],[NO. YEARS AS OF 2024]]</f>
        <v>-3</v>
      </c>
      <c r="N66" s="163"/>
      <c r="O66" s="145"/>
      <c r="P66" s="145" t="s">
        <v>20</v>
      </c>
    </row>
    <row r="67" spans="1:16" s="171" customFormat="1" x14ac:dyDescent="0.65">
      <c r="A67" s="162" t="s">
        <v>33</v>
      </c>
      <c r="B67" s="163" t="s">
        <v>83</v>
      </c>
      <c r="C67" s="164" t="str">
        <f t="shared" si="11"/>
        <v>H02-23-00346-2</v>
      </c>
      <c r="D67" s="165">
        <f t="shared" si="7"/>
        <v>45222</v>
      </c>
      <c r="E67" s="162" t="str">
        <f t="shared" si="8"/>
        <v>SSSRDS 49</v>
      </c>
      <c r="F67" s="166" t="str">
        <f t="shared" si="12"/>
        <v>EMPLOYEE-MEMBER APPLICATIONS (E1, E4, NW1, OW1, RS1)</v>
      </c>
      <c r="G67" s="167" t="str">
        <f t="shared" si="9"/>
        <v>MEMBER SERVICES SECTION</v>
      </c>
      <c r="H67" s="167" t="s">
        <v>84</v>
      </c>
      <c r="I67" s="173" t="s">
        <v>85</v>
      </c>
      <c r="J67" s="163">
        <v>2017</v>
      </c>
      <c r="K67" s="169">
        <f>2024-Table1[[#This Row],[LATEST YEAR]]</f>
        <v>7</v>
      </c>
      <c r="L67" s="169">
        <f>VLOOKUP(Table1[[#This Row],[GRDS ITEM NO]],RETENTION1,4,0)</f>
        <v>1</v>
      </c>
      <c r="M67" s="169">
        <f>Table1[[#This Row],[RETENTION PERIOD]]-Table1[[#This Row],[NO. YEARS AS OF 2024]]</f>
        <v>-6</v>
      </c>
      <c r="N67" s="163"/>
      <c r="O67" s="145"/>
      <c r="P67" s="145" t="s">
        <v>20</v>
      </c>
    </row>
    <row r="68" spans="1:16" s="171" customFormat="1" x14ac:dyDescent="0.65">
      <c r="A68" s="162" t="s">
        <v>33</v>
      </c>
      <c r="B68" s="163" t="s">
        <v>86</v>
      </c>
      <c r="C68" s="164" t="str">
        <f t="shared" si="11"/>
        <v>H02-23-00347-3</v>
      </c>
      <c r="D68" s="165">
        <f t="shared" si="7"/>
        <v>45222</v>
      </c>
      <c r="E68" s="162" t="str">
        <f t="shared" si="8"/>
        <v>SSSRDS 49</v>
      </c>
      <c r="F68" s="166" t="str">
        <f t="shared" si="12"/>
        <v>EMPLOYEE-MEMBER APPLICATIONS (E1, E4, NW1, OW1, RS1)</v>
      </c>
      <c r="G68" s="167" t="str">
        <f t="shared" si="9"/>
        <v>MEMBER SERVICES SECTION</v>
      </c>
      <c r="H68" s="167" t="s">
        <v>84</v>
      </c>
      <c r="I68" s="173" t="s">
        <v>87</v>
      </c>
      <c r="J68" s="163">
        <v>2017</v>
      </c>
      <c r="K68" s="169">
        <f>2024-Table1[[#This Row],[LATEST YEAR]]</f>
        <v>7</v>
      </c>
      <c r="L68" s="169">
        <f>VLOOKUP(Table1[[#This Row],[GRDS ITEM NO]],RETENTION1,4,0)</f>
        <v>1</v>
      </c>
      <c r="M68" s="169">
        <f>Table1[[#This Row],[RETENTION PERIOD]]-Table1[[#This Row],[NO. YEARS AS OF 2024]]</f>
        <v>-6</v>
      </c>
      <c r="N68" s="163"/>
      <c r="O68" s="145"/>
      <c r="P68" s="145" t="s">
        <v>20</v>
      </c>
    </row>
    <row r="69" spans="1:16" s="171" customFormat="1" x14ac:dyDescent="0.65">
      <c r="A69" s="162" t="s">
        <v>33</v>
      </c>
      <c r="B69" s="163" t="s">
        <v>88</v>
      </c>
      <c r="C69" s="164" t="str">
        <f t="shared" si="11"/>
        <v>H02-23-00348-4</v>
      </c>
      <c r="D69" s="165">
        <f t="shared" si="7"/>
        <v>45222</v>
      </c>
      <c r="E69" s="162" t="str">
        <f t="shared" si="8"/>
        <v>SSSRDS 49</v>
      </c>
      <c r="F69" s="166" t="str">
        <f t="shared" si="12"/>
        <v>EMPLOYEE-MEMBER APPLICATIONS (E1, E4, NW1, OW1, RS1)</v>
      </c>
      <c r="G69" s="167" t="str">
        <f t="shared" si="9"/>
        <v>MEMBER SERVICES SECTION</v>
      </c>
      <c r="H69" s="167" t="s">
        <v>89</v>
      </c>
      <c r="I69" s="168">
        <v>2021</v>
      </c>
      <c r="J69" s="163">
        <v>2021</v>
      </c>
      <c r="K69" s="169">
        <f>2024-Table1[[#This Row],[LATEST YEAR]]</f>
        <v>3</v>
      </c>
      <c r="L69" s="169">
        <f>VLOOKUP(Table1[[#This Row],[GRDS ITEM NO]],RETENTION1,4,0)</f>
        <v>1</v>
      </c>
      <c r="M69" s="169">
        <f>Table1[[#This Row],[RETENTION PERIOD]]-Table1[[#This Row],[NO. YEARS AS OF 2024]]</f>
        <v>-2</v>
      </c>
      <c r="N69" s="163"/>
      <c r="O69" s="145"/>
      <c r="P69" s="145" t="s">
        <v>20</v>
      </c>
    </row>
    <row r="70" spans="1:16" s="171" customFormat="1" x14ac:dyDescent="0.65">
      <c r="A70" s="162" t="s">
        <v>33</v>
      </c>
      <c r="B70" s="163" t="s">
        <v>90</v>
      </c>
      <c r="C70" s="164" t="str">
        <f t="shared" si="11"/>
        <v>H02-23-00349-5</v>
      </c>
      <c r="D70" s="165">
        <f t="shared" si="7"/>
        <v>45222</v>
      </c>
      <c r="E70" s="162" t="str">
        <f t="shared" si="8"/>
        <v>SSSRDS 49</v>
      </c>
      <c r="F70" s="166" t="str">
        <f t="shared" si="12"/>
        <v>EMPLOYEE-MEMBER APPLICATIONS (E1, E4, NW1, OW1, RS1)</v>
      </c>
      <c r="G70" s="167" t="str">
        <f t="shared" si="9"/>
        <v>MEMBER SERVICES SECTION</v>
      </c>
      <c r="H70" s="167" t="str">
        <f>H69</f>
        <v>PROCESSED E-4 (SIMPLE/ADDBEN)</v>
      </c>
      <c r="I70" s="168">
        <v>2016</v>
      </c>
      <c r="J70" s="163">
        <v>2016</v>
      </c>
      <c r="K70" s="169">
        <f>2024-Table1[[#This Row],[LATEST YEAR]]</f>
        <v>8</v>
      </c>
      <c r="L70" s="169">
        <f>VLOOKUP(Table1[[#This Row],[GRDS ITEM NO]],RETENTION1,4,0)</f>
        <v>1</v>
      </c>
      <c r="M70" s="169">
        <f>Table1[[#This Row],[RETENTION PERIOD]]-Table1[[#This Row],[NO. YEARS AS OF 2024]]</f>
        <v>-7</v>
      </c>
      <c r="N70" s="163"/>
      <c r="O70" s="145"/>
      <c r="P70" s="145" t="s">
        <v>20</v>
      </c>
    </row>
    <row r="71" spans="1:16" s="171" customFormat="1" x14ac:dyDescent="0.65">
      <c r="A71" s="162" t="s">
        <v>33</v>
      </c>
      <c r="B71" s="163" t="s">
        <v>91</v>
      </c>
      <c r="C71" s="164" t="str">
        <f t="shared" si="11"/>
        <v>H02-23-00350-6</v>
      </c>
      <c r="D71" s="165">
        <f t="shared" si="7"/>
        <v>45222</v>
      </c>
      <c r="E71" s="162" t="str">
        <f t="shared" si="8"/>
        <v>SSSRDS 49</v>
      </c>
      <c r="F71" s="166" t="str">
        <f t="shared" si="12"/>
        <v>EMPLOYEE-MEMBER APPLICATIONS (E1, E4, NW1, OW1, RS1)</v>
      </c>
      <c r="G71" s="167" t="str">
        <f t="shared" si="9"/>
        <v>MEMBER SERVICES SECTION</v>
      </c>
      <c r="H71" s="167" t="str">
        <f>H70</f>
        <v>PROCESSED E-4 (SIMPLE/ADDBEN)</v>
      </c>
      <c r="I71" s="168">
        <v>2019</v>
      </c>
      <c r="J71" s="163">
        <v>2019</v>
      </c>
      <c r="K71" s="169">
        <f>2024-Table1[[#This Row],[LATEST YEAR]]</f>
        <v>5</v>
      </c>
      <c r="L71" s="169">
        <f>VLOOKUP(Table1[[#This Row],[GRDS ITEM NO]],RETENTION1,4,0)</f>
        <v>1</v>
      </c>
      <c r="M71" s="169">
        <f>Table1[[#This Row],[RETENTION PERIOD]]-Table1[[#This Row],[NO. YEARS AS OF 2024]]</f>
        <v>-4</v>
      </c>
      <c r="N71" s="163"/>
      <c r="O71" s="145"/>
      <c r="P71" s="145" t="s">
        <v>20</v>
      </c>
    </row>
    <row r="72" spans="1:16" s="171" customFormat="1" x14ac:dyDescent="0.65">
      <c r="A72" s="162" t="s">
        <v>33</v>
      </c>
      <c r="B72" s="163" t="s">
        <v>92</v>
      </c>
      <c r="C72" s="164" t="str">
        <f t="shared" si="11"/>
        <v>H02-23-00351-7</v>
      </c>
      <c r="D72" s="165">
        <f t="shared" si="7"/>
        <v>45222</v>
      </c>
      <c r="E72" s="162" t="str">
        <f t="shared" si="8"/>
        <v>SSSRDS 49</v>
      </c>
      <c r="F72" s="166" t="str">
        <f t="shared" si="12"/>
        <v>EMPLOYEE-MEMBER APPLICATIONS (E1, E4, NW1, OW1, RS1)</v>
      </c>
      <c r="G72" s="167" t="str">
        <f t="shared" si="9"/>
        <v>MEMBER SERVICES SECTION</v>
      </c>
      <c r="H72" s="167" t="str">
        <f>H71</f>
        <v>PROCESSED E-4 (SIMPLE/ADDBEN)</v>
      </c>
      <c r="I72" s="168">
        <v>2021</v>
      </c>
      <c r="J72" s="163">
        <v>2021</v>
      </c>
      <c r="K72" s="169">
        <f>2024-Table1[[#This Row],[LATEST YEAR]]</f>
        <v>3</v>
      </c>
      <c r="L72" s="169">
        <f>VLOOKUP(Table1[[#This Row],[GRDS ITEM NO]],RETENTION1,4,0)</f>
        <v>1</v>
      </c>
      <c r="M72" s="169">
        <f>Table1[[#This Row],[RETENTION PERIOD]]-Table1[[#This Row],[NO. YEARS AS OF 2024]]</f>
        <v>-2</v>
      </c>
      <c r="N72" s="163"/>
      <c r="O72" s="145"/>
      <c r="P72" s="145" t="s">
        <v>20</v>
      </c>
    </row>
    <row r="73" spans="1:16" s="171" customFormat="1" x14ac:dyDescent="0.65">
      <c r="A73" s="162" t="s">
        <v>33</v>
      </c>
      <c r="B73" s="163" t="s">
        <v>93</v>
      </c>
      <c r="C73" s="164" t="str">
        <f t="shared" si="11"/>
        <v>H02-23-00352-8</v>
      </c>
      <c r="D73" s="165">
        <f t="shared" si="7"/>
        <v>45222</v>
      </c>
      <c r="E73" s="162" t="str">
        <f t="shared" si="8"/>
        <v>SSSRDS 49</v>
      </c>
      <c r="F73" s="166" t="str">
        <f t="shared" si="12"/>
        <v>EMPLOYEE-MEMBER APPLICATIONS (E1, E4, NW1, OW1, RS1)</v>
      </c>
      <c r="G73" s="167" t="str">
        <f t="shared" si="9"/>
        <v>MEMBER SERVICES SECTION</v>
      </c>
      <c r="H73" s="167" t="s">
        <v>94</v>
      </c>
      <c r="I73" s="168" t="s">
        <v>95</v>
      </c>
      <c r="J73" s="163">
        <v>2021</v>
      </c>
      <c r="K73" s="169">
        <f>2024-Table1[[#This Row],[LATEST YEAR]]</f>
        <v>3</v>
      </c>
      <c r="L73" s="169">
        <f>VLOOKUP(Table1[[#This Row],[GRDS ITEM NO]],RETENTION1,4,0)</f>
        <v>1</v>
      </c>
      <c r="M73" s="169">
        <f>Table1[[#This Row],[RETENTION PERIOD]]-Table1[[#This Row],[NO. YEARS AS OF 2024]]</f>
        <v>-2</v>
      </c>
      <c r="N73" s="163"/>
      <c r="O73" s="145"/>
      <c r="P73" s="145" t="s">
        <v>20</v>
      </c>
    </row>
    <row r="74" spans="1:16" s="171" customFormat="1" x14ac:dyDescent="0.65">
      <c r="A74" s="162" t="s">
        <v>33</v>
      </c>
      <c r="B74" s="163" t="s">
        <v>96</v>
      </c>
      <c r="C74" s="164" t="str">
        <f t="shared" si="11"/>
        <v>H02-23-00353-9</v>
      </c>
      <c r="D74" s="165">
        <f t="shared" si="7"/>
        <v>45222</v>
      </c>
      <c r="E74" s="162" t="str">
        <f t="shared" si="8"/>
        <v>SSSRDS 49</v>
      </c>
      <c r="F74" s="166" t="str">
        <f t="shared" si="12"/>
        <v>EMPLOYEE-MEMBER APPLICATIONS (E1, E4, NW1, OW1, RS1)</v>
      </c>
      <c r="G74" s="167" t="str">
        <f t="shared" si="9"/>
        <v>MEMBER SERVICES SECTION</v>
      </c>
      <c r="H74" s="167" t="s">
        <v>94</v>
      </c>
      <c r="I74" s="168">
        <v>2017</v>
      </c>
      <c r="J74" s="163">
        <v>2017</v>
      </c>
      <c r="K74" s="169">
        <f>2024-Table1[[#This Row],[LATEST YEAR]]</f>
        <v>7</v>
      </c>
      <c r="L74" s="169">
        <f>VLOOKUP(Table1[[#This Row],[GRDS ITEM NO]],RETENTION1,4,0)</f>
        <v>1</v>
      </c>
      <c r="M74" s="169">
        <f>Table1[[#This Row],[RETENTION PERIOD]]-Table1[[#This Row],[NO. YEARS AS OF 2024]]</f>
        <v>-6</v>
      </c>
      <c r="N74" s="163"/>
      <c r="O74" s="145"/>
      <c r="P74" s="145" t="s">
        <v>20</v>
      </c>
    </row>
    <row r="75" spans="1:16" s="231" customFormat="1" x14ac:dyDescent="0.65">
      <c r="A75" s="145" t="s">
        <v>33</v>
      </c>
      <c r="B75" s="145" t="s">
        <v>97</v>
      </c>
      <c r="C75" s="150" t="str">
        <f t="shared" si="11"/>
        <v>H02-23-00354-10</v>
      </c>
      <c r="D75" s="148">
        <f t="shared" si="7"/>
        <v>45222</v>
      </c>
      <c r="E75" s="145" t="str">
        <f t="shared" si="8"/>
        <v>SSSRDS 49</v>
      </c>
      <c r="F75" s="230" t="str">
        <f t="shared" si="12"/>
        <v>EMPLOYEE-MEMBER APPLICATIONS (E1, E4, NW1, OW1, RS1)</v>
      </c>
      <c r="G75" s="150" t="str">
        <f t="shared" si="9"/>
        <v>MEMBER SERVICES SECTION</v>
      </c>
      <c r="H75" s="150" t="str">
        <f>H72</f>
        <v>PROCESSED E-4 (SIMPLE/ADDBEN)</v>
      </c>
      <c r="I75" s="151">
        <v>2017</v>
      </c>
      <c r="J75" s="145">
        <v>2017</v>
      </c>
      <c r="K75" s="25">
        <f>2024-Table1[[#This Row],[LATEST YEAR]]</f>
        <v>7</v>
      </c>
      <c r="L75" s="25">
        <f>VLOOKUP(Table1[[#This Row],[GRDS ITEM NO]],RETENTION1,4,0)</f>
        <v>1</v>
      </c>
      <c r="M75" s="25">
        <f>Table1[[#This Row],[RETENTION PERIOD]]-Table1[[#This Row],[NO. YEARS AS OF 2024]]</f>
        <v>-6</v>
      </c>
      <c r="N75" s="145"/>
      <c r="O75" s="145"/>
      <c r="P75" s="232" t="s">
        <v>98</v>
      </c>
    </row>
    <row r="76" spans="1:16" s="171" customFormat="1" x14ac:dyDescent="0.65">
      <c r="A76" s="162" t="s">
        <v>33</v>
      </c>
      <c r="B76" s="163" t="s">
        <v>99</v>
      </c>
      <c r="C76" s="164" t="str">
        <f t="shared" si="11"/>
        <v>H02-23-00355-11</v>
      </c>
      <c r="D76" s="165">
        <f t="shared" si="7"/>
        <v>45222</v>
      </c>
      <c r="E76" s="162" t="str">
        <f t="shared" si="8"/>
        <v>SSSRDS 49</v>
      </c>
      <c r="F76" s="166" t="str">
        <f t="shared" si="12"/>
        <v>EMPLOYEE-MEMBER APPLICATIONS (E1, E4, NW1, OW1, RS1)</v>
      </c>
      <c r="G76" s="167" t="str">
        <f t="shared" si="9"/>
        <v>MEMBER SERVICES SECTION</v>
      </c>
      <c r="H76" s="167" t="str">
        <f>H75</f>
        <v>PROCESSED E-4 (SIMPLE/ADDBEN)</v>
      </c>
      <c r="I76" s="168">
        <v>2020</v>
      </c>
      <c r="J76" s="163">
        <v>2020</v>
      </c>
      <c r="K76" s="169">
        <f>2024-Table1[[#This Row],[LATEST YEAR]]</f>
        <v>4</v>
      </c>
      <c r="L76" s="169">
        <f>VLOOKUP(Table1[[#This Row],[GRDS ITEM NO]],RETENTION1,4,0)</f>
        <v>1</v>
      </c>
      <c r="M76" s="169">
        <f>Table1[[#This Row],[RETENTION PERIOD]]-Table1[[#This Row],[NO. YEARS AS OF 2024]]</f>
        <v>-3</v>
      </c>
      <c r="N76" s="163"/>
      <c r="O76" s="145"/>
      <c r="P76" s="145" t="s">
        <v>20</v>
      </c>
    </row>
    <row r="77" spans="1:16" s="171" customFormat="1" x14ac:dyDescent="0.65">
      <c r="A77" s="162" t="s">
        <v>33</v>
      </c>
      <c r="B77" s="163" t="s">
        <v>100</v>
      </c>
      <c r="C77" s="164" t="str">
        <f t="shared" si="11"/>
        <v>H02-23-00356-12</v>
      </c>
      <c r="D77" s="165">
        <f t="shared" si="7"/>
        <v>45222</v>
      </c>
      <c r="E77" s="162" t="str">
        <f t="shared" si="8"/>
        <v>SSSRDS 49</v>
      </c>
      <c r="F77" s="166" t="str">
        <f t="shared" si="12"/>
        <v>EMPLOYEE-MEMBER APPLICATIONS (E1, E4, NW1, OW1, RS1)</v>
      </c>
      <c r="G77" s="167" t="str">
        <f t="shared" si="9"/>
        <v>MEMBER SERVICES SECTION</v>
      </c>
      <c r="H77" s="167" t="s">
        <v>81</v>
      </c>
      <c r="I77" s="168" t="s">
        <v>101</v>
      </c>
      <c r="J77" s="163">
        <v>2020</v>
      </c>
      <c r="K77" s="169">
        <f>2024-Table1[[#This Row],[LATEST YEAR]]</f>
        <v>4</v>
      </c>
      <c r="L77" s="169">
        <f>VLOOKUP(Table1[[#This Row],[GRDS ITEM NO]],RETENTION1,4,0)</f>
        <v>1</v>
      </c>
      <c r="M77" s="169">
        <f>Table1[[#This Row],[RETENTION PERIOD]]-Table1[[#This Row],[NO. YEARS AS OF 2024]]</f>
        <v>-3</v>
      </c>
      <c r="N77" s="163"/>
      <c r="O77" s="145"/>
      <c r="P77" s="145" t="s">
        <v>20</v>
      </c>
    </row>
    <row r="78" spans="1:16" s="171" customFormat="1" x14ac:dyDescent="0.65">
      <c r="A78" s="162" t="s">
        <v>33</v>
      </c>
      <c r="B78" s="163" t="s">
        <v>102</v>
      </c>
      <c r="C78" s="164" t="str">
        <f t="shared" si="11"/>
        <v>H02-23-00357-13</v>
      </c>
      <c r="D78" s="165">
        <f t="shared" si="7"/>
        <v>45222</v>
      </c>
      <c r="E78" s="162" t="str">
        <f t="shared" si="8"/>
        <v>SSSRDS 49</v>
      </c>
      <c r="F78" s="166" t="str">
        <f t="shared" si="12"/>
        <v>EMPLOYEE-MEMBER APPLICATIONS (E1, E4, NW1, OW1, RS1)</v>
      </c>
      <c r="G78" s="167" t="str">
        <f t="shared" si="9"/>
        <v>MEMBER SERVICES SECTION</v>
      </c>
      <c r="H78" s="167" t="s">
        <v>81</v>
      </c>
      <c r="I78" s="168">
        <v>2019</v>
      </c>
      <c r="J78" s="163">
        <v>2019</v>
      </c>
      <c r="K78" s="169">
        <f>2024-Table1[[#This Row],[LATEST YEAR]]</f>
        <v>5</v>
      </c>
      <c r="L78" s="169">
        <f>VLOOKUP(Table1[[#This Row],[GRDS ITEM NO]],RETENTION1,4,0)</f>
        <v>1</v>
      </c>
      <c r="M78" s="169">
        <f>Table1[[#This Row],[RETENTION PERIOD]]-Table1[[#This Row],[NO. YEARS AS OF 2024]]</f>
        <v>-4</v>
      </c>
      <c r="N78" s="163"/>
      <c r="O78" s="145"/>
      <c r="P78" s="145" t="s">
        <v>20</v>
      </c>
    </row>
    <row r="79" spans="1:16" s="171" customFormat="1" x14ac:dyDescent="0.65">
      <c r="A79" s="162" t="s">
        <v>103</v>
      </c>
      <c r="B79" s="163">
        <v>1</v>
      </c>
      <c r="C79" s="164" t="str">
        <f t="shared" si="11"/>
        <v>H02-23-0041</v>
      </c>
      <c r="D79" s="165">
        <f t="shared" si="7"/>
        <v>45222</v>
      </c>
      <c r="E79" s="162" t="s">
        <v>104</v>
      </c>
      <c r="F79" s="166" t="str">
        <f t="shared" si="12"/>
        <v>EMPLOYER-MEMBER APPLICATIONS (R1, R1A, R8)</v>
      </c>
      <c r="G79" s="167" t="str">
        <f t="shared" si="9"/>
        <v>MEMBER SERVICES SECTION</v>
      </c>
      <c r="H79" s="167" t="s">
        <v>105</v>
      </c>
      <c r="I79" s="168" t="s">
        <v>106</v>
      </c>
      <c r="J79" s="163">
        <v>2022</v>
      </c>
      <c r="K79" s="169">
        <f>2024-Table1[[#This Row],[LATEST YEAR]]</f>
        <v>2</v>
      </c>
      <c r="L79" s="169">
        <f>VLOOKUP(Table1[[#This Row],[GRDS ITEM NO]],RETENTION1,4,0)</f>
        <v>1</v>
      </c>
      <c r="M79" s="169">
        <f>Table1[[#This Row],[RETENTION PERIOD]]-Table1[[#This Row],[NO. YEARS AS OF 2024]]</f>
        <v>-1</v>
      </c>
      <c r="N79" s="163"/>
      <c r="O79" s="145"/>
      <c r="P79" s="145" t="s">
        <v>20</v>
      </c>
    </row>
    <row r="80" spans="1:16" s="171" customFormat="1" x14ac:dyDescent="0.65">
      <c r="A80" s="162" t="s">
        <v>103</v>
      </c>
      <c r="B80" s="163">
        <v>2</v>
      </c>
      <c r="C80" s="164" t="str">
        <f t="shared" si="11"/>
        <v>H02-23-0042</v>
      </c>
      <c r="D80" s="165">
        <f t="shared" si="7"/>
        <v>45222</v>
      </c>
      <c r="E80" s="162" t="str">
        <f t="shared" si="8"/>
        <v>SSSRDS 50</v>
      </c>
      <c r="F80" s="166" t="str">
        <f t="shared" si="12"/>
        <v>EMPLOYER-MEMBER APPLICATIONS (R1, R1A, R8)</v>
      </c>
      <c r="G80" s="167" t="str">
        <f t="shared" si="9"/>
        <v>MEMBER SERVICES SECTION</v>
      </c>
      <c r="H80" s="167" t="s">
        <v>105</v>
      </c>
      <c r="I80" s="168" t="s">
        <v>107</v>
      </c>
      <c r="J80" s="163">
        <v>2019</v>
      </c>
      <c r="K80" s="169">
        <f>2024-Table1[[#This Row],[LATEST YEAR]]</f>
        <v>5</v>
      </c>
      <c r="L80" s="169">
        <f>VLOOKUP(Table1[[#This Row],[GRDS ITEM NO]],RETENTION1,4,0)</f>
        <v>1</v>
      </c>
      <c r="M80" s="169">
        <f>Table1[[#This Row],[RETENTION PERIOD]]-Table1[[#This Row],[NO. YEARS AS OF 2024]]</f>
        <v>-4</v>
      </c>
      <c r="N80" s="163"/>
      <c r="O80" s="145"/>
      <c r="P80" s="145" t="s">
        <v>20</v>
      </c>
    </row>
    <row r="81" spans="1:16" s="171" customFormat="1" x14ac:dyDescent="0.65">
      <c r="A81" s="162" t="s">
        <v>108</v>
      </c>
      <c r="B81" s="163">
        <v>1</v>
      </c>
      <c r="C81" s="164" t="str">
        <f>_xlfn.CONCAT(A81,B81)</f>
        <v>H02-23-0051</v>
      </c>
      <c r="D81" s="165">
        <f t="shared" si="7"/>
        <v>45222</v>
      </c>
      <c r="E81" s="162" t="s">
        <v>80</v>
      </c>
      <c r="F81" s="166" t="str">
        <f t="shared" ref="F81:F112" si="13">VLOOKUP(E81,DESCRIP,2,0)</f>
        <v>EMPLOYEE-MEMBER APPLICATIONS (E1, E4, NW1, OW1, RS1)</v>
      </c>
      <c r="G81" s="167" t="str">
        <f t="shared" si="9"/>
        <v>MEMBER SERVICES SECTION</v>
      </c>
      <c r="H81" s="167" t="s">
        <v>84</v>
      </c>
      <c r="I81" s="168" t="s">
        <v>109</v>
      </c>
      <c r="J81" s="163">
        <v>2017</v>
      </c>
      <c r="K81" s="169">
        <f>2024-Table1[[#This Row],[LATEST YEAR]]</f>
        <v>7</v>
      </c>
      <c r="L81" s="169">
        <f>VLOOKUP(Table1[[#This Row],[GRDS ITEM NO]],RETENTION1,4,0)</f>
        <v>1</v>
      </c>
      <c r="M81" s="169">
        <f>Table1[[#This Row],[RETENTION PERIOD]]-Table1[[#This Row],[NO. YEARS AS OF 2024]]</f>
        <v>-6</v>
      </c>
      <c r="N81" s="163"/>
      <c r="O81" s="145"/>
      <c r="P81" s="145" t="s">
        <v>20</v>
      </c>
    </row>
    <row r="82" spans="1:16" s="171" customFormat="1" x14ac:dyDescent="0.65">
      <c r="A82" s="162" t="s">
        <v>108</v>
      </c>
      <c r="B82" s="163">
        <v>2</v>
      </c>
      <c r="C82" s="164" t="str">
        <f t="shared" ref="C82:C83" si="14">_xlfn.CONCAT(A82,B82)</f>
        <v>H02-23-0052</v>
      </c>
      <c r="D82" s="165">
        <f t="shared" si="7"/>
        <v>45222</v>
      </c>
      <c r="E82" s="162" t="s">
        <v>80</v>
      </c>
      <c r="F82" s="166" t="str">
        <f t="shared" si="13"/>
        <v>EMPLOYEE-MEMBER APPLICATIONS (E1, E4, NW1, OW1, RS1)</v>
      </c>
      <c r="G82" s="167" t="str">
        <f t="shared" si="9"/>
        <v>MEMBER SERVICES SECTION</v>
      </c>
      <c r="H82" s="167" t="s">
        <v>89</v>
      </c>
      <c r="I82" s="168">
        <v>2017</v>
      </c>
      <c r="J82" s="163">
        <v>2017</v>
      </c>
      <c r="K82" s="169">
        <f>2024-Table1[[#This Row],[LATEST YEAR]]</f>
        <v>7</v>
      </c>
      <c r="L82" s="169">
        <f>VLOOKUP(Table1[[#This Row],[GRDS ITEM NO]],RETENTION1,4,0)</f>
        <v>1</v>
      </c>
      <c r="M82" s="169">
        <f>Table1[[#This Row],[RETENTION PERIOD]]-Table1[[#This Row],[NO. YEARS AS OF 2024]]</f>
        <v>-6</v>
      </c>
      <c r="N82" s="163"/>
      <c r="O82" s="145"/>
      <c r="P82" s="145" t="s">
        <v>20</v>
      </c>
    </row>
    <row r="83" spans="1:16" s="171" customFormat="1" x14ac:dyDescent="0.65">
      <c r="A83" s="162" t="s">
        <v>108</v>
      </c>
      <c r="B83" s="163">
        <v>3</v>
      </c>
      <c r="C83" s="164" t="str">
        <f t="shared" si="14"/>
        <v>H02-23-0053</v>
      </c>
      <c r="D83" s="165">
        <f t="shared" si="7"/>
        <v>45222</v>
      </c>
      <c r="E83" s="162" t="s">
        <v>80</v>
      </c>
      <c r="F83" s="166" t="str">
        <f t="shared" si="13"/>
        <v>EMPLOYEE-MEMBER APPLICATIONS (E1, E4, NW1, OW1, RS1)</v>
      </c>
      <c r="G83" s="167" t="str">
        <f t="shared" si="9"/>
        <v>MEMBER SERVICES SECTION</v>
      </c>
      <c r="H83" s="167" t="s">
        <v>89</v>
      </c>
      <c r="I83" s="168">
        <v>2020</v>
      </c>
      <c r="J83" s="163">
        <v>2020</v>
      </c>
      <c r="K83" s="169">
        <f>2024-Table1[[#This Row],[LATEST YEAR]]</f>
        <v>4</v>
      </c>
      <c r="L83" s="169">
        <f>VLOOKUP(Table1[[#This Row],[GRDS ITEM NO]],RETENTION1,4,0)</f>
        <v>1</v>
      </c>
      <c r="M83" s="169">
        <f>Table1[[#This Row],[RETENTION PERIOD]]-Table1[[#This Row],[NO. YEARS AS OF 2024]]</f>
        <v>-3</v>
      </c>
      <c r="N83" s="163"/>
      <c r="O83" s="145"/>
      <c r="P83" s="145" t="s">
        <v>20</v>
      </c>
    </row>
    <row r="84" spans="1:16" s="171" customFormat="1" x14ac:dyDescent="0.65">
      <c r="A84" s="162" t="s">
        <v>108</v>
      </c>
      <c r="B84" s="163">
        <v>4</v>
      </c>
      <c r="C84" s="164" t="str">
        <f t="shared" ref="C84:C91" si="15">_xlfn.CONCAT(A84,B84)</f>
        <v>H02-23-0054</v>
      </c>
      <c r="D84" s="165">
        <f t="shared" si="7"/>
        <v>45222</v>
      </c>
      <c r="E84" s="162" t="s">
        <v>80</v>
      </c>
      <c r="F84" s="166" t="str">
        <f t="shared" si="13"/>
        <v>EMPLOYEE-MEMBER APPLICATIONS (E1, E4, NW1, OW1, RS1)</v>
      </c>
      <c r="G84" s="167" t="str">
        <f t="shared" si="9"/>
        <v>MEMBER SERVICES SECTION</v>
      </c>
      <c r="H84" s="167" t="s">
        <v>89</v>
      </c>
      <c r="I84" s="168">
        <v>2018</v>
      </c>
      <c r="J84" s="163">
        <v>2018</v>
      </c>
      <c r="K84" s="169">
        <f>2024-Table1[[#This Row],[LATEST YEAR]]</f>
        <v>6</v>
      </c>
      <c r="L84" s="169">
        <f>VLOOKUP(Table1[[#This Row],[GRDS ITEM NO]],RETENTION1,4,0)</f>
        <v>1</v>
      </c>
      <c r="M84" s="169">
        <f>Table1[[#This Row],[RETENTION PERIOD]]-Table1[[#This Row],[NO. YEARS AS OF 2024]]</f>
        <v>-5</v>
      </c>
      <c r="N84" s="163"/>
      <c r="O84" s="145"/>
      <c r="P84" s="145" t="s">
        <v>20</v>
      </c>
    </row>
    <row r="85" spans="1:16" s="171" customFormat="1" x14ac:dyDescent="0.65">
      <c r="A85" s="162" t="s">
        <v>108</v>
      </c>
      <c r="B85" s="163">
        <v>5</v>
      </c>
      <c r="C85" s="164" t="str">
        <f t="shared" si="15"/>
        <v>H02-23-0055</v>
      </c>
      <c r="D85" s="165">
        <f t="shared" si="7"/>
        <v>45222</v>
      </c>
      <c r="E85" s="162" t="s">
        <v>80</v>
      </c>
      <c r="F85" s="166" t="str">
        <f t="shared" si="13"/>
        <v>EMPLOYEE-MEMBER APPLICATIONS (E1, E4, NW1, OW1, RS1)</v>
      </c>
      <c r="G85" s="167" t="str">
        <f t="shared" si="9"/>
        <v>MEMBER SERVICES SECTION</v>
      </c>
      <c r="H85" s="167" t="s">
        <v>110</v>
      </c>
      <c r="I85" s="168">
        <v>2016</v>
      </c>
      <c r="J85" s="163">
        <v>2016</v>
      </c>
      <c r="K85" s="169">
        <f>2024-Table1[[#This Row],[LATEST YEAR]]</f>
        <v>8</v>
      </c>
      <c r="L85" s="169">
        <f>VLOOKUP(Table1[[#This Row],[GRDS ITEM NO]],RETENTION1,4,0)</f>
        <v>1</v>
      </c>
      <c r="M85" s="169">
        <f>Table1[[#This Row],[RETENTION PERIOD]]-Table1[[#This Row],[NO. YEARS AS OF 2024]]</f>
        <v>-7</v>
      </c>
      <c r="N85" s="163"/>
      <c r="O85" s="145"/>
      <c r="P85" s="145" t="s">
        <v>20</v>
      </c>
    </row>
    <row r="86" spans="1:16" s="171" customFormat="1" x14ac:dyDescent="0.65">
      <c r="A86" s="162" t="s">
        <v>108</v>
      </c>
      <c r="B86" s="163">
        <v>6</v>
      </c>
      <c r="C86" s="164" t="str">
        <f t="shared" si="15"/>
        <v>H02-23-0056</v>
      </c>
      <c r="D86" s="165">
        <f t="shared" si="7"/>
        <v>45222</v>
      </c>
      <c r="E86" s="162" t="s">
        <v>80</v>
      </c>
      <c r="F86" s="166" t="str">
        <f t="shared" si="13"/>
        <v>EMPLOYEE-MEMBER APPLICATIONS (E1, E4, NW1, OW1, RS1)</v>
      </c>
      <c r="G86" s="167" t="str">
        <f t="shared" si="9"/>
        <v>MEMBER SERVICES SECTION</v>
      </c>
      <c r="H86" s="167" t="s">
        <v>110</v>
      </c>
      <c r="I86" s="168">
        <v>2019</v>
      </c>
      <c r="J86" s="163">
        <v>2019</v>
      </c>
      <c r="K86" s="169">
        <f>2024-Table1[[#This Row],[LATEST YEAR]]</f>
        <v>5</v>
      </c>
      <c r="L86" s="169">
        <f>VLOOKUP(Table1[[#This Row],[GRDS ITEM NO]],RETENTION1,4,0)</f>
        <v>1</v>
      </c>
      <c r="M86" s="169">
        <f>Table1[[#This Row],[RETENTION PERIOD]]-Table1[[#This Row],[NO. YEARS AS OF 2024]]</f>
        <v>-4</v>
      </c>
      <c r="N86" s="163"/>
      <c r="O86" s="145"/>
      <c r="P86" s="145" t="s">
        <v>20</v>
      </c>
    </row>
    <row r="87" spans="1:16" s="171" customFormat="1" x14ac:dyDescent="0.65">
      <c r="A87" s="162" t="s">
        <v>108</v>
      </c>
      <c r="B87" s="163">
        <v>7</v>
      </c>
      <c r="C87" s="164" t="str">
        <f t="shared" si="15"/>
        <v>H02-23-0057</v>
      </c>
      <c r="D87" s="165">
        <f t="shared" si="7"/>
        <v>45222</v>
      </c>
      <c r="E87" s="162" t="s">
        <v>80</v>
      </c>
      <c r="F87" s="166" t="str">
        <f t="shared" si="13"/>
        <v>EMPLOYEE-MEMBER APPLICATIONS (E1, E4, NW1, OW1, RS1)</v>
      </c>
      <c r="G87" s="167" t="str">
        <f t="shared" si="9"/>
        <v>MEMBER SERVICES SECTION</v>
      </c>
      <c r="H87" s="167" t="s">
        <v>89</v>
      </c>
      <c r="I87" s="168">
        <v>2017</v>
      </c>
      <c r="J87" s="163">
        <v>2017</v>
      </c>
      <c r="K87" s="169">
        <f>2024-Table1[[#This Row],[LATEST YEAR]]</f>
        <v>7</v>
      </c>
      <c r="L87" s="169">
        <f>VLOOKUP(Table1[[#This Row],[GRDS ITEM NO]],RETENTION1,4,0)</f>
        <v>1</v>
      </c>
      <c r="M87" s="169">
        <f>Table1[[#This Row],[RETENTION PERIOD]]-Table1[[#This Row],[NO. YEARS AS OF 2024]]</f>
        <v>-6</v>
      </c>
      <c r="N87" s="163"/>
      <c r="O87" s="145"/>
      <c r="P87" s="145" t="s">
        <v>20</v>
      </c>
    </row>
    <row r="88" spans="1:16" s="171" customFormat="1" x14ac:dyDescent="0.65">
      <c r="A88" s="162" t="s">
        <v>108</v>
      </c>
      <c r="B88" s="163">
        <v>8</v>
      </c>
      <c r="C88" s="164" t="str">
        <f t="shared" si="15"/>
        <v>H02-23-0058</v>
      </c>
      <c r="D88" s="165">
        <f t="shared" si="7"/>
        <v>45222</v>
      </c>
      <c r="E88" s="162" t="s">
        <v>80</v>
      </c>
      <c r="F88" s="166" t="str">
        <f t="shared" si="13"/>
        <v>EMPLOYEE-MEMBER APPLICATIONS (E1, E4, NW1, OW1, RS1)</v>
      </c>
      <c r="G88" s="167" t="str">
        <f t="shared" si="9"/>
        <v>MEMBER SERVICES SECTION</v>
      </c>
      <c r="H88" s="167" t="s">
        <v>111</v>
      </c>
      <c r="I88" s="168">
        <v>2022</v>
      </c>
      <c r="J88" s="163">
        <v>2022</v>
      </c>
      <c r="K88" s="169">
        <f>2024-Table1[[#This Row],[LATEST YEAR]]</f>
        <v>2</v>
      </c>
      <c r="L88" s="169">
        <f>VLOOKUP(Table1[[#This Row],[GRDS ITEM NO]],RETENTION1,4,0)</f>
        <v>1</v>
      </c>
      <c r="M88" s="169">
        <f>Table1[[#This Row],[RETENTION PERIOD]]-Table1[[#This Row],[NO. YEARS AS OF 2024]]</f>
        <v>-1</v>
      </c>
      <c r="N88" s="163"/>
      <c r="O88" s="145"/>
      <c r="P88" s="145" t="s">
        <v>20</v>
      </c>
    </row>
    <row r="89" spans="1:16" s="171" customFormat="1" x14ac:dyDescent="0.65">
      <c r="A89" s="162" t="s">
        <v>108</v>
      </c>
      <c r="B89" s="163">
        <v>9</v>
      </c>
      <c r="C89" s="164" t="str">
        <f t="shared" si="15"/>
        <v>H02-23-0059</v>
      </c>
      <c r="D89" s="165">
        <f t="shared" si="7"/>
        <v>45222</v>
      </c>
      <c r="E89" s="162" t="s">
        <v>80</v>
      </c>
      <c r="F89" s="166" t="str">
        <f t="shared" si="13"/>
        <v>EMPLOYEE-MEMBER APPLICATIONS (E1, E4, NW1, OW1, RS1)</v>
      </c>
      <c r="G89" s="167" t="str">
        <f t="shared" si="9"/>
        <v>MEMBER SERVICES SECTION</v>
      </c>
      <c r="H89" s="167" t="s">
        <v>111</v>
      </c>
      <c r="I89" s="168">
        <v>2023</v>
      </c>
      <c r="J89" s="163">
        <v>2023</v>
      </c>
      <c r="K89" s="169">
        <f>2024-Table1[[#This Row],[LATEST YEAR]]</f>
        <v>1</v>
      </c>
      <c r="L89" s="169">
        <f>VLOOKUP(Table1[[#This Row],[GRDS ITEM NO]],RETENTION1,4,0)</f>
        <v>1</v>
      </c>
      <c r="M89" s="169">
        <f>Table1[[#This Row],[RETENTION PERIOD]]-Table1[[#This Row],[NO. YEARS AS OF 2024]]</f>
        <v>0</v>
      </c>
      <c r="N89" s="163"/>
      <c r="O89" s="145"/>
      <c r="P89" s="145" t="s">
        <v>20</v>
      </c>
    </row>
    <row r="90" spans="1:16" s="171" customFormat="1" x14ac:dyDescent="0.65">
      <c r="A90" s="162" t="s">
        <v>108</v>
      </c>
      <c r="B90" s="163">
        <v>10</v>
      </c>
      <c r="C90" s="164" t="str">
        <f t="shared" si="15"/>
        <v>H02-23-00510</v>
      </c>
      <c r="D90" s="165">
        <f t="shared" si="7"/>
        <v>45222</v>
      </c>
      <c r="E90" s="162" t="s">
        <v>80</v>
      </c>
      <c r="F90" s="166" t="str">
        <f t="shared" si="13"/>
        <v>EMPLOYEE-MEMBER APPLICATIONS (E1, E4, NW1, OW1, RS1)</v>
      </c>
      <c r="G90" s="167" t="str">
        <f t="shared" si="9"/>
        <v>MEMBER SERVICES SECTION</v>
      </c>
      <c r="H90" s="167" t="s">
        <v>89</v>
      </c>
      <c r="I90" s="168">
        <v>2019</v>
      </c>
      <c r="J90" s="163">
        <v>2019</v>
      </c>
      <c r="K90" s="169">
        <f>2024-Table1[[#This Row],[LATEST YEAR]]</f>
        <v>5</v>
      </c>
      <c r="L90" s="169">
        <f>VLOOKUP(Table1[[#This Row],[GRDS ITEM NO]],RETENTION1,4,0)</f>
        <v>1</v>
      </c>
      <c r="M90" s="169">
        <f>Table1[[#This Row],[RETENTION PERIOD]]-Table1[[#This Row],[NO. YEARS AS OF 2024]]</f>
        <v>-4</v>
      </c>
      <c r="N90" s="163"/>
      <c r="O90" s="145"/>
      <c r="P90" s="145" t="s">
        <v>20</v>
      </c>
    </row>
    <row r="91" spans="1:16" s="171" customFormat="1" x14ac:dyDescent="0.65">
      <c r="A91" s="162" t="s">
        <v>108</v>
      </c>
      <c r="B91" s="163">
        <v>11</v>
      </c>
      <c r="C91" s="164" t="str">
        <f t="shared" si="15"/>
        <v>H02-23-00511</v>
      </c>
      <c r="D91" s="165">
        <f t="shared" si="7"/>
        <v>45222</v>
      </c>
      <c r="E91" s="162" t="s">
        <v>80</v>
      </c>
      <c r="F91" s="166" t="str">
        <f t="shared" si="13"/>
        <v>EMPLOYEE-MEMBER APPLICATIONS (E1, E4, NW1, OW1, RS1)</v>
      </c>
      <c r="G91" s="167" t="str">
        <f t="shared" si="9"/>
        <v>MEMBER SERVICES SECTION</v>
      </c>
      <c r="H91" s="167" t="s">
        <v>89</v>
      </c>
      <c r="I91" s="168">
        <v>2019</v>
      </c>
      <c r="J91" s="163">
        <v>2019</v>
      </c>
      <c r="K91" s="169">
        <f>2024-Table1[[#This Row],[LATEST YEAR]]</f>
        <v>5</v>
      </c>
      <c r="L91" s="169">
        <f>VLOOKUP(Table1[[#This Row],[GRDS ITEM NO]],RETENTION1,4,0)</f>
        <v>1</v>
      </c>
      <c r="M91" s="169">
        <f>Table1[[#This Row],[RETENTION PERIOD]]-Table1[[#This Row],[NO. YEARS AS OF 2024]]</f>
        <v>-4</v>
      </c>
      <c r="N91" s="163"/>
      <c r="O91" s="145"/>
      <c r="P91" s="145" t="s">
        <v>20</v>
      </c>
    </row>
    <row r="92" spans="1:16" s="171" customFormat="1" x14ac:dyDescent="0.65">
      <c r="A92" s="162" t="s">
        <v>108</v>
      </c>
      <c r="B92" s="163">
        <v>12</v>
      </c>
      <c r="C92" s="164" t="str">
        <f t="shared" ref="C92:C93" si="16">_xlfn.CONCAT(A92,B92)</f>
        <v>H02-23-00512</v>
      </c>
      <c r="D92" s="165">
        <f t="shared" ref="D92:D135" si="17">D91</f>
        <v>45222</v>
      </c>
      <c r="E92" s="162" t="s">
        <v>80</v>
      </c>
      <c r="F92" s="166" t="str">
        <f t="shared" si="13"/>
        <v>EMPLOYEE-MEMBER APPLICATIONS (E1, E4, NW1, OW1, RS1)</v>
      </c>
      <c r="G92" s="167" t="str">
        <f t="shared" ref="G92:G94" si="18">G91</f>
        <v>MEMBER SERVICES SECTION</v>
      </c>
      <c r="H92" s="167" t="s">
        <v>89</v>
      </c>
      <c r="I92" s="168">
        <v>2019</v>
      </c>
      <c r="J92" s="163">
        <v>2019</v>
      </c>
      <c r="K92" s="169">
        <f>2024-Table1[[#This Row],[LATEST YEAR]]</f>
        <v>5</v>
      </c>
      <c r="L92" s="169">
        <f>VLOOKUP(Table1[[#This Row],[GRDS ITEM NO]],RETENTION1,4,0)</f>
        <v>1</v>
      </c>
      <c r="M92" s="169">
        <f>Table1[[#This Row],[RETENTION PERIOD]]-Table1[[#This Row],[NO. YEARS AS OF 2024]]</f>
        <v>-4</v>
      </c>
      <c r="N92" s="163"/>
      <c r="O92" s="145"/>
      <c r="P92" s="145" t="s">
        <v>20</v>
      </c>
    </row>
    <row r="93" spans="1:16" s="171" customFormat="1" x14ac:dyDescent="0.65">
      <c r="A93" s="162" t="s">
        <v>108</v>
      </c>
      <c r="B93" s="163">
        <v>13</v>
      </c>
      <c r="C93" s="164" t="str">
        <f t="shared" si="16"/>
        <v>H02-23-00513</v>
      </c>
      <c r="D93" s="165">
        <f t="shared" si="17"/>
        <v>45222</v>
      </c>
      <c r="E93" s="162" t="s">
        <v>80</v>
      </c>
      <c r="F93" s="166" t="str">
        <f t="shared" si="13"/>
        <v>EMPLOYEE-MEMBER APPLICATIONS (E1, E4, NW1, OW1, RS1)</v>
      </c>
      <c r="G93" s="167" t="str">
        <f t="shared" si="18"/>
        <v>MEMBER SERVICES SECTION</v>
      </c>
      <c r="H93" s="167" t="s">
        <v>89</v>
      </c>
      <c r="I93" s="168">
        <v>2019</v>
      </c>
      <c r="J93" s="163">
        <v>2019</v>
      </c>
      <c r="K93" s="169">
        <f>2024-Table1[[#This Row],[LATEST YEAR]]</f>
        <v>5</v>
      </c>
      <c r="L93" s="169">
        <f>VLOOKUP(Table1[[#This Row],[GRDS ITEM NO]],RETENTION1,4,0)</f>
        <v>1</v>
      </c>
      <c r="M93" s="169">
        <f>Table1[[#This Row],[RETENTION PERIOD]]-Table1[[#This Row],[NO. YEARS AS OF 2024]]</f>
        <v>-4</v>
      </c>
      <c r="N93" s="163"/>
      <c r="O93" s="145"/>
      <c r="P93" s="145" t="s">
        <v>20</v>
      </c>
    </row>
    <row r="94" spans="1:16" s="171" customFormat="1" x14ac:dyDescent="0.65">
      <c r="A94" s="162" t="s">
        <v>108</v>
      </c>
      <c r="B94" s="163">
        <v>14</v>
      </c>
      <c r="C94" s="164" t="str">
        <f t="shared" ref="C94:C95" si="19">_xlfn.CONCAT(A94,B94)</f>
        <v>H02-23-00514</v>
      </c>
      <c r="D94" s="165">
        <f t="shared" si="17"/>
        <v>45222</v>
      </c>
      <c r="E94" s="162" t="s">
        <v>80</v>
      </c>
      <c r="F94" s="166" t="str">
        <f t="shared" si="13"/>
        <v>EMPLOYEE-MEMBER APPLICATIONS (E1, E4, NW1, OW1, RS1)</v>
      </c>
      <c r="G94" s="167" t="str">
        <f t="shared" si="18"/>
        <v>MEMBER SERVICES SECTION</v>
      </c>
      <c r="H94" s="167" t="s">
        <v>89</v>
      </c>
      <c r="I94" s="168">
        <v>2019</v>
      </c>
      <c r="J94" s="163">
        <v>2019</v>
      </c>
      <c r="K94" s="169">
        <f>2024-Table1[[#This Row],[LATEST YEAR]]</f>
        <v>5</v>
      </c>
      <c r="L94" s="169">
        <f>VLOOKUP(Table1[[#This Row],[GRDS ITEM NO]],RETENTION1,4,0)</f>
        <v>1</v>
      </c>
      <c r="M94" s="169">
        <f>Table1[[#This Row],[RETENTION PERIOD]]-Table1[[#This Row],[NO. YEARS AS OF 2024]]</f>
        <v>-4</v>
      </c>
      <c r="N94" s="163"/>
      <c r="O94" s="145"/>
      <c r="P94" s="145" t="s">
        <v>20</v>
      </c>
    </row>
    <row r="95" spans="1:16" s="171" customFormat="1" x14ac:dyDescent="0.65">
      <c r="A95" s="162" t="s">
        <v>112</v>
      </c>
      <c r="B95" s="163">
        <v>1</v>
      </c>
      <c r="C95" s="167" t="str">
        <f t="shared" si="19"/>
        <v>H02-23-0061</v>
      </c>
      <c r="D95" s="165">
        <f t="shared" si="17"/>
        <v>45222</v>
      </c>
      <c r="E95" s="162">
        <v>74</v>
      </c>
      <c r="F95" s="166" t="str">
        <f t="shared" si="13"/>
        <v>OFFICIAL RECEIPTS</v>
      </c>
      <c r="G95" s="167" t="s">
        <v>17</v>
      </c>
      <c r="H95" s="167" t="s">
        <v>113</v>
      </c>
      <c r="I95" s="168" t="s">
        <v>19</v>
      </c>
      <c r="J95" s="163">
        <v>2014</v>
      </c>
      <c r="K95" s="169">
        <f>2024-Table1[[#This Row],[LATEST YEAR]]</f>
        <v>10</v>
      </c>
      <c r="L95" s="169">
        <f>VLOOKUP(Table1[[#This Row],[GRDS ITEM NO]],RETENTION1,4,0)</f>
        <v>10</v>
      </c>
      <c r="M95" s="169">
        <f>Table1[[#This Row],[RETENTION PERIOD]]-Table1[[#This Row],[NO. YEARS AS OF 2024]]</f>
        <v>0</v>
      </c>
      <c r="N95" s="163"/>
      <c r="O95" s="145"/>
      <c r="P95" s="145" t="s">
        <v>20</v>
      </c>
    </row>
    <row r="96" spans="1:16" s="171" customFormat="1" x14ac:dyDescent="0.65">
      <c r="A96" s="162" t="s">
        <v>112</v>
      </c>
      <c r="B96" s="163">
        <v>2</v>
      </c>
      <c r="C96" s="164" t="str">
        <f t="shared" ref="C96:C106" si="20">_xlfn.CONCAT(A96,B96)</f>
        <v>H02-23-0062</v>
      </c>
      <c r="D96" s="165">
        <f t="shared" si="17"/>
        <v>45222</v>
      </c>
      <c r="E96" s="162">
        <v>74</v>
      </c>
      <c r="F96" s="166" t="str">
        <f t="shared" si="13"/>
        <v>OFFICIAL RECEIPTS</v>
      </c>
      <c r="G96" s="167" t="s">
        <v>17</v>
      </c>
      <c r="H96" s="167" t="s">
        <v>113</v>
      </c>
      <c r="I96" s="168" t="s">
        <v>19</v>
      </c>
      <c r="J96" s="163">
        <v>2014</v>
      </c>
      <c r="K96" s="169">
        <f>2024-Table1[[#This Row],[LATEST YEAR]]</f>
        <v>10</v>
      </c>
      <c r="L96" s="169">
        <f>VLOOKUP(Table1[[#This Row],[GRDS ITEM NO]],RETENTION1,4,0)</f>
        <v>10</v>
      </c>
      <c r="M96" s="169">
        <f>Table1[[#This Row],[RETENTION PERIOD]]-Table1[[#This Row],[NO. YEARS AS OF 2024]]</f>
        <v>0</v>
      </c>
      <c r="N96" s="163"/>
      <c r="O96" s="145"/>
      <c r="P96" s="145" t="s">
        <v>20</v>
      </c>
    </row>
    <row r="97" spans="1:16" s="171" customFormat="1" x14ac:dyDescent="0.65">
      <c r="A97" s="162" t="s">
        <v>112</v>
      </c>
      <c r="B97" s="163">
        <v>3</v>
      </c>
      <c r="C97" s="167" t="str">
        <f t="shared" si="20"/>
        <v>H02-23-0063</v>
      </c>
      <c r="D97" s="165">
        <f t="shared" si="17"/>
        <v>45222</v>
      </c>
      <c r="E97" s="162">
        <v>74</v>
      </c>
      <c r="F97" s="166" t="str">
        <f t="shared" si="13"/>
        <v>OFFICIAL RECEIPTS</v>
      </c>
      <c r="G97" s="167" t="s">
        <v>17</v>
      </c>
      <c r="H97" s="167" t="s">
        <v>113</v>
      </c>
      <c r="I97" s="168" t="s">
        <v>19</v>
      </c>
      <c r="J97" s="163">
        <v>2014</v>
      </c>
      <c r="K97" s="169">
        <f>2024-Table1[[#This Row],[LATEST YEAR]]</f>
        <v>10</v>
      </c>
      <c r="L97" s="169">
        <f>VLOOKUP(Table1[[#This Row],[GRDS ITEM NO]],RETENTION1,4,0)</f>
        <v>10</v>
      </c>
      <c r="M97" s="169">
        <f>Table1[[#This Row],[RETENTION PERIOD]]-Table1[[#This Row],[NO. YEARS AS OF 2024]]</f>
        <v>0</v>
      </c>
      <c r="N97" s="163"/>
      <c r="O97" s="145"/>
      <c r="P97" s="145" t="s">
        <v>20</v>
      </c>
    </row>
    <row r="98" spans="1:16" s="171" customFormat="1" x14ac:dyDescent="0.65">
      <c r="A98" s="162" t="s">
        <v>112</v>
      </c>
      <c r="B98" s="163">
        <v>4</v>
      </c>
      <c r="C98" s="167" t="str">
        <f t="shared" si="20"/>
        <v>H02-23-0064</v>
      </c>
      <c r="D98" s="165">
        <f t="shared" si="17"/>
        <v>45222</v>
      </c>
      <c r="E98" s="162">
        <v>74</v>
      </c>
      <c r="F98" s="166" t="str">
        <f t="shared" si="13"/>
        <v>OFFICIAL RECEIPTS</v>
      </c>
      <c r="G98" s="167" t="s">
        <v>17</v>
      </c>
      <c r="H98" s="167" t="s">
        <v>113</v>
      </c>
      <c r="I98" s="168" t="s">
        <v>19</v>
      </c>
      <c r="J98" s="163">
        <v>2014</v>
      </c>
      <c r="K98" s="169">
        <f>2024-Table1[[#This Row],[LATEST YEAR]]</f>
        <v>10</v>
      </c>
      <c r="L98" s="169">
        <f>VLOOKUP(Table1[[#This Row],[GRDS ITEM NO]],RETENTION1,4,0)</f>
        <v>10</v>
      </c>
      <c r="M98" s="169">
        <f>Table1[[#This Row],[RETENTION PERIOD]]-Table1[[#This Row],[NO. YEARS AS OF 2024]]</f>
        <v>0</v>
      </c>
      <c r="N98" s="163"/>
      <c r="O98" s="145"/>
      <c r="P98" s="145" t="s">
        <v>20</v>
      </c>
    </row>
    <row r="99" spans="1:16" s="171" customFormat="1" x14ac:dyDescent="0.65">
      <c r="A99" s="162" t="s">
        <v>112</v>
      </c>
      <c r="B99" s="163">
        <v>5</v>
      </c>
      <c r="C99" s="167" t="str">
        <f t="shared" si="20"/>
        <v>H02-23-0065</v>
      </c>
      <c r="D99" s="165">
        <f t="shared" si="17"/>
        <v>45222</v>
      </c>
      <c r="E99" s="162">
        <v>74</v>
      </c>
      <c r="F99" s="166" t="str">
        <f t="shared" si="13"/>
        <v>OFFICIAL RECEIPTS</v>
      </c>
      <c r="G99" s="167" t="s">
        <v>17</v>
      </c>
      <c r="H99" s="167" t="s">
        <v>113</v>
      </c>
      <c r="I99" s="168" t="s">
        <v>19</v>
      </c>
      <c r="J99" s="163">
        <v>2014</v>
      </c>
      <c r="K99" s="169">
        <f>2024-Table1[[#This Row],[LATEST YEAR]]</f>
        <v>10</v>
      </c>
      <c r="L99" s="169">
        <f>VLOOKUP(Table1[[#This Row],[GRDS ITEM NO]],RETENTION1,4,0)</f>
        <v>10</v>
      </c>
      <c r="M99" s="169">
        <f>Table1[[#This Row],[RETENTION PERIOD]]-Table1[[#This Row],[NO. YEARS AS OF 2024]]</f>
        <v>0</v>
      </c>
      <c r="N99" s="163"/>
      <c r="O99" s="145"/>
      <c r="P99" s="145" t="s">
        <v>20</v>
      </c>
    </row>
    <row r="100" spans="1:16" s="171" customFormat="1" x14ac:dyDescent="0.65">
      <c r="A100" s="162" t="s">
        <v>112</v>
      </c>
      <c r="B100" s="163">
        <v>6</v>
      </c>
      <c r="C100" s="167" t="str">
        <f t="shared" si="20"/>
        <v>H02-23-0066</v>
      </c>
      <c r="D100" s="165">
        <f t="shared" si="17"/>
        <v>45222</v>
      </c>
      <c r="E100" s="162">
        <v>74</v>
      </c>
      <c r="F100" s="166" t="str">
        <f t="shared" si="13"/>
        <v>OFFICIAL RECEIPTS</v>
      </c>
      <c r="G100" s="167" t="s">
        <v>17</v>
      </c>
      <c r="H100" s="167" t="s">
        <v>113</v>
      </c>
      <c r="I100" s="168" t="s">
        <v>19</v>
      </c>
      <c r="J100" s="163">
        <v>2014</v>
      </c>
      <c r="K100" s="169">
        <f>2024-Table1[[#This Row],[LATEST YEAR]]</f>
        <v>10</v>
      </c>
      <c r="L100" s="169">
        <f>VLOOKUP(Table1[[#This Row],[GRDS ITEM NO]],RETENTION1,4,0)</f>
        <v>10</v>
      </c>
      <c r="M100" s="169">
        <f>Table1[[#This Row],[RETENTION PERIOD]]-Table1[[#This Row],[NO. YEARS AS OF 2024]]</f>
        <v>0</v>
      </c>
      <c r="N100" s="163"/>
      <c r="O100" s="145"/>
      <c r="P100" s="145" t="s">
        <v>20</v>
      </c>
    </row>
    <row r="101" spans="1:16" s="171" customFormat="1" x14ac:dyDescent="0.65">
      <c r="A101" s="162" t="s">
        <v>112</v>
      </c>
      <c r="B101" s="163">
        <v>7</v>
      </c>
      <c r="C101" s="164" t="str">
        <f t="shared" si="20"/>
        <v>H02-23-0067</v>
      </c>
      <c r="D101" s="165">
        <f t="shared" si="17"/>
        <v>45222</v>
      </c>
      <c r="E101" s="162">
        <v>74</v>
      </c>
      <c r="F101" s="166" t="str">
        <f t="shared" si="13"/>
        <v>OFFICIAL RECEIPTS</v>
      </c>
      <c r="G101" s="167" t="s">
        <v>17</v>
      </c>
      <c r="H101" s="167" t="s">
        <v>113</v>
      </c>
      <c r="I101" s="168" t="s">
        <v>19</v>
      </c>
      <c r="J101" s="163">
        <v>2014</v>
      </c>
      <c r="K101" s="169">
        <f>2024-Table1[[#This Row],[LATEST YEAR]]</f>
        <v>10</v>
      </c>
      <c r="L101" s="169">
        <f>VLOOKUP(Table1[[#This Row],[GRDS ITEM NO]],RETENTION1,4,0)</f>
        <v>10</v>
      </c>
      <c r="M101" s="169">
        <f>Table1[[#This Row],[RETENTION PERIOD]]-Table1[[#This Row],[NO. YEARS AS OF 2024]]</f>
        <v>0</v>
      </c>
      <c r="N101" s="163"/>
      <c r="O101" s="145"/>
      <c r="P101" s="145" t="s">
        <v>20</v>
      </c>
    </row>
    <row r="102" spans="1:16" s="171" customFormat="1" x14ac:dyDescent="0.65">
      <c r="A102" s="162" t="s">
        <v>112</v>
      </c>
      <c r="B102" s="163">
        <v>8</v>
      </c>
      <c r="C102" s="167" t="str">
        <f t="shared" si="20"/>
        <v>H02-23-0068</v>
      </c>
      <c r="D102" s="165">
        <f t="shared" si="17"/>
        <v>45222</v>
      </c>
      <c r="E102" s="162">
        <v>74</v>
      </c>
      <c r="F102" s="166" t="str">
        <f t="shared" si="13"/>
        <v>OFFICIAL RECEIPTS</v>
      </c>
      <c r="G102" s="167" t="s">
        <v>17</v>
      </c>
      <c r="H102" s="167" t="s">
        <v>113</v>
      </c>
      <c r="I102" s="168" t="s">
        <v>19</v>
      </c>
      <c r="J102" s="163">
        <v>2014</v>
      </c>
      <c r="K102" s="169">
        <f>2024-Table1[[#This Row],[LATEST YEAR]]</f>
        <v>10</v>
      </c>
      <c r="L102" s="169">
        <f>VLOOKUP(Table1[[#This Row],[GRDS ITEM NO]],RETENTION1,4,0)</f>
        <v>10</v>
      </c>
      <c r="M102" s="169">
        <f>Table1[[#This Row],[RETENTION PERIOD]]-Table1[[#This Row],[NO. YEARS AS OF 2024]]</f>
        <v>0</v>
      </c>
      <c r="N102" s="163"/>
      <c r="O102" s="145"/>
      <c r="P102" s="145" t="s">
        <v>20</v>
      </c>
    </row>
    <row r="103" spans="1:16" s="171" customFormat="1" x14ac:dyDescent="0.65">
      <c r="A103" s="162" t="s">
        <v>112</v>
      </c>
      <c r="B103" s="163">
        <v>9</v>
      </c>
      <c r="C103" s="164" t="str">
        <f t="shared" si="20"/>
        <v>H02-23-0069</v>
      </c>
      <c r="D103" s="165">
        <f t="shared" si="17"/>
        <v>45222</v>
      </c>
      <c r="E103" s="162">
        <v>74</v>
      </c>
      <c r="F103" s="166" t="str">
        <f t="shared" si="13"/>
        <v>OFFICIAL RECEIPTS</v>
      </c>
      <c r="G103" s="167" t="s">
        <v>17</v>
      </c>
      <c r="H103" s="167" t="s">
        <v>113</v>
      </c>
      <c r="I103" s="168" t="s">
        <v>19</v>
      </c>
      <c r="J103" s="163">
        <v>2014</v>
      </c>
      <c r="K103" s="169">
        <f>2024-Table1[[#This Row],[LATEST YEAR]]</f>
        <v>10</v>
      </c>
      <c r="L103" s="169">
        <f>VLOOKUP(Table1[[#This Row],[GRDS ITEM NO]],RETENTION1,4,0)</f>
        <v>10</v>
      </c>
      <c r="M103" s="169">
        <f>Table1[[#This Row],[RETENTION PERIOD]]-Table1[[#This Row],[NO. YEARS AS OF 2024]]</f>
        <v>0</v>
      </c>
      <c r="N103" s="163"/>
      <c r="O103" s="145"/>
      <c r="P103" s="145" t="s">
        <v>20</v>
      </c>
    </row>
    <row r="104" spans="1:16" s="171" customFormat="1" x14ac:dyDescent="0.65">
      <c r="A104" s="162" t="s">
        <v>112</v>
      </c>
      <c r="B104" s="163">
        <v>10</v>
      </c>
      <c r="C104" s="167" t="str">
        <f t="shared" si="20"/>
        <v>H02-23-00610</v>
      </c>
      <c r="D104" s="165">
        <f t="shared" si="17"/>
        <v>45222</v>
      </c>
      <c r="E104" s="162">
        <v>74</v>
      </c>
      <c r="F104" s="166" t="str">
        <f t="shared" si="13"/>
        <v>OFFICIAL RECEIPTS</v>
      </c>
      <c r="G104" s="167" t="s">
        <v>17</v>
      </c>
      <c r="H104" s="167" t="s">
        <v>113</v>
      </c>
      <c r="I104" s="168" t="s">
        <v>19</v>
      </c>
      <c r="J104" s="163">
        <v>2014</v>
      </c>
      <c r="K104" s="169">
        <f>2024-Table1[[#This Row],[LATEST YEAR]]</f>
        <v>10</v>
      </c>
      <c r="L104" s="169">
        <f>VLOOKUP(Table1[[#This Row],[GRDS ITEM NO]],RETENTION1,4,0)</f>
        <v>10</v>
      </c>
      <c r="M104" s="169">
        <f>Table1[[#This Row],[RETENTION PERIOD]]-Table1[[#This Row],[NO. YEARS AS OF 2024]]</f>
        <v>0</v>
      </c>
      <c r="N104" s="163"/>
      <c r="O104" s="145"/>
      <c r="P104" s="145" t="s">
        <v>20</v>
      </c>
    </row>
    <row r="105" spans="1:16" s="171" customFormat="1" x14ac:dyDescent="0.65">
      <c r="A105" s="162" t="s">
        <v>114</v>
      </c>
      <c r="B105" s="163">
        <v>1</v>
      </c>
      <c r="C105" s="167" t="str">
        <f t="shared" si="20"/>
        <v>H02-23-0071</v>
      </c>
      <c r="D105" s="165">
        <f t="shared" si="17"/>
        <v>45222</v>
      </c>
      <c r="E105" s="162">
        <v>26</v>
      </c>
      <c r="F105" s="166" t="str">
        <f t="shared" si="13"/>
        <v>REPORTS
-OTHERS (Batch Balance Sheet)</v>
      </c>
      <c r="G105" s="167" t="s">
        <v>17</v>
      </c>
      <c r="H105" s="167" t="s">
        <v>18</v>
      </c>
      <c r="I105" s="168" t="s">
        <v>115</v>
      </c>
      <c r="J105" s="163">
        <v>2021</v>
      </c>
      <c r="K105" s="169">
        <f>2024-Table1[[#This Row],[LATEST YEAR]]</f>
        <v>3</v>
      </c>
      <c r="L105" s="169">
        <f>VLOOKUP(Table1[[#This Row],[GRDS ITEM NO]],RETENTION1,4,0)</f>
        <v>2</v>
      </c>
      <c r="M105" s="169">
        <f>Table1[[#This Row],[RETENTION PERIOD]]-Table1[[#This Row],[NO. YEARS AS OF 2024]]</f>
        <v>-1</v>
      </c>
      <c r="N105" s="163"/>
      <c r="O105" s="145"/>
      <c r="P105" s="145" t="s">
        <v>20</v>
      </c>
    </row>
    <row r="106" spans="1:16" s="171" customFormat="1" x14ac:dyDescent="0.65">
      <c r="A106" s="162" t="s">
        <v>114</v>
      </c>
      <c r="B106" s="163">
        <v>2</v>
      </c>
      <c r="C106" s="164" t="str">
        <f t="shared" si="20"/>
        <v>H02-23-0072</v>
      </c>
      <c r="D106" s="165">
        <f t="shared" si="17"/>
        <v>45222</v>
      </c>
      <c r="E106" s="162">
        <v>26</v>
      </c>
      <c r="F106" s="166" t="str">
        <f t="shared" si="13"/>
        <v>REPORTS
-OTHERS (Batch Balance Sheet)</v>
      </c>
      <c r="G106" s="167" t="s">
        <v>17</v>
      </c>
      <c r="H106" s="167" t="s">
        <v>18</v>
      </c>
      <c r="I106" s="168" t="s">
        <v>115</v>
      </c>
      <c r="J106" s="163">
        <v>2021</v>
      </c>
      <c r="K106" s="169">
        <f>2024-Table1[[#This Row],[LATEST YEAR]]</f>
        <v>3</v>
      </c>
      <c r="L106" s="169">
        <f>VLOOKUP(Table1[[#This Row],[GRDS ITEM NO]],RETENTION1,4,0)</f>
        <v>2</v>
      </c>
      <c r="M106" s="169">
        <f>Table1[[#This Row],[RETENTION PERIOD]]-Table1[[#This Row],[NO. YEARS AS OF 2024]]</f>
        <v>-1</v>
      </c>
      <c r="N106" s="163"/>
      <c r="O106" s="145"/>
      <c r="P106" s="145" t="s">
        <v>20</v>
      </c>
    </row>
    <row r="107" spans="1:16" s="171" customFormat="1" x14ac:dyDescent="0.65">
      <c r="A107" s="162" t="s">
        <v>116</v>
      </c>
      <c r="B107" s="163">
        <v>1</v>
      </c>
      <c r="C107" s="164" t="str">
        <f t="shared" ref="C107:C114" si="21">_xlfn.CONCAT(A107,B107)</f>
        <v>H02-23-0081</v>
      </c>
      <c r="D107" s="165">
        <f t="shared" si="17"/>
        <v>45222</v>
      </c>
      <c r="E107" s="162" t="s">
        <v>80</v>
      </c>
      <c r="F107" s="166" t="str">
        <f t="shared" si="13"/>
        <v>EMPLOYEE-MEMBER APPLICATIONS (E1, E4, NW1, OW1, RS1)</v>
      </c>
      <c r="G107" s="167" t="s">
        <v>34</v>
      </c>
      <c r="H107" s="167" t="s">
        <v>89</v>
      </c>
      <c r="I107" s="168">
        <v>2020</v>
      </c>
      <c r="J107" s="163">
        <v>2020</v>
      </c>
      <c r="K107" s="169">
        <f>2024-Table1[[#This Row],[LATEST YEAR]]</f>
        <v>4</v>
      </c>
      <c r="L107" s="169">
        <f>VLOOKUP(Table1[[#This Row],[GRDS ITEM NO]],RETENTION1,4,0)</f>
        <v>1</v>
      </c>
      <c r="M107" s="169">
        <f>Table1[[#This Row],[RETENTION PERIOD]]-Table1[[#This Row],[NO. YEARS AS OF 2024]]</f>
        <v>-3</v>
      </c>
      <c r="N107" s="163"/>
      <c r="O107" s="145"/>
      <c r="P107" s="145" t="s">
        <v>20</v>
      </c>
    </row>
    <row r="108" spans="1:16" s="171" customFormat="1" x14ac:dyDescent="0.65">
      <c r="A108" s="162" t="s">
        <v>116</v>
      </c>
      <c r="B108" s="163">
        <v>2</v>
      </c>
      <c r="C108" s="164" t="str">
        <f t="shared" si="21"/>
        <v>H02-23-0082</v>
      </c>
      <c r="D108" s="165">
        <f t="shared" si="17"/>
        <v>45222</v>
      </c>
      <c r="E108" s="162" t="s">
        <v>80</v>
      </c>
      <c r="F108" s="166" t="str">
        <f t="shared" si="13"/>
        <v>EMPLOYEE-MEMBER APPLICATIONS (E1, E4, NW1, OW1, RS1)</v>
      </c>
      <c r="G108" s="167" t="str">
        <f t="shared" ref="G108:G110" si="22">G107</f>
        <v>MEMBER SERVICES SECTION</v>
      </c>
      <c r="H108" s="167" t="s">
        <v>89</v>
      </c>
      <c r="I108" s="168">
        <v>2022</v>
      </c>
      <c r="J108" s="163">
        <v>2022</v>
      </c>
      <c r="K108" s="169">
        <f>2024-Table1[[#This Row],[LATEST YEAR]]</f>
        <v>2</v>
      </c>
      <c r="L108" s="169">
        <f>VLOOKUP(Table1[[#This Row],[GRDS ITEM NO]],RETENTION1,4,0)</f>
        <v>1</v>
      </c>
      <c r="M108" s="169">
        <f>Table1[[#This Row],[RETENTION PERIOD]]-Table1[[#This Row],[NO. YEARS AS OF 2024]]</f>
        <v>-1</v>
      </c>
      <c r="N108" s="163"/>
      <c r="O108" s="145"/>
      <c r="P108" s="145" t="s">
        <v>20</v>
      </c>
    </row>
    <row r="109" spans="1:16" s="171" customFormat="1" x14ac:dyDescent="0.65">
      <c r="A109" s="162" t="s">
        <v>116</v>
      </c>
      <c r="B109" s="163">
        <v>3</v>
      </c>
      <c r="C109" s="164" t="str">
        <f t="shared" si="21"/>
        <v>H02-23-0083</v>
      </c>
      <c r="D109" s="165">
        <f t="shared" si="17"/>
        <v>45222</v>
      </c>
      <c r="E109" s="162" t="s">
        <v>80</v>
      </c>
      <c r="F109" s="166" t="str">
        <f t="shared" si="13"/>
        <v>EMPLOYEE-MEMBER APPLICATIONS (E1, E4, NW1, OW1, RS1)</v>
      </c>
      <c r="G109" s="167" t="str">
        <f t="shared" si="22"/>
        <v>MEMBER SERVICES SECTION</v>
      </c>
      <c r="H109" s="167" t="s">
        <v>89</v>
      </c>
      <c r="I109" s="168">
        <v>2022</v>
      </c>
      <c r="J109" s="163">
        <v>2022</v>
      </c>
      <c r="K109" s="169">
        <f>2024-Table1[[#This Row],[LATEST YEAR]]</f>
        <v>2</v>
      </c>
      <c r="L109" s="169">
        <f>VLOOKUP(Table1[[#This Row],[GRDS ITEM NO]],RETENTION1,4,0)</f>
        <v>1</v>
      </c>
      <c r="M109" s="169">
        <f>Table1[[#This Row],[RETENTION PERIOD]]-Table1[[#This Row],[NO. YEARS AS OF 2024]]</f>
        <v>-1</v>
      </c>
      <c r="N109" s="163"/>
      <c r="O109" s="145"/>
      <c r="P109" s="145" t="s">
        <v>20</v>
      </c>
    </row>
    <row r="110" spans="1:16" s="171" customFormat="1" x14ac:dyDescent="0.65">
      <c r="A110" s="162" t="s">
        <v>116</v>
      </c>
      <c r="B110" s="163">
        <v>4</v>
      </c>
      <c r="C110" s="164" t="str">
        <f t="shared" si="21"/>
        <v>H02-23-0084</v>
      </c>
      <c r="D110" s="165">
        <f t="shared" si="17"/>
        <v>45222</v>
      </c>
      <c r="E110" s="162" t="s">
        <v>80</v>
      </c>
      <c r="F110" s="166" t="str">
        <f t="shared" si="13"/>
        <v>EMPLOYEE-MEMBER APPLICATIONS (E1, E4, NW1, OW1, RS1)</v>
      </c>
      <c r="G110" s="167" t="str">
        <f t="shared" si="22"/>
        <v>MEMBER SERVICES SECTION</v>
      </c>
      <c r="H110" s="167" t="s">
        <v>117</v>
      </c>
      <c r="I110" s="168">
        <v>2019</v>
      </c>
      <c r="J110" s="163">
        <v>2019</v>
      </c>
      <c r="K110" s="169">
        <f>2024-Table1[[#This Row],[LATEST YEAR]]</f>
        <v>5</v>
      </c>
      <c r="L110" s="169">
        <f>VLOOKUP(Table1[[#This Row],[GRDS ITEM NO]],RETENTION1,4,0)</f>
        <v>1</v>
      </c>
      <c r="M110" s="169">
        <f>Table1[[#This Row],[RETENTION PERIOD]]-Table1[[#This Row],[NO. YEARS AS OF 2024]]</f>
        <v>-4</v>
      </c>
      <c r="N110" s="163"/>
      <c r="O110" s="145"/>
      <c r="P110" s="145" t="s">
        <v>20</v>
      </c>
    </row>
    <row r="111" spans="1:16" s="171" customFormat="1" x14ac:dyDescent="0.65">
      <c r="A111" s="162" t="s">
        <v>116</v>
      </c>
      <c r="B111" s="163">
        <v>5</v>
      </c>
      <c r="C111" s="164" t="str">
        <f t="shared" si="21"/>
        <v>H02-23-0085</v>
      </c>
      <c r="D111" s="165">
        <f t="shared" si="17"/>
        <v>45222</v>
      </c>
      <c r="E111" s="162" t="s">
        <v>80</v>
      </c>
      <c r="F111" s="166" t="str">
        <f t="shared" si="13"/>
        <v>EMPLOYEE-MEMBER APPLICATIONS (E1, E4, NW1, OW1, RS1)</v>
      </c>
      <c r="G111" s="167" t="s">
        <v>34</v>
      </c>
      <c r="H111" s="167" t="s">
        <v>89</v>
      </c>
      <c r="I111" s="168" t="s">
        <v>118</v>
      </c>
      <c r="J111" s="163">
        <v>2018</v>
      </c>
      <c r="K111" s="169">
        <f>2024-Table1[[#This Row],[LATEST YEAR]]</f>
        <v>6</v>
      </c>
      <c r="L111" s="169">
        <f>VLOOKUP(Table1[[#This Row],[GRDS ITEM NO]],RETENTION1,4,0)</f>
        <v>1</v>
      </c>
      <c r="M111" s="169">
        <f>Table1[[#This Row],[RETENTION PERIOD]]-Table1[[#This Row],[NO. YEARS AS OF 2024]]</f>
        <v>-5</v>
      </c>
      <c r="N111" s="163"/>
      <c r="O111" s="145"/>
      <c r="P111" s="145" t="s">
        <v>20</v>
      </c>
    </row>
    <row r="112" spans="1:16" s="171" customFormat="1" x14ac:dyDescent="0.65">
      <c r="A112" s="162" t="s">
        <v>116</v>
      </c>
      <c r="B112" s="163">
        <v>6</v>
      </c>
      <c r="C112" s="164" t="str">
        <f t="shared" si="21"/>
        <v>H02-23-0086</v>
      </c>
      <c r="D112" s="165">
        <f t="shared" si="17"/>
        <v>45222</v>
      </c>
      <c r="E112" s="162" t="s">
        <v>80</v>
      </c>
      <c r="F112" s="166" t="str">
        <f t="shared" si="13"/>
        <v>EMPLOYEE-MEMBER APPLICATIONS (E1, E4, NW1, OW1, RS1)</v>
      </c>
      <c r="G112" s="167" t="s">
        <v>34</v>
      </c>
      <c r="H112" s="167" t="s">
        <v>89</v>
      </c>
      <c r="I112" s="168">
        <v>2022</v>
      </c>
      <c r="J112" s="163">
        <v>2022</v>
      </c>
      <c r="K112" s="169">
        <f>2024-Table1[[#This Row],[LATEST YEAR]]</f>
        <v>2</v>
      </c>
      <c r="L112" s="169">
        <f>VLOOKUP(Table1[[#This Row],[GRDS ITEM NO]],RETENTION1,4,0)</f>
        <v>1</v>
      </c>
      <c r="M112" s="169">
        <f>Table1[[#This Row],[RETENTION PERIOD]]-Table1[[#This Row],[NO. YEARS AS OF 2024]]</f>
        <v>-1</v>
      </c>
      <c r="N112" s="163"/>
      <c r="O112" s="145"/>
      <c r="P112" s="145" t="s">
        <v>20</v>
      </c>
    </row>
    <row r="113" spans="1:16" s="171" customFormat="1" x14ac:dyDescent="0.65">
      <c r="A113" s="162" t="s">
        <v>119</v>
      </c>
      <c r="B113" s="163">
        <v>1</v>
      </c>
      <c r="C113" s="164" t="str">
        <f t="shared" si="21"/>
        <v>H02-23-0091</v>
      </c>
      <c r="D113" s="165">
        <f t="shared" si="17"/>
        <v>45222</v>
      </c>
      <c r="E113" s="162" t="s">
        <v>104</v>
      </c>
      <c r="F113" s="166" t="str">
        <f t="shared" ref="F113:F136" si="23">VLOOKUP(E113,DESCRIP,2,0)</f>
        <v>EMPLOYER-MEMBER APPLICATIONS (R1, R1A, R8)</v>
      </c>
      <c r="G113" s="167" t="s">
        <v>34</v>
      </c>
      <c r="H113" s="167" t="s">
        <v>120</v>
      </c>
      <c r="I113" s="168">
        <v>2022</v>
      </c>
      <c r="J113" s="163">
        <v>2022</v>
      </c>
      <c r="K113" s="169">
        <f>2024-Table1[[#This Row],[LATEST YEAR]]</f>
        <v>2</v>
      </c>
      <c r="L113" s="169">
        <f>VLOOKUP(Table1[[#This Row],[GRDS ITEM NO]],RETENTION1,4,0)</f>
        <v>1</v>
      </c>
      <c r="M113" s="169">
        <f>Table1[[#This Row],[RETENTION PERIOD]]-Table1[[#This Row],[NO. YEARS AS OF 2024]]</f>
        <v>-1</v>
      </c>
      <c r="N113" s="163"/>
      <c r="O113" s="145"/>
      <c r="P113" s="145" t="s">
        <v>20</v>
      </c>
    </row>
    <row r="114" spans="1:16" s="171" customFormat="1" x14ac:dyDescent="0.65">
      <c r="A114" s="162" t="s">
        <v>121</v>
      </c>
      <c r="B114" s="163">
        <v>1</v>
      </c>
      <c r="C114" s="164" t="str">
        <f t="shared" si="21"/>
        <v>H02-23-0101</v>
      </c>
      <c r="D114" s="165">
        <f t="shared" si="17"/>
        <v>45222</v>
      </c>
      <c r="E114" s="162" t="s">
        <v>80</v>
      </c>
      <c r="F114" s="166" t="str">
        <f t="shared" si="23"/>
        <v>EMPLOYEE-MEMBER APPLICATIONS (E1, E4, NW1, OW1, RS1)</v>
      </c>
      <c r="G114" s="167" t="s">
        <v>34</v>
      </c>
      <c r="H114" s="167" t="s">
        <v>111</v>
      </c>
      <c r="I114" s="168">
        <v>2020</v>
      </c>
      <c r="J114" s="163">
        <v>2020</v>
      </c>
      <c r="K114" s="169">
        <f>2024-Table1[[#This Row],[LATEST YEAR]]</f>
        <v>4</v>
      </c>
      <c r="L114" s="169">
        <f>VLOOKUP(Table1[[#This Row],[GRDS ITEM NO]],RETENTION1,4,0)</f>
        <v>1</v>
      </c>
      <c r="M114" s="169">
        <f>Table1[[#This Row],[RETENTION PERIOD]]-Table1[[#This Row],[NO. YEARS AS OF 2024]]</f>
        <v>-3</v>
      </c>
      <c r="N114" s="163"/>
      <c r="O114" s="145"/>
      <c r="P114" s="145" t="s">
        <v>20</v>
      </c>
    </row>
    <row r="115" spans="1:16" s="171" customFormat="1" x14ac:dyDescent="0.65">
      <c r="A115" s="162" t="s">
        <v>121</v>
      </c>
      <c r="B115" s="163">
        <v>2</v>
      </c>
      <c r="C115" s="164" t="str">
        <f t="shared" ref="C115:C117" si="24">_xlfn.CONCAT(A115,B115)</f>
        <v>H02-23-0102</v>
      </c>
      <c r="D115" s="165">
        <f t="shared" si="17"/>
        <v>45222</v>
      </c>
      <c r="E115" s="162" t="s">
        <v>80</v>
      </c>
      <c r="F115" s="166" t="str">
        <f t="shared" si="23"/>
        <v>EMPLOYEE-MEMBER APPLICATIONS (E1, E4, NW1, OW1, RS1)</v>
      </c>
      <c r="G115" s="167" t="s">
        <v>34</v>
      </c>
      <c r="H115" s="167" t="s">
        <v>111</v>
      </c>
      <c r="I115" s="168">
        <v>2021</v>
      </c>
      <c r="J115" s="163">
        <v>2021</v>
      </c>
      <c r="K115" s="169">
        <f>2024-Table1[[#This Row],[LATEST YEAR]]</f>
        <v>3</v>
      </c>
      <c r="L115" s="169">
        <f>VLOOKUP(Table1[[#This Row],[GRDS ITEM NO]],RETENTION1,4,0)</f>
        <v>1</v>
      </c>
      <c r="M115" s="169">
        <f>Table1[[#This Row],[RETENTION PERIOD]]-Table1[[#This Row],[NO. YEARS AS OF 2024]]</f>
        <v>-2</v>
      </c>
      <c r="N115" s="163"/>
      <c r="O115" s="145"/>
      <c r="P115" s="145" t="s">
        <v>20</v>
      </c>
    </row>
    <row r="116" spans="1:16" s="171" customFormat="1" x14ac:dyDescent="0.65">
      <c r="A116" s="162" t="s">
        <v>121</v>
      </c>
      <c r="B116" s="163">
        <v>3</v>
      </c>
      <c r="C116" s="164" t="str">
        <f t="shared" si="24"/>
        <v>H02-23-0103</v>
      </c>
      <c r="D116" s="165">
        <f t="shared" si="17"/>
        <v>45222</v>
      </c>
      <c r="E116" s="162" t="s">
        <v>80</v>
      </c>
      <c r="F116" s="166" t="str">
        <f t="shared" si="23"/>
        <v>EMPLOYEE-MEMBER APPLICATIONS (E1, E4, NW1, OW1, RS1)</v>
      </c>
      <c r="G116" s="167" t="s">
        <v>34</v>
      </c>
      <c r="H116" s="167" t="s">
        <v>111</v>
      </c>
      <c r="I116" s="168">
        <v>2022</v>
      </c>
      <c r="J116" s="163">
        <v>2022</v>
      </c>
      <c r="K116" s="169">
        <f>2024-Table1[[#This Row],[LATEST YEAR]]</f>
        <v>2</v>
      </c>
      <c r="L116" s="169">
        <f>VLOOKUP(Table1[[#This Row],[GRDS ITEM NO]],RETENTION1,4,0)</f>
        <v>1</v>
      </c>
      <c r="M116" s="169">
        <f>Table1[[#This Row],[RETENTION PERIOD]]-Table1[[#This Row],[NO. YEARS AS OF 2024]]</f>
        <v>-1</v>
      </c>
      <c r="N116" s="163"/>
      <c r="O116" s="145"/>
      <c r="P116" s="145" t="s">
        <v>20</v>
      </c>
    </row>
    <row r="117" spans="1:16" s="171" customFormat="1" x14ac:dyDescent="0.65">
      <c r="A117" s="162" t="s">
        <v>121</v>
      </c>
      <c r="B117" s="163">
        <v>4</v>
      </c>
      <c r="C117" s="164" t="str">
        <f t="shared" si="24"/>
        <v>H02-23-0104</v>
      </c>
      <c r="D117" s="165">
        <f t="shared" si="17"/>
        <v>45222</v>
      </c>
      <c r="E117" s="162" t="s">
        <v>80</v>
      </c>
      <c r="F117" s="166" t="str">
        <f t="shared" si="23"/>
        <v>EMPLOYEE-MEMBER APPLICATIONS (E1, E4, NW1, OW1, RS1)</v>
      </c>
      <c r="G117" s="167" t="s">
        <v>34</v>
      </c>
      <c r="H117" s="167" t="s">
        <v>122</v>
      </c>
      <c r="I117" s="168">
        <v>2019</v>
      </c>
      <c r="J117" s="163">
        <v>2019</v>
      </c>
      <c r="K117" s="169">
        <f>2024-Table1[[#This Row],[LATEST YEAR]]</f>
        <v>5</v>
      </c>
      <c r="L117" s="169">
        <f>VLOOKUP(Table1[[#This Row],[GRDS ITEM NO]],RETENTION1,4,0)</f>
        <v>1</v>
      </c>
      <c r="M117" s="169">
        <f>Table1[[#This Row],[RETENTION PERIOD]]-Table1[[#This Row],[NO. YEARS AS OF 2024]]</f>
        <v>-4</v>
      </c>
      <c r="N117" s="163"/>
      <c r="O117" s="145"/>
      <c r="P117" s="145" t="s">
        <v>20</v>
      </c>
    </row>
    <row r="118" spans="1:16" s="171" customFormat="1" x14ac:dyDescent="0.65">
      <c r="A118" s="162" t="s">
        <v>121</v>
      </c>
      <c r="B118" s="163">
        <v>5</v>
      </c>
      <c r="C118" s="164" t="str">
        <f t="shared" ref="C118:C119" si="25">_xlfn.CONCAT(A118,B118)</f>
        <v>H02-23-0105</v>
      </c>
      <c r="D118" s="165">
        <f t="shared" si="17"/>
        <v>45222</v>
      </c>
      <c r="E118" s="162" t="s">
        <v>80</v>
      </c>
      <c r="F118" s="166" t="str">
        <f t="shared" si="23"/>
        <v>EMPLOYEE-MEMBER APPLICATIONS (E1, E4, NW1, OW1, RS1)</v>
      </c>
      <c r="G118" s="167" t="s">
        <v>34</v>
      </c>
      <c r="H118" s="167" t="s">
        <v>89</v>
      </c>
      <c r="I118" s="168" t="s">
        <v>123</v>
      </c>
      <c r="J118" s="163">
        <v>2015</v>
      </c>
      <c r="K118" s="169">
        <f>2024-Table1[[#This Row],[LATEST YEAR]]</f>
        <v>9</v>
      </c>
      <c r="L118" s="169">
        <f>VLOOKUP(Table1[[#This Row],[GRDS ITEM NO]],RETENTION1,4,0)</f>
        <v>1</v>
      </c>
      <c r="M118" s="169">
        <f>Table1[[#This Row],[RETENTION PERIOD]]-Table1[[#This Row],[NO. YEARS AS OF 2024]]</f>
        <v>-8</v>
      </c>
      <c r="N118" s="163"/>
      <c r="O118" s="145"/>
      <c r="P118" s="145" t="s">
        <v>20</v>
      </c>
    </row>
    <row r="119" spans="1:16" s="171" customFormat="1" x14ac:dyDescent="0.65">
      <c r="A119" s="162" t="s">
        <v>121</v>
      </c>
      <c r="B119" s="163">
        <v>6</v>
      </c>
      <c r="C119" s="164" t="str">
        <f t="shared" si="25"/>
        <v>H02-23-0106</v>
      </c>
      <c r="D119" s="165">
        <f t="shared" si="17"/>
        <v>45222</v>
      </c>
      <c r="E119" s="162" t="s">
        <v>80</v>
      </c>
      <c r="F119" s="166" t="str">
        <f t="shared" si="23"/>
        <v>EMPLOYEE-MEMBER APPLICATIONS (E1, E4, NW1, OW1, RS1)</v>
      </c>
      <c r="G119" s="167" t="s">
        <v>34</v>
      </c>
      <c r="H119" s="167" t="s">
        <v>89</v>
      </c>
      <c r="I119" s="168">
        <v>2020</v>
      </c>
      <c r="J119" s="163">
        <v>2020</v>
      </c>
      <c r="K119" s="169">
        <f>2024-Table1[[#This Row],[LATEST YEAR]]</f>
        <v>4</v>
      </c>
      <c r="L119" s="169">
        <f>VLOOKUP(Table1[[#This Row],[GRDS ITEM NO]],RETENTION1,4,0)</f>
        <v>1</v>
      </c>
      <c r="M119" s="169">
        <f>Table1[[#This Row],[RETENTION PERIOD]]-Table1[[#This Row],[NO. YEARS AS OF 2024]]</f>
        <v>-3</v>
      </c>
      <c r="N119" s="163"/>
      <c r="O119" s="145"/>
      <c r="P119" s="145" t="s">
        <v>20</v>
      </c>
    </row>
    <row r="120" spans="1:16" x14ac:dyDescent="0.65">
      <c r="A120" s="145" t="s">
        <v>124</v>
      </c>
      <c r="B120" s="146">
        <v>1</v>
      </c>
      <c r="C120" s="147" t="str">
        <f>_xlfn.CONCAT(A120,B120)</f>
        <v>H02-23-0111</v>
      </c>
      <c r="D120" s="148">
        <f t="shared" si="17"/>
        <v>45222</v>
      </c>
      <c r="E120" s="145">
        <v>74</v>
      </c>
      <c r="F120" s="149" t="str">
        <f t="shared" si="23"/>
        <v>OFFICIAL RECEIPTS</v>
      </c>
      <c r="G120" s="150" t="s">
        <v>17</v>
      </c>
      <c r="H120" s="150" t="s">
        <v>113</v>
      </c>
      <c r="I120" s="151" t="s">
        <v>125</v>
      </c>
      <c r="J120" s="146">
        <v>2019</v>
      </c>
      <c r="K120" s="25">
        <f>2024-Table1[[#This Row],[LATEST YEAR]]</f>
        <v>5</v>
      </c>
      <c r="L120" s="25">
        <f>VLOOKUP(Table1[[#This Row],[GRDS ITEM NO]],RETENTION1,4,0)</f>
        <v>10</v>
      </c>
      <c r="M120" s="25">
        <f>Table1[[#This Row],[RETENTION PERIOD]]-Table1[[#This Row],[NO. YEARS AS OF 2024]]</f>
        <v>5</v>
      </c>
      <c r="N120" s="146"/>
      <c r="O120" s="145"/>
      <c r="P120" s="145" t="s">
        <v>126</v>
      </c>
    </row>
    <row r="121" spans="1:16" x14ac:dyDescent="0.65">
      <c r="A121" s="145" t="s">
        <v>124</v>
      </c>
      <c r="B121" s="146">
        <v>2</v>
      </c>
      <c r="C121" s="147" t="str">
        <f t="shared" ref="C121:C125" si="26">_xlfn.CONCAT(A121,B121)</f>
        <v>H02-23-0112</v>
      </c>
      <c r="D121" s="148">
        <f t="shared" si="17"/>
        <v>45222</v>
      </c>
      <c r="E121" s="145">
        <v>74</v>
      </c>
      <c r="F121" s="149" t="str">
        <f t="shared" si="23"/>
        <v>OFFICIAL RECEIPTS</v>
      </c>
      <c r="G121" s="150" t="s">
        <v>17</v>
      </c>
      <c r="H121" s="150" t="s">
        <v>113</v>
      </c>
      <c r="I121" s="151" t="s">
        <v>125</v>
      </c>
      <c r="J121" s="146">
        <v>2019</v>
      </c>
      <c r="K121" s="25">
        <f>2024-Table1[[#This Row],[LATEST YEAR]]</f>
        <v>5</v>
      </c>
      <c r="L121" s="25">
        <f>VLOOKUP(Table1[[#This Row],[GRDS ITEM NO]],RETENTION1,4,0)</f>
        <v>10</v>
      </c>
      <c r="M121" s="25">
        <f>Table1[[#This Row],[RETENTION PERIOD]]-Table1[[#This Row],[NO. YEARS AS OF 2024]]</f>
        <v>5</v>
      </c>
      <c r="N121" s="146"/>
      <c r="O121" s="145"/>
      <c r="P121" s="145" t="s">
        <v>126</v>
      </c>
    </row>
    <row r="122" spans="1:16" x14ac:dyDescent="0.65">
      <c r="A122" s="145" t="s">
        <v>124</v>
      </c>
      <c r="B122" s="146">
        <v>3</v>
      </c>
      <c r="C122" s="147" t="str">
        <f t="shared" si="26"/>
        <v>H02-23-0113</v>
      </c>
      <c r="D122" s="148">
        <f t="shared" si="17"/>
        <v>45222</v>
      </c>
      <c r="E122" s="145">
        <v>74</v>
      </c>
      <c r="F122" s="149" t="str">
        <f t="shared" si="23"/>
        <v>OFFICIAL RECEIPTS</v>
      </c>
      <c r="G122" s="150" t="s">
        <v>17</v>
      </c>
      <c r="H122" s="150" t="s">
        <v>113</v>
      </c>
      <c r="I122" s="151" t="s">
        <v>125</v>
      </c>
      <c r="J122" s="146">
        <v>2019</v>
      </c>
      <c r="K122" s="25">
        <f>2024-Table1[[#This Row],[LATEST YEAR]]</f>
        <v>5</v>
      </c>
      <c r="L122" s="25">
        <f>VLOOKUP(Table1[[#This Row],[GRDS ITEM NO]],RETENTION1,4,0)</f>
        <v>10</v>
      </c>
      <c r="M122" s="25">
        <f>Table1[[#This Row],[RETENTION PERIOD]]-Table1[[#This Row],[NO. YEARS AS OF 2024]]</f>
        <v>5</v>
      </c>
      <c r="N122" s="146"/>
      <c r="O122" s="145"/>
      <c r="P122" s="145" t="s">
        <v>126</v>
      </c>
    </row>
    <row r="123" spans="1:16" x14ac:dyDescent="0.65">
      <c r="A123" s="145" t="s">
        <v>124</v>
      </c>
      <c r="B123" s="146">
        <v>4</v>
      </c>
      <c r="C123" s="147" t="str">
        <f t="shared" si="26"/>
        <v>H02-23-0114</v>
      </c>
      <c r="D123" s="148">
        <f t="shared" si="17"/>
        <v>45222</v>
      </c>
      <c r="E123" s="145">
        <v>74</v>
      </c>
      <c r="F123" s="149" t="str">
        <f t="shared" si="23"/>
        <v>OFFICIAL RECEIPTS</v>
      </c>
      <c r="G123" s="150" t="s">
        <v>17</v>
      </c>
      <c r="H123" s="150" t="s">
        <v>113</v>
      </c>
      <c r="I123" s="151" t="s">
        <v>125</v>
      </c>
      <c r="J123" s="146">
        <v>2019</v>
      </c>
      <c r="K123" s="25">
        <f>2024-Table1[[#This Row],[LATEST YEAR]]</f>
        <v>5</v>
      </c>
      <c r="L123" s="25">
        <f>VLOOKUP(Table1[[#This Row],[GRDS ITEM NO]],RETENTION1,4,0)</f>
        <v>10</v>
      </c>
      <c r="M123" s="25">
        <f>Table1[[#This Row],[RETENTION PERIOD]]-Table1[[#This Row],[NO. YEARS AS OF 2024]]</f>
        <v>5</v>
      </c>
      <c r="N123" s="146"/>
      <c r="O123" s="145"/>
      <c r="P123" s="145" t="s">
        <v>126</v>
      </c>
    </row>
    <row r="124" spans="1:16" x14ac:dyDescent="0.65">
      <c r="A124" s="145" t="s">
        <v>124</v>
      </c>
      <c r="B124" s="146">
        <v>5</v>
      </c>
      <c r="C124" s="147" t="str">
        <f t="shared" si="26"/>
        <v>H02-23-0115</v>
      </c>
      <c r="D124" s="148">
        <f t="shared" si="17"/>
        <v>45222</v>
      </c>
      <c r="E124" s="145">
        <v>74</v>
      </c>
      <c r="F124" s="149" t="str">
        <f t="shared" si="23"/>
        <v>OFFICIAL RECEIPTS</v>
      </c>
      <c r="G124" s="150" t="s">
        <v>17</v>
      </c>
      <c r="H124" s="150" t="s">
        <v>113</v>
      </c>
      <c r="I124" s="151" t="s">
        <v>125</v>
      </c>
      <c r="J124" s="146">
        <v>2019</v>
      </c>
      <c r="K124" s="25">
        <f>2024-Table1[[#This Row],[LATEST YEAR]]</f>
        <v>5</v>
      </c>
      <c r="L124" s="25">
        <f>VLOOKUP(Table1[[#This Row],[GRDS ITEM NO]],RETENTION1,4,0)</f>
        <v>10</v>
      </c>
      <c r="M124" s="25">
        <f>Table1[[#This Row],[RETENTION PERIOD]]-Table1[[#This Row],[NO. YEARS AS OF 2024]]</f>
        <v>5</v>
      </c>
      <c r="N124" s="146"/>
      <c r="O124" s="145"/>
      <c r="P124" s="145" t="s">
        <v>126</v>
      </c>
    </row>
    <row r="125" spans="1:16" x14ac:dyDescent="0.65">
      <c r="A125" s="145" t="s">
        <v>124</v>
      </c>
      <c r="B125" s="146">
        <v>6</v>
      </c>
      <c r="C125" s="147" t="str">
        <f t="shared" si="26"/>
        <v>H02-23-0116</v>
      </c>
      <c r="D125" s="148">
        <f t="shared" si="17"/>
        <v>45222</v>
      </c>
      <c r="E125" s="145">
        <v>74</v>
      </c>
      <c r="F125" s="149" t="str">
        <f t="shared" si="23"/>
        <v>OFFICIAL RECEIPTS</v>
      </c>
      <c r="G125" s="150" t="s">
        <v>17</v>
      </c>
      <c r="H125" s="150" t="s">
        <v>113</v>
      </c>
      <c r="I125" s="151" t="s">
        <v>125</v>
      </c>
      <c r="J125" s="146">
        <v>2019</v>
      </c>
      <c r="K125" s="25">
        <f>2024-Table1[[#This Row],[LATEST YEAR]]</f>
        <v>5</v>
      </c>
      <c r="L125" s="25">
        <f>VLOOKUP(Table1[[#This Row],[GRDS ITEM NO]],RETENTION1,4,0)</f>
        <v>10</v>
      </c>
      <c r="M125" s="25">
        <f>Table1[[#This Row],[RETENTION PERIOD]]-Table1[[#This Row],[NO. YEARS AS OF 2024]]</f>
        <v>5</v>
      </c>
      <c r="N125" s="146"/>
      <c r="O125" s="145"/>
      <c r="P125" s="145" t="s">
        <v>126</v>
      </c>
    </row>
    <row r="126" spans="1:16" x14ac:dyDescent="0.65">
      <c r="A126" s="145" t="s">
        <v>127</v>
      </c>
      <c r="B126" s="146">
        <v>1</v>
      </c>
      <c r="C126" s="147" t="str">
        <f t="shared" ref="C126:C135" si="27">_xlfn.CONCAT(A126,B126)</f>
        <v>H02-23-0121</v>
      </c>
      <c r="D126" s="148">
        <f t="shared" si="17"/>
        <v>45222</v>
      </c>
      <c r="E126" s="145">
        <v>74</v>
      </c>
      <c r="F126" s="149" t="str">
        <f t="shared" si="23"/>
        <v>OFFICIAL RECEIPTS</v>
      </c>
      <c r="G126" s="150" t="s">
        <v>17</v>
      </c>
      <c r="H126" s="150" t="s">
        <v>113</v>
      </c>
      <c r="I126" s="151" t="s">
        <v>128</v>
      </c>
      <c r="J126" s="146">
        <v>2022</v>
      </c>
      <c r="K126" s="25">
        <f>2024-Table1[[#This Row],[LATEST YEAR]]</f>
        <v>2</v>
      </c>
      <c r="L126" s="25">
        <f>VLOOKUP(Table1[[#This Row],[GRDS ITEM NO]],RETENTION1,4,0)</f>
        <v>10</v>
      </c>
      <c r="M126" s="25">
        <f>Table1[[#This Row],[RETENTION PERIOD]]-Table1[[#This Row],[NO. YEARS AS OF 2024]]</f>
        <v>8</v>
      </c>
      <c r="N126" s="146"/>
      <c r="O126" s="145"/>
      <c r="P126" s="145" t="s">
        <v>126</v>
      </c>
    </row>
    <row r="127" spans="1:16" x14ac:dyDescent="0.65">
      <c r="A127" s="145" t="s">
        <v>127</v>
      </c>
      <c r="B127" s="146">
        <v>2</v>
      </c>
      <c r="C127" s="147" t="str">
        <f t="shared" si="27"/>
        <v>H02-23-0122</v>
      </c>
      <c r="D127" s="148">
        <f t="shared" si="17"/>
        <v>45222</v>
      </c>
      <c r="E127" s="145">
        <v>74</v>
      </c>
      <c r="F127" s="149" t="str">
        <f t="shared" si="23"/>
        <v>OFFICIAL RECEIPTS</v>
      </c>
      <c r="G127" s="150" t="s">
        <v>17</v>
      </c>
      <c r="H127" s="150" t="s">
        <v>113</v>
      </c>
      <c r="I127" s="151" t="s">
        <v>128</v>
      </c>
      <c r="J127" s="146">
        <v>2022</v>
      </c>
      <c r="K127" s="25">
        <f>2024-Table1[[#This Row],[LATEST YEAR]]</f>
        <v>2</v>
      </c>
      <c r="L127" s="25">
        <f>VLOOKUP(Table1[[#This Row],[GRDS ITEM NO]],RETENTION1,4,0)</f>
        <v>10</v>
      </c>
      <c r="M127" s="25">
        <f>Table1[[#This Row],[RETENTION PERIOD]]-Table1[[#This Row],[NO. YEARS AS OF 2024]]</f>
        <v>8</v>
      </c>
      <c r="N127" s="146"/>
      <c r="O127" s="145"/>
      <c r="P127" s="145" t="s">
        <v>126</v>
      </c>
    </row>
    <row r="128" spans="1:16" x14ac:dyDescent="0.65">
      <c r="A128" s="145" t="s">
        <v>127</v>
      </c>
      <c r="B128" s="146">
        <v>3</v>
      </c>
      <c r="C128" s="147" t="str">
        <f t="shared" si="27"/>
        <v>H02-23-0123</v>
      </c>
      <c r="D128" s="148">
        <f t="shared" si="17"/>
        <v>45222</v>
      </c>
      <c r="E128" s="145">
        <v>74</v>
      </c>
      <c r="F128" s="149" t="str">
        <f t="shared" si="23"/>
        <v>OFFICIAL RECEIPTS</v>
      </c>
      <c r="G128" s="150" t="s">
        <v>17</v>
      </c>
      <c r="H128" s="150" t="s">
        <v>113</v>
      </c>
      <c r="I128" s="151" t="s">
        <v>128</v>
      </c>
      <c r="J128" s="146">
        <v>2022</v>
      </c>
      <c r="K128" s="25">
        <f>2024-Table1[[#This Row],[LATEST YEAR]]</f>
        <v>2</v>
      </c>
      <c r="L128" s="25">
        <f>VLOOKUP(Table1[[#This Row],[GRDS ITEM NO]],RETENTION1,4,0)</f>
        <v>10</v>
      </c>
      <c r="M128" s="25">
        <f>Table1[[#This Row],[RETENTION PERIOD]]-Table1[[#This Row],[NO. YEARS AS OF 2024]]</f>
        <v>8</v>
      </c>
      <c r="N128" s="146"/>
      <c r="O128" s="145"/>
      <c r="P128" s="145" t="s">
        <v>126</v>
      </c>
    </row>
    <row r="129" spans="1:16" x14ac:dyDescent="0.65">
      <c r="A129" s="145" t="s">
        <v>127</v>
      </c>
      <c r="B129" s="146">
        <v>4</v>
      </c>
      <c r="C129" s="147" t="str">
        <f t="shared" si="27"/>
        <v>H02-23-0124</v>
      </c>
      <c r="D129" s="148">
        <f t="shared" si="17"/>
        <v>45222</v>
      </c>
      <c r="E129" s="145">
        <v>74</v>
      </c>
      <c r="F129" s="149" t="str">
        <f t="shared" si="23"/>
        <v>OFFICIAL RECEIPTS</v>
      </c>
      <c r="G129" s="150" t="s">
        <v>17</v>
      </c>
      <c r="H129" s="150" t="s">
        <v>113</v>
      </c>
      <c r="I129" s="151" t="s">
        <v>128</v>
      </c>
      <c r="J129" s="146">
        <v>2022</v>
      </c>
      <c r="K129" s="25">
        <f>2024-Table1[[#This Row],[LATEST YEAR]]</f>
        <v>2</v>
      </c>
      <c r="L129" s="25">
        <f>VLOOKUP(Table1[[#This Row],[GRDS ITEM NO]],RETENTION1,4,0)</f>
        <v>10</v>
      </c>
      <c r="M129" s="25">
        <f>Table1[[#This Row],[RETENTION PERIOD]]-Table1[[#This Row],[NO. YEARS AS OF 2024]]</f>
        <v>8</v>
      </c>
      <c r="N129" s="146"/>
      <c r="O129" s="145"/>
      <c r="P129" s="145" t="s">
        <v>126</v>
      </c>
    </row>
    <row r="130" spans="1:16" x14ac:dyDescent="0.65">
      <c r="A130" s="145" t="s">
        <v>127</v>
      </c>
      <c r="B130" s="146">
        <v>5</v>
      </c>
      <c r="C130" s="147" t="str">
        <f t="shared" si="27"/>
        <v>H02-23-0125</v>
      </c>
      <c r="D130" s="148">
        <f t="shared" si="17"/>
        <v>45222</v>
      </c>
      <c r="E130" s="145">
        <v>74</v>
      </c>
      <c r="F130" s="149" t="str">
        <f t="shared" si="23"/>
        <v>OFFICIAL RECEIPTS</v>
      </c>
      <c r="G130" s="150" t="s">
        <v>17</v>
      </c>
      <c r="H130" s="150" t="s">
        <v>113</v>
      </c>
      <c r="I130" s="151" t="s">
        <v>128</v>
      </c>
      <c r="J130" s="146">
        <v>2022</v>
      </c>
      <c r="K130" s="25">
        <f>2024-Table1[[#This Row],[LATEST YEAR]]</f>
        <v>2</v>
      </c>
      <c r="L130" s="25">
        <f>VLOOKUP(Table1[[#This Row],[GRDS ITEM NO]],RETENTION1,4,0)</f>
        <v>10</v>
      </c>
      <c r="M130" s="25">
        <f>Table1[[#This Row],[RETENTION PERIOD]]-Table1[[#This Row],[NO. YEARS AS OF 2024]]</f>
        <v>8</v>
      </c>
      <c r="N130" s="146"/>
      <c r="O130" s="145"/>
      <c r="P130" s="145" t="s">
        <v>126</v>
      </c>
    </row>
    <row r="131" spans="1:16" x14ac:dyDescent="0.65">
      <c r="A131" s="145" t="s">
        <v>127</v>
      </c>
      <c r="B131" s="146">
        <v>6</v>
      </c>
      <c r="C131" s="147" t="str">
        <f t="shared" si="27"/>
        <v>H02-23-0126</v>
      </c>
      <c r="D131" s="148">
        <f t="shared" si="17"/>
        <v>45222</v>
      </c>
      <c r="E131" s="145">
        <v>74</v>
      </c>
      <c r="F131" s="149" t="str">
        <f t="shared" si="23"/>
        <v>OFFICIAL RECEIPTS</v>
      </c>
      <c r="G131" s="150" t="s">
        <v>17</v>
      </c>
      <c r="H131" s="150" t="s">
        <v>113</v>
      </c>
      <c r="I131" s="151" t="s">
        <v>128</v>
      </c>
      <c r="J131" s="146">
        <v>2022</v>
      </c>
      <c r="K131" s="25">
        <f>2024-Table1[[#This Row],[LATEST YEAR]]</f>
        <v>2</v>
      </c>
      <c r="L131" s="25">
        <f>VLOOKUP(Table1[[#This Row],[GRDS ITEM NO]],RETENTION1,4,0)</f>
        <v>10</v>
      </c>
      <c r="M131" s="25">
        <f>Table1[[#This Row],[RETENTION PERIOD]]-Table1[[#This Row],[NO. YEARS AS OF 2024]]</f>
        <v>8</v>
      </c>
      <c r="N131" s="146"/>
      <c r="O131" s="145"/>
      <c r="P131" s="145" t="s">
        <v>126</v>
      </c>
    </row>
    <row r="132" spans="1:16" x14ac:dyDescent="0.65">
      <c r="A132" s="145" t="s">
        <v>127</v>
      </c>
      <c r="B132" s="146">
        <v>7</v>
      </c>
      <c r="C132" s="147" t="str">
        <f t="shared" si="27"/>
        <v>H02-23-0127</v>
      </c>
      <c r="D132" s="148">
        <f t="shared" si="17"/>
        <v>45222</v>
      </c>
      <c r="E132" s="145">
        <v>74</v>
      </c>
      <c r="F132" s="149" t="str">
        <f t="shared" si="23"/>
        <v>OFFICIAL RECEIPTS</v>
      </c>
      <c r="G132" s="150" t="s">
        <v>17</v>
      </c>
      <c r="H132" s="150" t="s">
        <v>113</v>
      </c>
      <c r="I132" s="151" t="s">
        <v>128</v>
      </c>
      <c r="J132" s="146">
        <v>2022</v>
      </c>
      <c r="K132" s="25">
        <f>2024-Table1[[#This Row],[LATEST YEAR]]</f>
        <v>2</v>
      </c>
      <c r="L132" s="25">
        <f>VLOOKUP(Table1[[#This Row],[GRDS ITEM NO]],RETENTION1,4,0)</f>
        <v>10</v>
      </c>
      <c r="M132" s="25">
        <f>Table1[[#This Row],[RETENTION PERIOD]]-Table1[[#This Row],[NO. YEARS AS OF 2024]]</f>
        <v>8</v>
      </c>
      <c r="N132" s="146"/>
      <c r="O132" s="145"/>
      <c r="P132" s="145" t="s">
        <v>126</v>
      </c>
    </row>
    <row r="133" spans="1:16" x14ac:dyDescent="0.65">
      <c r="A133" s="145" t="s">
        <v>127</v>
      </c>
      <c r="B133" s="146">
        <v>8</v>
      </c>
      <c r="C133" s="147" t="str">
        <f t="shared" si="27"/>
        <v>H02-23-0128</v>
      </c>
      <c r="D133" s="148">
        <f t="shared" si="17"/>
        <v>45222</v>
      </c>
      <c r="E133" s="145">
        <v>74</v>
      </c>
      <c r="F133" s="149" t="str">
        <f t="shared" si="23"/>
        <v>OFFICIAL RECEIPTS</v>
      </c>
      <c r="G133" s="150" t="s">
        <v>17</v>
      </c>
      <c r="H133" s="150" t="s">
        <v>113</v>
      </c>
      <c r="I133" s="151" t="s">
        <v>128</v>
      </c>
      <c r="J133" s="146">
        <v>2022</v>
      </c>
      <c r="K133" s="25">
        <f>2024-Table1[[#This Row],[LATEST YEAR]]</f>
        <v>2</v>
      </c>
      <c r="L133" s="25">
        <f>VLOOKUP(Table1[[#This Row],[GRDS ITEM NO]],RETENTION1,4,0)</f>
        <v>10</v>
      </c>
      <c r="M133" s="25">
        <f>Table1[[#This Row],[RETENTION PERIOD]]-Table1[[#This Row],[NO. YEARS AS OF 2024]]</f>
        <v>8</v>
      </c>
      <c r="N133" s="146"/>
      <c r="O133" s="145"/>
      <c r="P133" s="145" t="s">
        <v>126</v>
      </c>
    </row>
    <row r="134" spans="1:16" x14ac:dyDescent="0.65">
      <c r="A134" s="145" t="s">
        <v>127</v>
      </c>
      <c r="B134" s="146">
        <v>9</v>
      </c>
      <c r="C134" s="147" t="str">
        <f t="shared" si="27"/>
        <v>H02-23-0129</v>
      </c>
      <c r="D134" s="148">
        <f t="shared" si="17"/>
        <v>45222</v>
      </c>
      <c r="E134" s="145">
        <v>74</v>
      </c>
      <c r="F134" s="149" t="str">
        <f t="shared" si="23"/>
        <v>OFFICIAL RECEIPTS</v>
      </c>
      <c r="G134" s="150" t="s">
        <v>17</v>
      </c>
      <c r="H134" s="150" t="s">
        <v>113</v>
      </c>
      <c r="I134" s="151" t="s">
        <v>128</v>
      </c>
      <c r="J134" s="146">
        <v>2022</v>
      </c>
      <c r="K134" s="25">
        <f>2024-Table1[[#This Row],[LATEST YEAR]]</f>
        <v>2</v>
      </c>
      <c r="L134" s="25">
        <f>VLOOKUP(Table1[[#This Row],[GRDS ITEM NO]],RETENTION1,4,0)</f>
        <v>10</v>
      </c>
      <c r="M134" s="25">
        <f>Table1[[#This Row],[RETENTION PERIOD]]-Table1[[#This Row],[NO. YEARS AS OF 2024]]</f>
        <v>8</v>
      </c>
      <c r="N134" s="146"/>
      <c r="O134" s="145"/>
      <c r="P134" s="145" t="s">
        <v>126</v>
      </c>
    </row>
    <row r="135" spans="1:16" x14ac:dyDescent="0.65">
      <c r="A135" s="145" t="s">
        <v>127</v>
      </c>
      <c r="B135" s="146">
        <v>10</v>
      </c>
      <c r="C135" s="147" t="str">
        <f t="shared" si="27"/>
        <v>H02-23-01210</v>
      </c>
      <c r="D135" s="148">
        <f t="shared" si="17"/>
        <v>45222</v>
      </c>
      <c r="E135" s="145">
        <v>74</v>
      </c>
      <c r="F135" s="149" t="str">
        <f t="shared" si="23"/>
        <v>OFFICIAL RECEIPTS</v>
      </c>
      <c r="G135" s="150" t="s">
        <v>17</v>
      </c>
      <c r="H135" s="150" t="s">
        <v>113</v>
      </c>
      <c r="I135" s="151" t="s">
        <v>128</v>
      </c>
      <c r="J135" s="146">
        <v>2022</v>
      </c>
      <c r="K135" s="25">
        <f>2024-Table1[[#This Row],[LATEST YEAR]]</f>
        <v>2</v>
      </c>
      <c r="L135" s="25">
        <f>VLOOKUP(Table1[[#This Row],[GRDS ITEM NO]],RETENTION1,4,0)</f>
        <v>10</v>
      </c>
      <c r="M135" s="25">
        <f>Table1[[#This Row],[RETENTION PERIOD]]-Table1[[#This Row],[NO. YEARS AS OF 2024]]</f>
        <v>8</v>
      </c>
      <c r="N135" s="146"/>
      <c r="O135" s="145"/>
      <c r="P135" s="145" t="s">
        <v>126</v>
      </c>
    </row>
    <row r="136" spans="1:16" s="171" customFormat="1" x14ac:dyDescent="0.65">
      <c r="A136" s="162" t="s">
        <v>129</v>
      </c>
      <c r="B136" s="163">
        <v>1</v>
      </c>
      <c r="C136" s="164" t="str">
        <f t="shared" ref="C136:C155" si="28">_xlfn.CONCAT(A136,B136)</f>
        <v>H02-23-0131</v>
      </c>
      <c r="D136" s="165">
        <f t="shared" ref="D136:D142" si="29">D135</f>
        <v>45222</v>
      </c>
      <c r="E136" s="162" t="s">
        <v>80</v>
      </c>
      <c r="F136" s="166" t="str">
        <f t="shared" si="23"/>
        <v>EMPLOYEE-MEMBER APPLICATIONS (E1, E4, NW1, OW1, RS1)</v>
      </c>
      <c r="G136" s="167" t="s">
        <v>34</v>
      </c>
      <c r="H136" s="167" t="s">
        <v>111</v>
      </c>
      <c r="I136" s="168">
        <v>2022</v>
      </c>
      <c r="J136" s="163">
        <v>2022</v>
      </c>
      <c r="K136" s="169">
        <f>2024-Table1[[#This Row],[LATEST YEAR]]</f>
        <v>2</v>
      </c>
      <c r="L136" s="169">
        <f>VLOOKUP(Table1[[#This Row],[GRDS ITEM NO]],RETENTION1,4,0)</f>
        <v>1</v>
      </c>
      <c r="M136" s="169">
        <f>Table1[[#This Row],[RETENTION PERIOD]]-Table1[[#This Row],[NO. YEARS AS OF 2024]]</f>
        <v>-1</v>
      </c>
      <c r="N136" s="163"/>
      <c r="O136" s="145"/>
      <c r="P136" s="145" t="s">
        <v>20</v>
      </c>
    </row>
    <row r="137" spans="1:16" s="171" customFormat="1" x14ac:dyDescent="0.65">
      <c r="A137" s="162" t="s">
        <v>130</v>
      </c>
      <c r="B137" s="163">
        <v>1</v>
      </c>
      <c r="C137" s="164" t="str">
        <f t="shared" si="28"/>
        <v>H02-23-0141</v>
      </c>
      <c r="D137" s="165">
        <f t="shared" si="29"/>
        <v>45222</v>
      </c>
      <c r="E137" s="162" t="s">
        <v>22</v>
      </c>
      <c r="F137" s="166" t="str">
        <f t="shared" ref="F137:F151" si="30">VLOOKUP(E137,DESCRIP,2,0)</f>
        <v>APPLICATIONS (RD,RO,EC MED, RF, MAT, SO, RR, SS, PLP, ACOP)</v>
      </c>
      <c r="G137" s="167" t="s">
        <v>34</v>
      </c>
      <c r="H137" s="167" t="s">
        <v>131</v>
      </c>
      <c r="I137" s="168" t="s">
        <v>132</v>
      </c>
      <c r="J137" s="163">
        <v>2018</v>
      </c>
      <c r="K137" s="169">
        <f>2024-Table1[[#This Row],[LATEST YEAR]]</f>
        <v>6</v>
      </c>
      <c r="L137" s="169">
        <f>VLOOKUP(Table1[[#This Row],[GRDS ITEM NO]],RETENTION1,4,0)</f>
        <v>1</v>
      </c>
      <c r="M137" s="169">
        <f>Table1[[#This Row],[RETENTION PERIOD]]-Table1[[#This Row],[NO. YEARS AS OF 2024]]</f>
        <v>-5</v>
      </c>
      <c r="N137" s="163"/>
      <c r="O137" s="145"/>
      <c r="P137" s="145" t="s">
        <v>20</v>
      </c>
    </row>
    <row r="138" spans="1:16" s="171" customFormat="1" x14ac:dyDescent="0.65">
      <c r="A138" s="162" t="s">
        <v>130</v>
      </c>
      <c r="B138" s="163">
        <v>2</v>
      </c>
      <c r="C138" s="164" t="str">
        <f t="shared" si="28"/>
        <v>H02-23-0142</v>
      </c>
      <c r="D138" s="165">
        <f t="shared" si="29"/>
        <v>45222</v>
      </c>
      <c r="E138" s="162" t="s">
        <v>22</v>
      </c>
      <c r="F138" s="166" t="str">
        <f t="shared" si="30"/>
        <v>APPLICATIONS (RD,RO,EC MED, RF, MAT, SO, RR, SS, PLP, ACOP)</v>
      </c>
      <c r="G138" s="167" t="s">
        <v>34</v>
      </c>
      <c r="H138" s="167" t="s">
        <v>131</v>
      </c>
      <c r="I138" s="168" t="s">
        <v>133</v>
      </c>
      <c r="J138" s="163">
        <v>2019</v>
      </c>
      <c r="K138" s="169">
        <f>2024-Table1[[#This Row],[LATEST YEAR]]</f>
        <v>5</v>
      </c>
      <c r="L138" s="169">
        <f>VLOOKUP(Table1[[#This Row],[GRDS ITEM NO]],RETENTION1,4,0)</f>
        <v>1</v>
      </c>
      <c r="M138" s="169">
        <f>Table1[[#This Row],[RETENTION PERIOD]]-Table1[[#This Row],[NO. YEARS AS OF 2024]]</f>
        <v>-4</v>
      </c>
      <c r="N138" s="163"/>
      <c r="O138" s="145"/>
      <c r="P138" s="145" t="s">
        <v>20</v>
      </c>
    </row>
    <row r="139" spans="1:16" s="171" customFormat="1" x14ac:dyDescent="0.65">
      <c r="A139" s="162" t="s">
        <v>130</v>
      </c>
      <c r="B139" s="163">
        <v>3</v>
      </c>
      <c r="C139" s="164" t="str">
        <f t="shared" si="28"/>
        <v>H02-23-0143</v>
      </c>
      <c r="D139" s="165">
        <f t="shared" si="29"/>
        <v>45222</v>
      </c>
      <c r="E139" s="162" t="s">
        <v>22</v>
      </c>
      <c r="F139" s="166" t="str">
        <f t="shared" si="30"/>
        <v>APPLICATIONS (RD,RO,EC MED, RF, MAT, SO, RR, SS, PLP, ACOP)</v>
      </c>
      <c r="G139" s="167" t="s">
        <v>34</v>
      </c>
      <c r="H139" s="167" t="s">
        <v>131</v>
      </c>
      <c r="I139" s="168" t="s">
        <v>134</v>
      </c>
      <c r="J139" s="163">
        <v>2020</v>
      </c>
      <c r="K139" s="169">
        <f>2024-Table1[[#This Row],[LATEST YEAR]]</f>
        <v>4</v>
      </c>
      <c r="L139" s="169">
        <f>VLOOKUP(Table1[[#This Row],[GRDS ITEM NO]],RETENTION1,4,0)</f>
        <v>1</v>
      </c>
      <c r="M139" s="169">
        <f>Table1[[#This Row],[RETENTION PERIOD]]-Table1[[#This Row],[NO. YEARS AS OF 2024]]</f>
        <v>-3</v>
      </c>
      <c r="N139" s="163"/>
      <c r="O139" s="145"/>
      <c r="P139" s="145" t="s">
        <v>20</v>
      </c>
    </row>
    <row r="140" spans="1:16" s="171" customFormat="1" x14ac:dyDescent="0.65">
      <c r="A140" s="162" t="s">
        <v>130</v>
      </c>
      <c r="B140" s="163">
        <v>4</v>
      </c>
      <c r="C140" s="164" t="str">
        <f t="shared" si="28"/>
        <v>H02-23-0144</v>
      </c>
      <c r="D140" s="165">
        <f t="shared" si="29"/>
        <v>45222</v>
      </c>
      <c r="E140" s="162" t="s">
        <v>22</v>
      </c>
      <c r="F140" s="166" t="str">
        <f t="shared" si="30"/>
        <v>APPLICATIONS (RD,RO,EC MED, RF, MAT, SO, RR, SS, PLP, ACOP)</v>
      </c>
      <c r="G140" s="167" t="s">
        <v>34</v>
      </c>
      <c r="H140" s="167" t="s">
        <v>131</v>
      </c>
      <c r="I140" s="168" t="s">
        <v>135</v>
      </c>
      <c r="J140" s="163">
        <v>2021</v>
      </c>
      <c r="K140" s="169">
        <f>2024-Table1[[#This Row],[LATEST YEAR]]</f>
        <v>3</v>
      </c>
      <c r="L140" s="169">
        <f>VLOOKUP(Table1[[#This Row],[GRDS ITEM NO]],RETENTION1,4,0)</f>
        <v>1</v>
      </c>
      <c r="M140" s="169">
        <f>Table1[[#This Row],[RETENTION PERIOD]]-Table1[[#This Row],[NO. YEARS AS OF 2024]]</f>
        <v>-2</v>
      </c>
      <c r="N140" s="163"/>
      <c r="O140" s="145"/>
      <c r="P140" s="145" t="s">
        <v>20</v>
      </c>
    </row>
    <row r="141" spans="1:16" s="171" customFormat="1" x14ac:dyDescent="0.65">
      <c r="A141" s="162" t="s">
        <v>130</v>
      </c>
      <c r="B141" s="163">
        <v>5</v>
      </c>
      <c r="C141" s="164" t="str">
        <f t="shared" si="28"/>
        <v>H02-23-0145</v>
      </c>
      <c r="D141" s="165">
        <f t="shared" si="29"/>
        <v>45222</v>
      </c>
      <c r="E141" s="162" t="s">
        <v>22</v>
      </c>
      <c r="F141" s="166" t="str">
        <f t="shared" si="30"/>
        <v>APPLICATIONS (RD,RO,EC MED, RF, MAT, SO, RR, SS, PLP, ACOP)</v>
      </c>
      <c r="G141" s="167" t="s">
        <v>34</v>
      </c>
      <c r="H141" s="167" t="s">
        <v>131</v>
      </c>
      <c r="I141" s="168" t="s">
        <v>136</v>
      </c>
      <c r="J141" s="163">
        <v>2021</v>
      </c>
      <c r="K141" s="169">
        <f>2024-Table1[[#This Row],[LATEST YEAR]]</f>
        <v>3</v>
      </c>
      <c r="L141" s="169">
        <f>VLOOKUP(Table1[[#This Row],[GRDS ITEM NO]],RETENTION1,4,0)</f>
        <v>1</v>
      </c>
      <c r="M141" s="169">
        <f>Table1[[#This Row],[RETENTION PERIOD]]-Table1[[#This Row],[NO. YEARS AS OF 2024]]</f>
        <v>-2</v>
      </c>
      <c r="N141" s="163"/>
      <c r="O141" s="145"/>
      <c r="P141" s="145" t="s">
        <v>20</v>
      </c>
    </row>
    <row r="142" spans="1:16" s="171" customFormat="1" x14ac:dyDescent="0.65">
      <c r="A142" s="162" t="s">
        <v>130</v>
      </c>
      <c r="B142" s="163">
        <v>6</v>
      </c>
      <c r="C142" s="164" t="str">
        <f t="shared" si="28"/>
        <v>H02-23-0146</v>
      </c>
      <c r="D142" s="165">
        <f t="shared" si="29"/>
        <v>45222</v>
      </c>
      <c r="E142" s="162" t="s">
        <v>22</v>
      </c>
      <c r="F142" s="166" t="str">
        <f t="shared" si="30"/>
        <v>APPLICATIONS (RD,RO,EC MED, RF, MAT, SO, RR, SS, PLP, ACOP)</v>
      </c>
      <c r="G142" s="167" t="s">
        <v>34</v>
      </c>
      <c r="H142" s="167" t="s">
        <v>131</v>
      </c>
      <c r="I142" s="168" t="s">
        <v>137</v>
      </c>
      <c r="J142" s="163">
        <v>2022</v>
      </c>
      <c r="K142" s="169">
        <f>2024-Table1[[#This Row],[LATEST YEAR]]</f>
        <v>2</v>
      </c>
      <c r="L142" s="169">
        <f>VLOOKUP(Table1[[#This Row],[GRDS ITEM NO]],RETENTION1,4,0)</f>
        <v>1</v>
      </c>
      <c r="M142" s="169">
        <f>Table1[[#This Row],[RETENTION PERIOD]]-Table1[[#This Row],[NO. YEARS AS OF 2024]]</f>
        <v>-1</v>
      </c>
      <c r="N142" s="163"/>
      <c r="O142" s="145"/>
      <c r="P142" s="145" t="s">
        <v>20</v>
      </c>
    </row>
    <row r="143" spans="1:16" s="171" customFormat="1" x14ac:dyDescent="0.65">
      <c r="A143" s="162" t="s">
        <v>138</v>
      </c>
      <c r="B143" s="163">
        <v>1</v>
      </c>
      <c r="C143" s="164" t="str">
        <f t="shared" si="28"/>
        <v>H02-23-0151</v>
      </c>
      <c r="D143" s="165">
        <v>45223</v>
      </c>
      <c r="E143" s="162" t="s">
        <v>22</v>
      </c>
      <c r="F143" s="166" t="str">
        <f t="shared" si="30"/>
        <v>APPLICATIONS (RD,RO,EC MED, RF, MAT, SO, RR, SS, PLP, ACOP)</v>
      </c>
      <c r="G143" s="167" t="s">
        <v>34</v>
      </c>
      <c r="H143" s="167" t="s">
        <v>139</v>
      </c>
      <c r="I143" s="168" t="s">
        <v>140</v>
      </c>
      <c r="J143" s="163">
        <v>2019</v>
      </c>
      <c r="K143" s="169">
        <f>2024-Table1[[#This Row],[LATEST YEAR]]</f>
        <v>5</v>
      </c>
      <c r="L143" s="169">
        <f>VLOOKUP(Table1[[#This Row],[GRDS ITEM NO]],RETENTION1,4,0)</f>
        <v>1</v>
      </c>
      <c r="M143" s="169">
        <f>Table1[[#This Row],[RETENTION PERIOD]]-Table1[[#This Row],[NO. YEARS AS OF 2024]]</f>
        <v>-4</v>
      </c>
      <c r="N143" s="163"/>
      <c r="O143" s="145"/>
      <c r="P143" s="145" t="s">
        <v>20</v>
      </c>
    </row>
    <row r="144" spans="1:16" s="171" customFormat="1" x14ac:dyDescent="0.65">
      <c r="A144" s="162" t="s">
        <v>138</v>
      </c>
      <c r="B144" s="163">
        <v>2</v>
      </c>
      <c r="C144" s="164" t="str">
        <f t="shared" si="28"/>
        <v>H02-23-0152</v>
      </c>
      <c r="D144" s="165">
        <v>45223</v>
      </c>
      <c r="E144" s="162" t="s">
        <v>22</v>
      </c>
      <c r="F144" s="166" t="str">
        <f t="shared" si="30"/>
        <v>APPLICATIONS (RD,RO,EC MED, RF, MAT, SO, RR, SS, PLP, ACOP)</v>
      </c>
      <c r="G144" s="167" t="s">
        <v>34</v>
      </c>
      <c r="H144" s="167" t="s">
        <v>141</v>
      </c>
      <c r="I144" s="168" t="s">
        <v>142</v>
      </c>
      <c r="J144" s="163">
        <v>2019</v>
      </c>
      <c r="K144" s="169">
        <f>2024-Table1[[#This Row],[LATEST YEAR]]</f>
        <v>5</v>
      </c>
      <c r="L144" s="169">
        <f>VLOOKUP(Table1[[#This Row],[GRDS ITEM NO]],RETENTION1,4,0)</f>
        <v>1</v>
      </c>
      <c r="M144" s="169">
        <f>Table1[[#This Row],[RETENTION PERIOD]]-Table1[[#This Row],[NO. YEARS AS OF 2024]]</f>
        <v>-4</v>
      </c>
      <c r="N144" s="163"/>
      <c r="O144" s="145"/>
      <c r="P144" s="145" t="s">
        <v>20</v>
      </c>
    </row>
    <row r="145" spans="1:16" s="171" customFormat="1" x14ac:dyDescent="0.65">
      <c r="A145" s="162" t="s">
        <v>143</v>
      </c>
      <c r="B145" s="163">
        <v>1</v>
      </c>
      <c r="C145" s="164" t="str">
        <f t="shared" si="28"/>
        <v>H02-23-0161</v>
      </c>
      <c r="D145" s="165">
        <v>45223</v>
      </c>
      <c r="E145" s="162" t="s">
        <v>22</v>
      </c>
      <c r="F145" s="166" t="str">
        <f t="shared" si="30"/>
        <v>APPLICATIONS (RD,RO,EC MED, RF, MAT, SO, RR, SS, PLP, ACOP)</v>
      </c>
      <c r="G145" s="167" t="s">
        <v>23</v>
      </c>
      <c r="H145" s="167" t="s">
        <v>144</v>
      </c>
      <c r="I145" s="168" t="s">
        <v>145</v>
      </c>
      <c r="J145" s="163">
        <v>2019</v>
      </c>
      <c r="K145" s="169">
        <f>2024-Table1[[#This Row],[LATEST YEAR]]</f>
        <v>5</v>
      </c>
      <c r="L145" s="169">
        <f>VLOOKUP(Table1[[#This Row],[GRDS ITEM NO]],RETENTION1,4,0)</f>
        <v>1</v>
      </c>
      <c r="M145" s="169">
        <f>Table1[[#This Row],[RETENTION PERIOD]]-Table1[[#This Row],[NO. YEARS AS OF 2024]]</f>
        <v>-4</v>
      </c>
      <c r="N145" s="163"/>
      <c r="O145" s="145"/>
      <c r="P145" s="145" t="s">
        <v>20</v>
      </c>
    </row>
    <row r="146" spans="1:16" s="171" customFormat="1" x14ac:dyDescent="0.65">
      <c r="A146" s="162" t="s">
        <v>143</v>
      </c>
      <c r="B146" s="163">
        <v>2</v>
      </c>
      <c r="C146" s="164" t="str">
        <f t="shared" si="28"/>
        <v>H02-23-0162</v>
      </c>
      <c r="D146" s="165">
        <v>45223</v>
      </c>
      <c r="E146" s="162" t="s">
        <v>22</v>
      </c>
      <c r="F146" s="166" t="str">
        <f t="shared" si="30"/>
        <v>APPLICATIONS (RD,RO,EC MED, RF, MAT, SO, RR, SS, PLP, ACOP)</v>
      </c>
      <c r="G146" s="167" t="s">
        <v>23</v>
      </c>
      <c r="H146" s="167" t="s">
        <v>146</v>
      </c>
      <c r="I146" s="168" t="s">
        <v>147</v>
      </c>
      <c r="J146" s="163">
        <v>2022</v>
      </c>
      <c r="K146" s="169">
        <f>2024-Table1[[#This Row],[LATEST YEAR]]</f>
        <v>2</v>
      </c>
      <c r="L146" s="169">
        <f>VLOOKUP(Table1[[#This Row],[GRDS ITEM NO]],RETENTION1,4,0)</f>
        <v>1</v>
      </c>
      <c r="M146" s="169">
        <f>Table1[[#This Row],[RETENTION PERIOD]]-Table1[[#This Row],[NO. YEARS AS OF 2024]]</f>
        <v>-1</v>
      </c>
      <c r="N146" s="163"/>
      <c r="O146" s="145"/>
      <c r="P146" s="145" t="s">
        <v>20</v>
      </c>
    </row>
    <row r="147" spans="1:16" s="171" customFormat="1" x14ac:dyDescent="0.65">
      <c r="A147" s="162" t="s">
        <v>138</v>
      </c>
      <c r="B147" s="163">
        <v>3</v>
      </c>
      <c r="C147" s="164" t="str">
        <f t="shared" si="28"/>
        <v>H02-23-0153</v>
      </c>
      <c r="D147" s="165">
        <v>45223</v>
      </c>
      <c r="E147" s="162" t="s">
        <v>22</v>
      </c>
      <c r="F147" s="166" t="str">
        <f t="shared" si="30"/>
        <v>APPLICATIONS (RD,RO,EC MED, RF, MAT, SO, RR, SS, PLP, ACOP)</v>
      </c>
      <c r="G147" s="167" t="s">
        <v>34</v>
      </c>
      <c r="H147" s="167" t="s">
        <v>141</v>
      </c>
      <c r="I147" s="168" t="s">
        <v>148</v>
      </c>
      <c r="J147" s="163">
        <v>2019</v>
      </c>
      <c r="K147" s="169">
        <f>2024-Table1[[#This Row],[LATEST YEAR]]</f>
        <v>5</v>
      </c>
      <c r="L147" s="169">
        <f>VLOOKUP(Table1[[#This Row],[GRDS ITEM NO]],RETENTION1,4,0)</f>
        <v>1</v>
      </c>
      <c r="M147" s="169">
        <f>Table1[[#This Row],[RETENTION PERIOD]]-Table1[[#This Row],[NO. YEARS AS OF 2024]]</f>
        <v>-4</v>
      </c>
      <c r="N147" s="163"/>
      <c r="O147" s="145"/>
      <c r="P147" s="145" t="s">
        <v>20</v>
      </c>
    </row>
    <row r="148" spans="1:16" s="171" customFormat="1" x14ac:dyDescent="0.65">
      <c r="A148" s="162" t="s">
        <v>138</v>
      </c>
      <c r="B148" s="163">
        <v>4</v>
      </c>
      <c r="C148" s="164" t="str">
        <f t="shared" si="28"/>
        <v>H02-23-0154</v>
      </c>
      <c r="D148" s="165">
        <v>45223</v>
      </c>
      <c r="E148" s="162" t="s">
        <v>22</v>
      </c>
      <c r="F148" s="166" t="str">
        <f t="shared" si="30"/>
        <v>APPLICATIONS (RD,RO,EC MED, RF, MAT, SO, RR, SS, PLP, ACOP)</v>
      </c>
      <c r="G148" s="167" t="s">
        <v>34</v>
      </c>
      <c r="H148" s="167" t="s">
        <v>141</v>
      </c>
      <c r="I148" s="168" t="s">
        <v>149</v>
      </c>
      <c r="J148" s="163">
        <v>2019</v>
      </c>
      <c r="K148" s="169">
        <f>2024-Table1[[#This Row],[LATEST YEAR]]</f>
        <v>5</v>
      </c>
      <c r="L148" s="169">
        <f>VLOOKUP(Table1[[#This Row],[GRDS ITEM NO]],RETENTION1,4,0)</f>
        <v>1</v>
      </c>
      <c r="M148" s="169">
        <f>Table1[[#This Row],[RETENTION PERIOD]]-Table1[[#This Row],[NO. YEARS AS OF 2024]]</f>
        <v>-4</v>
      </c>
      <c r="N148" s="163"/>
      <c r="O148" s="145"/>
      <c r="P148" s="145" t="s">
        <v>20</v>
      </c>
    </row>
    <row r="149" spans="1:16" s="171" customFormat="1" x14ac:dyDescent="0.65">
      <c r="A149" s="162" t="s">
        <v>130</v>
      </c>
      <c r="B149" s="163">
        <v>7</v>
      </c>
      <c r="C149" s="164" t="str">
        <f t="shared" si="28"/>
        <v>H02-23-0147</v>
      </c>
      <c r="D149" s="165">
        <v>45223</v>
      </c>
      <c r="E149" s="162" t="s">
        <v>22</v>
      </c>
      <c r="F149" s="166" t="str">
        <f t="shared" si="30"/>
        <v>APPLICATIONS (RD,RO,EC MED, RF, MAT, SO, RR, SS, PLP, ACOP)</v>
      </c>
      <c r="G149" s="167" t="s">
        <v>34</v>
      </c>
      <c r="H149" s="167" t="s">
        <v>131</v>
      </c>
      <c r="I149" s="168" t="s">
        <v>150</v>
      </c>
      <c r="J149" s="163">
        <v>2014</v>
      </c>
      <c r="K149" s="169">
        <f>2024-Table1[[#This Row],[LATEST YEAR]]</f>
        <v>10</v>
      </c>
      <c r="L149" s="169">
        <f>VLOOKUP(Table1[[#This Row],[GRDS ITEM NO]],RETENTION1,4,0)</f>
        <v>1</v>
      </c>
      <c r="M149" s="169">
        <f>Table1[[#This Row],[RETENTION PERIOD]]-Table1[[#This Row],[NO. YEARS AS OF 2024]]</f>
        <v>-9</v>
      </c>
      <c r="N149" s="163"/>
      <c r="O149" s="145"/>
      <c r="P149" s="145" t="s">
        <v>20</v>
      </c>
    </row>
    <row r="150" spans="1:16" s="171" customFormat="1" x14ac:dyDescent="0.65">
      <c r="A150" s="162" t="s">
        <v>130</v>
      </c>
      <c r="B150" s="163">
        <v>8</v>
      </c>
      <c r="C150" s="164" t="str">
        <f t="shared" si="28"/>
        <v>H02-23-0148</v>
      </c>
      <c r="D150" s="165">
        <v>45223</v>
      </c>
      <c r="E150" s="162" t="s">
        <v>22</v>
      </c>
      <c r="F150" s="166" t="str">
        <f t="shared" si="30"/>
        <v>APPLICATIONS (RD,RO,EC MED, RF, MAT, SO, RR, SS, PLP, ACOP)</v>
      </c>
      <c r="G150" s="167" t="s">
        <v>34</v>
      </c>
      <c r="H150" s="167" t="s">
        <v>131</v>
      </c>
      <c r="I150" s="168" t="s">
        <v>151</v>
      </c>
      <c r="J150" s="163">
        <v>2014</v>
      </c>
      <c r="K150" s="169">
        <f>2024-Table1[[#This Row],[LATEST YEAR]]</f>
        <v>10</v>
      </c>
      <c r="L150" s="169">
        <f>VLOOKUP(Table1[[#This Row],[GRDS ITEM NO]],RETENTION1,4,0)</f>
        <v>1</v>
      </c>
      <c r="M150" s="169">
        <f>Table1[[#This Row],[RETENTION PERIOD]]-Table1[[#This Row],[NO. YEARS AS OF 2024]]</f>
        <v>-9</v>
      </c>
      <c r="N150" s="163"/>
      <c r="O150" s="145"/>
      <c r="P150" s="145" t="s">
        <v>20</v>
      </c>
    </row>
    <row r="151" spans="1:16" s="171" customFormat="1" x14ac:dyDescent="0.65">
      <c r="A151" s="162" t="s">
        <v>130</v>
      </c>
      <c r="B151" s="163">
        <v>9</v>
      </c>
      <c r="C151" s="164" t="str">
        <f t="shared" si="28"/>
        <v>H02-23-0149</v>
      </c>
      <c r="D151" s="165">
        <v>45223</v>
      </c>
      <c r="E151" s="162" t="s">
        <v>22</v>
      </c>
      <c r="F151" s="166" t="str">
        <f t="shared" si="30"/>
        <v>APPLICATIONS (RD,RO,EC MED, RF, MAT, SO, RR, SS, PLP, ACOP)</v>
      </c>
      <c r="G151" s="167" t="s">
        <v>34</v>
      </c>
      <c r="H151" s="167" t="s">
        <v>131</v>
      </c>
      <c r="I151" s="168" t="s">
        <v>152</v>
      </c>
      <c r="J151" s="163">
        <v>2023</v>
      </c>
      <c r="K151" s="169">
        <f>2024-Table1[[#This Row],[LATEST YEAR]]</f>
        <v>1</v>
      </c>
      <c r="L151" s="169">
        <f>VLOOKUP(Table1[[#This Row],[GRDS ITEM NO]],RETENTION1,4,0)</f>
        <v>1</v>
      </c>
      <c r="M151" s="169">
        <f>Table1[[#This Row],[RETENTION PERIOD]]-Table1[[#This Row],[NO. YEARS AS OF 2024]]</f>
        <v>0</v>
      </c>
      <c r="N151" s="163"/>
      <c r="O151" s="145"/>
      <c r="P151" s="145" t="s">
        <v>20</v>
      </c>
    </row>
    <row r="152" spans="1:16" s="171" customFormat="1" x14ac:dyDescent="0.65">
      <c r="A152" s="162" t="s">
        <v>153</v>
      </c>
      <c r="B152" s="163">
        <v>1</v>
      </c>
      <c r="C152" s="164" t="str">
        <f t="shared" si="28"/>
        <v>H02-23-0171</v>
      </c>
      <c r="D152" s="165">
        <v>45223</v>
      </c>
      <c r="E152" s="162" t="s">
        <v>80</v>
      </c>
      <c r="F152" s="166" t="str">
        <f t="shared" ref="F152" si="31">VLOOKUP(E152,DESCRIP,2,0)</f>
        <v>EMPLOYEE-MEMBER APPLICATIONS (E1, E4, NW1, OW1, RS1)</v>
      </c>
      <c r="G152" s="167" t="s">
        <v>23</v>
      </c>
      <c r="H152" s="167" t="s">
        <v>154</v>
      </c>
      <c r="I152" s="168" t="s">
        <v>155</v>
      </c>
      <c r="J152" s="163">
        <v>2019</v>
      </c>
      <c r="K152" s="169">
        <f>2024-Table1[[#This Row],[LATEST YEAR]]</f>
        <v>5</v>
      </c>
      <c r="L152" s="169">
        <f>VLOOKUP(Table1[[#This Row],[GRDS ITEM NO]],RETENTION1,4,0)</f>
        <v>1</v>
      </c>
      <c r="M152" s="169">
        <f>Table1[[#This Row],[RETENTION PERIOD]]-Table1[[#This Row],[NO. YEARS AS OF 2024]]</f>
        <v>-4</v>
      </c>
      <c r="N152" s="163"/>
      <c r="O152" s="145"/>
      <c r="P152" s="145" t="s">
        <v>20</v>
      </c>
    </row>
    <row r="153" spans="1:16" s="171" customFormat="1" x14ac:dyDescent="0.65">
      <c r="A153" s="162" t="s">
        <v>138</v>
      </c>
      <c r="B153" s="163">
        <v>5</v>
      </c>
      <c r="C153" s="164" t="str">
        <f t="shared" si="28"/>
        <v>H02-23-0155</v>
      </c>
      <c r="D153" s="165">
        <v>45224</v>
      </c>
      <c r="E153" s="162" t="s">
        <v>22</v>
      </c>
      <c r="F153" s="166" t="str">
        <f t="shared" ref="F153:F184" si="32">VLOOKUP(E153,DESCRIP,2,0)</f>
        <v>APPLICATIONS (RD,RO,EC MED, RF, MAT, SO, RR, SS, PLP, ACOP)</v>
      </c>
      <c r="G153" s="167" t="s">
        <v>34</v>
      </c>
      <c r="H153" s="167" t="s">
        <v>141</v>
      </c>
      <c r="I153" s="168" t="s">
        <v>156</v>
      </c>
      <c r="J153" s="163">
        <v>2019</v>
      </c>
      <c r="K153" s="169">
        <f>2024-Table1[[#This Row],[LATEST YEAR]]</f>
        <v>5</v>
      </c>
      <c r="L153" s="169">
        <f>VLOOKUP(Table1[[#This Row],[GRDS ITEM NO]],RETENTION1,4,0)</f>
        <v>1</v>
      </c>
      <c r="M153" s="169">
        <f>Table1[[#This Row],[RETENTION PERIOD]]-Table1[[#This Row],[NO. YEARS AS OF 2024]]</f>
        <v>-4</v>
      </c>
      <c r="N153" s="163"/>
      <c r="O153" s="145"/>
      <c r="P153" s="145" t="s">
        <v>20</v>
      </c>
    </row>
    <row r="154" spans="1:16" s="171" customFormat="1" x14ac:dyDescent="0.65">
      <c r="A154" s="162" t="s">
        <v>138</v>
      </c>
      <c r="B154" s="163">
        <v>6</v>
      </c>
      <c r="C154" s="164" t="str">
        <f t="shared" si="28"/>
        <v>H02-23-0156</v>
      </c>
      <c r="D154" s="165">
        <v>45224</v>
      </c>
      <c r="E154" s="162" t="s">
        <v>22</v>
      </c>
      <c r="F154" s="166" t="str">
        <f t="shared" si="32"/>
        <v>APPLICATIONS (RD,RO,EC MED, RF, MAT, SO, RR, SS, PLP, ACOP)</v>
      </c>
      <c r="G154" s="167" t="s">
        <v>34</v>
      </c>
      <c r="H154" s="167" t="s">
        <v>141</v>
      </c>
      <c r="I154" s="168" t="s">
        <v>157</v>
      </c>
      <c r="J154" s="163">
        <v>2019</v>
      </c>
      <c r="K154" s="169">
        <f>2024-Table1[[#This Row],[LATEST YEAR]]</f>
        <v>5</v>
      </c>
      <c r="L154" s="169">
        <f>VLOOKUP(Table1[[#This Row],[GRDS ITEM NO]],RETENTION1,4,0)</f>
        <v>1</v>
      </c>
      <c r="M154" s="169">
        <f>Table1[[#This Row],[RETENTION PERIOD]]-Table1[[#This Row],[NO. YEARS AS OF 2024]]</f>
        <v>-4</v>
      </c>
      <c r="N154" s="163"/>
      <c r="O154" s="145"/>
      <c r="P154" s="145" t="s">
        <v>20</v>
      </c>
    </row>
    <row r="155" spans="1:16" s="171" customFormat="1" x14ac:dyDescent="0.65">
      <c r="A155" s="162" t="s">
        <v>153</v>
      </c>
      <c r="B155" s="163">
        <v>2</v>
      </c>
      <c r="C155" s="164" t="str">
        <f t="shared" si="28"/>
        <v>H02-23-0172</v>
      </c>
      <c r="D155" s="165">
        <v>45224</v>
      </c>
      <c r="E155" s="162" t="s">
        <v>22</v>
      </c>
      <c r="F155" s="166" t="str">
        <f t="shared" si="32"/>
        <v>APPLICATIONS (RD,RO,EC MED, RF, MAT, SO, RR, SS, PLP, ACOP)</v>
      </c>
      <c r="G155" s="167" t="s">
        <v>23</v>
      </c>
      <c r="H155" s="167" t="s">
        <v>158</v>
      </c>
      <c r="I155" s="168" t="s">
        <v>159</v>
      </c>
      <c r="J155" s="163">
        <v>2014</v>
      </c>
      <c r="K155" s="169">
        <f>2024-Table1[[#This Row],[LATEST YEAR]]</f>
        <v>10</v>
      </c>
      <c r="L155" s="169">
        <f>VLOOKUP(Table1[[#This Row],[GRDS ITEM NO]],RETENTION1,4,0)</f>
        <v>1</v>
      </c>
      <c r="M155" s="169">
        <f>Table1[[#This Row],[RETENTION PERIOD]]-Table1[[#This Row],[NO. YEARS AS OF 2024]]</f>
        <v>-9</v>
      </c>
      <c r="N155" s="163"/>
      <c r="O155" s="145"/>
      <c r="P155" s="145" t="s">
        <v>20</v>
      </c>
    </row>
    <row r="156" spans="1:16" s="171" customFormat="1" x14ac:dyDescent="0.65">
      <c r="A156" s="162" t="s">
        <v>138</v>
      </c>
      <c r="B156" s="163">
        <v>7</v>
      </c>
      <c r="C156" s="164" t="str">
        <f t="shared" ref="C156:C189" si="33">_xlfn.CONCAT(A156,B156)</f>
        <v>H02-23-0157</v>
      </c>
      <c r="D156" s="165">
        <v>45224</v>
      </c>
      <c r="E156" s="162" t="s">
        <v>22</v>
      </c>
      <c r="F156" s="166" t="str">
        <f t="shared" si="32"/>
        <v>APPLICATIONS (RD,RO,EC MED, RF, MAT, SO, RR, SS, PLP, ACOP)</v>
      </c>
      <c r="G156" s="167" t="s">
        <v>34</v>
      </c>
      <c r="H156" s="167" t="s">
        <v>141</v>
      </c>
      <c r="I156" s="168" t="s">
        <v>160</v>
      </c>
      <c r="J156" s="163">
        <v>2019</v>
      </c>
      <c r="K156" s="169">
        <f>2024-Table1[[#This Row],[LATEST YEAR]]</f>
        <v>5</v>
      </c>
      <c r="L156" s="169">
        <f>VLOOKUP(Table1[[#This Row],[GRDS ITEM NO]],RETENTION1,4,0)</f>
        <v>1</v>
      </c>
      <c r="M156" s="169">
        <f>Table1[[#This Row],[RETENTION PERIOD]]-Table1[[#This Row],[NO. YEARS AS OF 2024]]</f>
        <v>-4</v>
      </c>
      <c r="N156" s="163"/>
      <c r="O156" s="145"/>
      <c r="P156" s="145" t="s">
        <v>20</v>
      </c>
    </row>
    <row r="157" spans="1:16" s="171" customFormat="1" x14ac:dyDescent="0.65">
      <c r="A157" s="162" t="s">
        <v>153</v>
      </c>
      <c r="B157" s="163">
        <v>4</v>
      </c>
      <c r="C157" s="164" t="str">
        <f t="shared" si="33"/>
        <v>H02-23-0174</v>
      </c>
      <c r="D157" s="165">
        <v>45226</v>
      </c>
      <c r="E157" s="162" t="s">
        <v>22</v>
      </c>
      <c r="F157" s="166" t="str">
        <f t="shared" si="32"/>
        <v>APPLICATIONS (RD,RO,EC MED, RF, MAT, SO, RR, SS, PLP, ACOP)</v>
      </c>
      <c r="G157" s="167" t="s">
        <v>23</v>
      </c>
      <c r="H157" s="167" t="s">
        <v>161</v>
      </c>
      <c r="I157" s="168" t="s">
        <v>162</v>
      </c>
      <c r="J157" s="163">
        <v>2022</v>
      </c>
      <c r="K157" s="169">
        <f>2024-Table1[[#This Row],[LATEST YEAR]]</f>
        <v>2</v>
      </c>
      <c r="L157" s="169">
        <f>VLOOKUP(Table1[[#This Row],[GRDS ITEM NO]],RETENTION1,4,0)</f>
        <v>1</v>
      </c>
      <c r="M157" s="169">
        <f>Table1[[#This Row],[RETENTION PERIOD]]-Table1[[#This Row],[NO. YEARS AS OF 2024]]</f>
        <v>-1</v>
      </c>
      <c r="N157" s="163"/>
      <c r="O157" s="145"/>
      <c r="P157" s="145" t="s">
        <v>20</v>
      </c>
    </row>
    <row r="158" spans="1:16" s="171" customFormat="1" x14ac:dyDescent="0.65">
      <c r="A158" s="162" t="s">
        <v>163</v>
      </c>
      <c r="B158" s="163">
        <v>1</v>
      </c>
      <c r="C158" s="164" t="str">
        <f t="shared" si="33"/>
        <v>H02-23-0191</v>
      </c>
      <c r="D158" s="165">
        <v>45225</v>
      </c>
      <c r="E158" s="162" t="s">
        <v>22</v>
      </c>
      <c r="F158" s="166" t="str">
        <f t="shared" si="32"/>
        <v>APPLICATIONS (RD,RO,EC MED, RF, MAT, SO, RR, SS, PLP, ACOP)</v>
      </c>
      <c r="G158" s="167" t="s">
        <v>34</v>
      </c>
      <c r="H158" s="167" t="s">
        <v>141</v>
      </c>
      <c r="I158" s="168" t="s">
        <v>164</v>
      </c>
      <c r="J158" s="163">
        <v>2020</v>
      </c>
      <c r="K158" s="169">
        <f>2024-Table1[[#This Row],[LATEST YEAR]]</f>
        <v>4</v>
      </c>
      <c r="L158" s="169">
        <f>VLOOKUP(Table1[[#This Row],[GRDS ITEM NO]],RETENTION1,4,0)</f>
        <v>1</v>
      </c>
      <c r="M158" s="169">
        <f>Table1[[#This Row],[RETENTION PERIOD]]-Table1[[#This Row],[NO. YEARS AS OF 2024]]</f>
        <v>-3</v>
      </c>
      <c r="N158" s="163"/>
      <c r="O158" s="145"/>
      <c r="P158" s="145" t="s">
        <v>20</v>
      </c>
    </row>
    <row r="159" spans="1:16" s="171" customFormat="1" x14ac:dyDescent="0.65">
      <c r="A159" s="162" t="s">
        <v>165</v>
      </c>
      <c r="B159" s="163">
        <v>1</v>
      </c>
      <c r="C159" s="164" t="str">
        <f t="shared" si="33"/>
        <v>H02-23-0201</v>
      </c>
      <c r="D159" s="165" t="s">
        <v>166</v>
      </c>
      <c r="E159" s="162" t="s">
        <v>22</v>
      </c>
      <c r="F159" s="166" t="str">
        <f t="shared" si="32"/>
        <v>APPLICATIONS (RD,RO,EC MED, RF, MAT, SO, RR, SS, PLP, ACOP)</v>
      </c>
      <c r="G159" s="167" t="s">
        <v>34</v>
      </c>
      <c r="H159" s="167" t="s">
        <v>131</v>
      </c>
      <c r="I159" s="168" t="s">
        <v>167</v>
      </c>
      <c r="J159" s="163">
        <v>2014</v>
      </c>
      <c r="K159" s="169">
        <f>2024-Table1[[#This Row],[LATEST YEAR]]</f>
        <v>10</v>
      </c>
      <c r="L159" s="169">
        <f>VLOOKUP(Table1[[#This Row],[GRDS ITEM NO]],RETENTION1,4,0)</f>
        <v>1</v>
      </c>
      <c r="M159" s="169">
        <f>Table1[[#This Row],[RETENTION PERIOD]]-Table1[[#This Row],[NO. YEARS AS OF 2024]]</f>
        <v>-9</v>
      </c>
      <c r="N159" s="163"/>
      <c r="O159" s="145"/>
      <c r="P159" s="145" t="s">
        <v>20</v>
      </c>
    </row>
    <row r="160" spans="1:16" s="171" customFormat="1" x14ac:dyDescent="0.65">
      <c r="A160" s="162" t="s">
        <v>165</v>
      </c>
      <c r="B160" s="163">
        <v>2</v>
      </c>
      <c r="C160" s="164" t="str">
        <f t="shared" si="33"/>
        <v>H02-23-0202</v>
      </c>
      <c r="D160" s="165" t="s">
        <v>168</v>
      </c>
      <c r="E160" s="162" t="s">
        <v>22</v>
      </c>
      <c r="F160" s="166" t="str">
        <f t="shared" si="32"/>
        <v>APPLICATIONS (RD,RO,EC MED, RF, MAT, SO, RR, SS, PLP, ACOP)</v>
      </c>
      <c r="G160" s="167" t="s">
        <v>34</v>
      </c>
      <c r="H160" s="167" t="s">
        <v>131</v>
      </c>
      <c r="I160" s="168" t="s">
        <v>169</v>
      </c>
      <c r="J160" s="163">
        <v>2014</v>
      </c>
      <c r="K160" s="169">
        <f>2024-Table1[[#This Row],[LATEST YEAR]]</f>
        <v>10</v>
      </c>
      <c r="L160" s="169">
        <f>VLOOKUP(Table1[[#This Row],[GRDS ITEM NO]],RETENTION1,4,0)</f>
        <v>1</v>
      </c>
      <c r="M160" s="169">
        <f>Table1[[#This Row],[RETENTION PERIOD]]-Table1[[#This Row],[NO. YEARS AS OF 2024]]</f>
        <v>-9</v>
      </c>
      <c r="N160" s="163"/>
      <c r="O160" s="145"/>
      <c r="P160" s="145" t="s">
        <v>20</v>
      </c>
    </row>
    <row r="161" spans="1:16" s="171" customFormat="1" x14ac:dyDescent="0.65">
      <c r="A161" s="162" t="s">
        <v>165</v>
      </c>
      <c r="B161" s="163">
        <v>3</v>
      </c>
      <c r="C161" s="164" t="str">
        <f t="shared" si="33"/>
        <v>H02-23-0203</v>
      </c>
      <c r="D161" s="165" t="s">
        <v>168</v>
      </c>
      <c r="E161" s="162" t="s">
        <v>22</v>
      </c>
      <c r="F161" s="166" t="str">
        <f t="shared" si="32"/>
        <v>APPLICATIONS (RD,RO,EC MED, RF, MAT, SO, RR, SS, PLP, ACOP)</v>
      </c>
      <c r="G161" s="167" t="s">
        <v>34</v>
      </c>
      <c r="H161" s="167" t="s">
        <v>131</v>
      </c>
      <c r="I161" s="168" t="s">
        <v>170</v>
      </c>
      <c r="J161" s="163">
        <v>2013</v>
      </c>
      <c r="K161" s="169">
        <f>2024-Table1[[#This Row],[LATEST YEAR]]</f>
        <v>11</v>
      </c>
      <c r="L161" s="169">
        <f>VLOOKUP(Table1[[#This Row],[GRDS ITEM NO]],RETENTION1,4,0)</f>
        <v>1</v>
      </c>
      <c r="M161" s="169">
        <f>Table1[[#This Row],[RETENTION PERIOD]]-Table1[[#This Row],[NO. YEARS AS OF 2024]]</f>
        <v>-10</v>
      </c>
      <c r="N161" s="163"/>
      <c r="O161" s="145"/>
      <c r="P161" s="145" t="s">
        <v>20</v>
      </c>
    </row>
    <row r="162" spans="1:16" s="171" customFormat="1" x14ac:dyDescent="0.65">
      <c r="A162" s="162" t="s">
        <v>165</v>
      </c>
      <c r="B162" s="163">
        <v>4</v>
      </c>
      <c r="C162" s="164" t="str">
        <f t="shared" si="33"/>
        <v>H02-23-0204</v>
      </c>
      <c r="D162" s="165" t="s">
        <v>168</v>
      </c>
      <c r="E162" s="162" t="s">
        <v>22</v>
      </c>
      <c r="F162" s="166" t="str">
        <f t="shared" si="32"/>
        <v>APPLICATIONS (RD,RO,EC MED, RF, MAT, SO, RR, SS, PLP, ACOP)</v>
      </c>
      <c r="G162" s="167" t="s">
        <v>34</v>
      </c>
      <c r="H162" s="167" t="s">
        <v>131</v>
      </c>
      <c r="I162" s="168" t="s">
        <v>171</v>
      </c>
      <c r="J162" s="163">
        <v>2013</v>
      </c>
      <c r="K162" s="169">
        <f>2024-Table1[[#This Row],[LATEST YEAR]]</f>
        <v>11</v>
      </c>
      <c r="L162" s="169">
        <f>VLOOKUP(Table1[[#This Row],[GRDS ITEM NO]],RETENTION1,4,0)</f>
        <v>1</v>
      </c>
      <c r="M162" s="169">
        <f>Table1[[#This Row],[RETENTION PERIOD]]-Table1[[#This Row],[NO. YEARS AS OF 2024]]</f>
        <v>-10</v>
      </c>
      <c r="N162" s="163"/>
      <c r="O162" s="145"/>
      <c r="P162" s="145" t="s">
        <v>20</v>
      </c>
    </row>
    <row r="163" spans="1:16" s="171" customFormat="1" x14ac:dyDescent="0.65">
      <c r="A163" s="162" t="s">
        <v>165</v>
      </c>
      <c r="B163" s="163">
        <v>5</v>
      </c>
      <c r="C163" s="164" t="str">
        <f t="shared" si="33"/>
        <v>H02-23-0205</v>
      </c>
      <c r="D163" s="165" t="s">
        <v>168</v>
      </c>
      <c r="E163" s="162" t="s">
        <v>22</v>
      </c>
      <c r="F163" s="166" t="str">
        <f t="shared" si="32"/>
        <v>APPLICATIONS (RD,RO,EC MED, RF, MAT, SO, RR, SS, PLP, ACOP)</v>
      </c>
      <c r="G163" s="167" t="s">
        <v>34</v>
      </c>
      <c r="H163" s="167" t="s">
        <v>131</v>
      </c>
      <c r="I163" s="168" t="s">
        <v>172</v>
      </c>
      <c r="J163" s="163">
        <v>2013</v>
      </c>
      <c r="K163" s="169">
        <f>2024-Table1[[#This Row],[LATEST YEAR]]</f>
        <v>11</v>
      </c>
      <c r="L163" s="169">
        <f>VLOOKUP(Table1[[#This Row],[GRDS ITEM NO]],RETENTION1,4,0)</f>
        <v>1</v>
      </c>
      <c r="M163" s="169">
        <f>Table1[[#This Row],[RETENTION PERIOD]]-Table1[[#This Row],[NO. YEARS AS OF 2024]]</f>
        <v>-10</v>
      </c>
      <c r="N163" s="163"/>
      <c r="O163" s="145"/>
      <c r="P163" s="145" t="s">
        <v>20</v>
      </c>
    </row>
    <row r="164" spans="1:16" s="171" customFormat="1" x14ac:dyDescent="0.65">
      <c r="A164" s="162" t="s">
        <v>165</v>
      </c>
      <c r="B164" s="163">
        <v>6</v>
      </c>
      <c r="C164" s="164" t="str">
        <f t="shared" si="33"/>
        <v>H02-23-0206</v>
      </c>
      <c r="D164" s="165" t="s">
        <v>173</v>
      </c>
      <c r="E164" s="162" t="s">
        <v>22</v>
      </c>
      <c r="F164" s="166" t="str">
        <f t="shared" si="32"/>
        <v>APPLICATIONS (RD,RO,EC MED, RF, MAT, SO, RR, SS, PLP, ACOP)</v>
      </c>
      <c r="G164" s="167" t="s">
        <v>34</v>
      </c>
      <c r="H164" s="167" t="s">
        <v>131</v>
      </c>
      <c r="I164" s="168" t="s">
        <v>174</v>
      </c>
      <c r="J164" s="163">
        <v>2014</v>
      </c>
      <c r="K164" s="169">
        <f>2024-Table1[[#This Row],[LATEST YEAR]]</f>
        <v>10</v>
      </c>
      <c r="L164" s="169">
        <f>VLOOKUP(Table1[[#This Row],[GRDS ITEM NO]],RETENTION1,4,0)</f>
        <v>1</v>
      </c>
      <c r="M164" s="169">
        <f>Table1[[#This Row],[RETENTION PERIOD]]-Table1[[#This Row],[NO. YEARS AS OF 2024]]</f>
        <v>-9</v>
      </c>
      <c r="N164" s="163"/>
      <c r="O164" s="145"/>
      <c r="P164" s="145" t="s">
        <v>20</v>
      </c>
    </row>
    <row r="165" spans="1:16" s="171" customFormat="1" x14ac:dyDescent="0.65">
      <c r="A165" s="162" t="s">
        <v>165</v>
      </c>
      <c r="B165" s="163">
        <v>7</v>
      </c>
      <c r="C165" s="164" t="str">
        <f t="shared" si="33"/>
        <v>H02-23-0207</v>
      </c>
      <c r="D165" s="165" t="s">
        <v>173</v>
      </c>
      <c r="E165" s="162" t="s">
        <v>22</v>
      </c>
      <c r="F165" s="166" t="str">
        <f t="shared" si="32"/>
        <v>APPLICATIONS (RD,RO,EC MED, RF, MAT, SO, RR, SS, PLP, ACOP)</v>
      </c>
      <c r="G165" s="167" t="s">
        <v>34</v>
      </c>
      <c r="H165" s="167" t="s">
        <v>131</v>
      </c>
      <c r="I165" s="168" t="s">
        <v>175</v>
      </c>
      <c r="J165" s="163">
        <v>2015</v>
      </c>
      <c r="K165" s="169">
        <f>2024-Table1[[#This Row],[LATEST YEAR]]</f>
        <v>9</v>
      </c>
      <c r="L165" s="169">
        <f>VLOOKUP(Table1[[#This Row],[GRDS ITEM NO]],RETENTION1,4,0)</f>
        <v>1</v>
      </c>
      <c r="M165" s="169">
        <f>Table1[[#This Row],[RETENTION PERIOD]]-Table1[[#This Row],[NO. YEARS AS OF 2024]]</f>
        <v>-8</v>
      </c>
      <c r="N165" s="163"/>
      <c r="O165" s="145"/>
      <c r="P165" s="145" t="s">
        <v>20</v>
      </c>
    </row>
    <row r="166" spans="1:16" s="171" customFormat="1" x14ac:dyDescent="0.65">
      <c r="A166" s="162" t="s">
        <v>165</v>
      </c>
      <c r="B166" s="163">
        <v>8</v>
      </c>
      <c r="C166" s="164" t="str">
        <f t="shared" si="33"/>
        <v>H02-23-0208</v>
      </c>
      <c r="D166" s="165" t="s">
        <v>173</v>
      </c>
      <c r="E166" s="162" t="s">
        <v>22</v>
      </c>
      <c r="F166" s="166" t="str">
        <f t="shared" si="32"/>
        <v>APPLICATIONS (RD,RO,EC MED, RF, MAT, SO, RR, SS, PLP, ACOP)</v>
      </c>
      <c r="G166" s="167" t="s">
        <v>34</v>
      </c>
      <c r="H166" s="167" t="s">
        <v>131</v>
      </c>
      <c r="I166" s="168" t="s">
        <v>176</v>
      </c>
      <c r="J166" s="163">
        <v>2015</v>
      </c>
      <c r="K166" s="169">
        <f>2024-Table1[[#This Row],[LATEST YEAR]]</f>
        <v>9</v>
      </c>
      <c r="L166" s="169">
        <f>VLOOKUP(Table1[[#This Row],[GRDS ITEM NO]],RETENTION1,4,0)</f>
        <v>1</v>
      </c>
      <c r="M166" s="169">
        <f>Table1[[#This Row],[RETENTION PERIOD]]-Table1[[#This Row],[NO. YEARS AS OF 2024]]</f>
        <v>-8</v>
      </c>
      <c r="N166" s="163"/>
      <c r="O166" s="145"/>
      <c r="P166" s="145" t="s">
        <v>20</v>
      </c>
    </row>
    <row r="167" spans="1:16" s="171" customFormat="1" x14ac:dyDescent="0.65">
      <c r="A167" s="162" t="s">
        <v>165</v>
      </c>
      <c r="B167" s="163">
        <v>9</v>
      </c>
      <c r="C167" s="164" t="str">
        <f t="shared" si="33"/>
        <v>H02-23-0209</v>
      </c>
      <c r="D167" s="175" t="s">
        <v>177</v>
      </c>
      <c r="E167" s="162" t="s">
        <v>22</v>
      </c>
      <c r="F167" s="166" t="str">
        <f t="shared" si="32"/>
        <v>APPLICATIONS (RD,RO,EC MED, RF, MAT, SO, RR, SS, PLP, ACOP)</v>
      </c>
      <c r="G167" s="167" t="s">
        <v>34</v>
      </c>
      <c r="H167" s="167" t="s">
        <v>131</v>
      </c>
      <c r="I167" s="168" t="s">
        <v>178</v>
      </c>
      <c r="J167" s="163">
        <v>2016</v>
      </c>
      <c r="K167" s="169">
        <f>2024-Table1[[#This Row],[LATEST YEAR]]</f>
        <v>8</v>
      </c>
      <c r="L167" s="169">
        <f>VLOOKUP(Table1[[#This Row],[GRDS ITEM NO]],RETENTION1,4,0)</f>
        <v>1</v>
      </c>
      <c r="M167" s="169">
        <f>Table1[[#This Row],[RETENTION PERIOD]]-Table1[[#This Row],[NO. YEARS AS OF 2024]]</f>
        <v>-7</v>
      </c>
      <c r="N167" s="163"/>
      <c r="O167" s="145"/>
      <c r="P167" s="145" t="s">
        <v>20</v>
      </c>
    </row>
    <row r="168" spans="1:16" s="171" customFormat="1" x14ac:dyDescent="0.65">
      <c r="A168" s="162" t="s">
        <v>165</v>
      </c>
      <c r="B168" s="163">
        <v>10</v>
      </c>
      <c r="C168" s="164" t="str">
        <f t="shared" si="33"/>
        <v>H02-23-02010</v>
      </c>
      <c r="D168" s="175" t="s">
        <v>177</v>
      </c>
      <c r="E168" s="162" t="s">
        <v>22</v>
      </c>
      <c r="F168" s="166" t="str">
        <f t="shared" si="32"/>
        <v>APPLICATIONS (RD,RO,EC MED, RF, MAT, SO, RR, SS, PLP, ACOP)</v>
      </c>
      <c r="G168" s="167" t="s">
        <v>34</v>
      </c>
      <c r="H168" s="167" t="s">
        <v>131</v>
      </c>
      <c r="I168" s="168" t="s">
        <v>179</v>
      </c>
      <c r="J168" s="163">
        <v>2016</v>
      </c>
      <c r="K168" s="169">
        <f>2024-Table1[[#This Row],[LATEST YEAR]]</f>
        <v>8</v>
      </c>
      <c r="L168" s="169">
        <f>VLOOKUP(Table1[[#This Row],[GRDS ITEM NO]],RETENTION1,4,0)</f>
        <v>1</v>
      </c>
      <c r="M168" s="169">
        <f>Table1[[#This Row],[RETENTION PERIOD]]-Table1[[#This Row],[NO. YEARS AS OF 2024]]</f>
        <v>-7</v>
      </c>
      <c r="N168" s="163"/>
      <c r="O168" s="145"/>
      <c r="P168" s="145" t="s">
        <v>20</v>
      </c>
    </row>
    <row r="169" spans="1:16" s="171" customFormat="1" x14ac:dyDescent="0.65">
      <c r="A169" s="162" t="s">
        <v>165</v>
      </c>
      <c r="B169" s="163">
        <v>11</v>
      </c>
      <c r="C169" s="164" t="str">
        <f t="shared" si="33"/>
        <v>H02-23-02011</v>
      </c>
      <c r="D169" s="175" t="s">
        <v>180</v>
      </c>
      <c r="E169" s="162" t="s">
        <v>22</v>
      </c>
      <c r="F169" s="166" t="str">
        <f t="shared" si="32"/>
        <v>APPLICATIONS (RD,RO,EC MED, RF, MAT, SO, RR, SS, PLP, ACOP)</v>
      </c>
      <c r="G169" s="167" t="s">
        <v>34</v>
      </c>
      <c r="H169" s="167" t="s">
        <v>131</v>
      </c>
      <c r="I169" s="168" t="s">
        <v>181</v>
      </c>
      <c r="J169" s="163">
        <v>2016</v>
      </c>
      <c r="K169" s="169">
        <f>2024-Table1[[#This Row],[LATEST YEAR]]</f>
        <v>8</v>
      </c>
      <c r="L169" s="169">
        <f>VLOOKUP(Table1[[#This Row],[GRDS ITEM NO]],RETENTION1,4,0)</f>
        <v>1</v>
      </c>
      <c r="M169" s="169">
        <f>Table1[[#This Row],[RETENTION PERIOD]]-Table1[[#This Row],[NO. YEARS AS OF 2024]]</f>
        <v>-7</v>
      </c>
      <c r="N169" s="163"/>
      <c r="O169" s="145"/>
      <c r="P169" s="145" t="s">
        <v>20</v>
      </c>
    </row>
    <row r="170" spans="1:16" s="171" customFormat="1" x14ac:dyDescent="0.65">
      <c r="A170" s="162" t="s">
        <v>165</v>
      </c>
      <c r="B170" s="163">
        <v>12</v>
      </c>
      <c r="C170" s="164" t="str">
        <f t="shared" si="33"/>
        <v>H02-23-02012</v>
      </c>
      <c r="D170" s="175" t="s">
        <v>182</v>
      </c>
      <c r="E170" s="162" t="s">
        <v>22</v>
      </c>
      <c r="F170" s="166" t="str">
        <f t="shared" si="32"/>
        <v>APPLICATIONS (RD,RO,EC MED, RF, MAT, SO, RR, SS, PLP, ACOP)</v>
      </c>
      <c r="G170" s="167" t="s">
        <v>34</v>
      </c>
      <c r="H170" s="167" t="s">
        <v>131</v>
      </c>
      <c r="I170" s="168" t="s">
        <v>183</v>
      </c>
      <c r="J170" s="163">
        <v>2016</v>
      </c>
      <c r="K170" s="169">
        <f>2024-Table1[[#This Row],[LATEST YEAR]]</f>
        <v>8</v>
      </c>
      <c r="L170" s="169">
        <f>VLOOKUP(Table1[[#This Row],[GRDS ITEM NO]],RETENTION1,4,0)</f>
        <v>1</v>
      </c>
      <c r="M170" s="169">
        <f>Table1[[#This Row],[RETENTION PERIOD]]-Table1[[#This Row],[NO. YEARS AS OF 2024]]</f>
        <v>-7</v>
      </c>
      <c r="N170" s="163"/>
      <c r="O170" s="145"/>
      <c r="P170" s="145" t="s">
        <v>20</v>
      </c>
    </row>
    <row r="171" spans="1:16" s="171" customFormat="1" x14ac:dyDescent="0.65">
      <c r="A171" s="162" t="s">
        <v>165</v>
      </c>
      <c r="B171" s="163">
        <v>13</v>
      </c>
      <c r="C171" s="164" t="str">
        <f t="shared" si="33"/>
        <v>H02-23-02013</v>
      </c>
      <c r="D171" s="175" t="s">
        <v>182</v>
      </c>
      <c r="E171" s="162" t="s">
        <v>22</v>
      </c>
      <c r="F171" s="166" t="str">
        <f t="shared" si="32"/>
        <v>APPLICATIONS (RD,RO,EC MED, RF, MAT, SO, RR, SS, PLP, ACOP)</v>
      </c>
      <c r="G171" s="167" t="s">
        <v>34</v>
      </c>
      <c r="H171" s="167" t="s">
        <v>131</v>
      </c>
      <c r="I171" s="168" t="s">
        <v>184</v>
      </c>
      <c r="J171" s="163">
        <v>2016</v>
      </c>
      <c r="K171" s="169">
        <f>2024-Table1[[#This Row],[LATEST YEAR]]</f>
        <v>8</v>
      </c>
      <c r="L171" s="169">
        <f>VLOOKUP(Table1[[#This Row],[GRDS ITEM NO]],RETENTION1,4,0)</f>
        <v>1</v>
      </c>
      <c r="M171" s="169">
        <f>Table1[[#This Row],[RETENTION PERIOD]]-Table1[[#This Row],[NO. YEARS AS OF 2024]]</f>
        <v>-7</v>
      </c>
      <c r="N171" s="163"/>
      <c r="O171" s="145"/>
      <c r="P171" s="145" t="s">
        <v>20</v>
      </c>
    </row>
    <row r="172" spans="1:16" s="171" customFormat="1" x14ac:dyDescent="0.65">
      <c r="A172" s="162" t="s">
        <v>165</v>
      </c>
      <c r="B172" s="163">
        <v>14</v>
      </c>
      <c r="C172" s="164" t="str">
        <f t="shared" si="33"/>
        <v>H02-23-02014</v>
      </c>
      <c r="D172" s="175" t="s">
        <v>182</v>
      </c>
      <c r="E172" s="162" t="s">
        <v>22</v>
      </c>
      <c r="F172" s="166" t="str">
        <f t="shared" si="32"/>
        <v>APPLICATIONS (RD,RO,EC MED, RF, MAT, SO, RR, SS, PLP, ACOP)</v>
      </c>
      <c r="G172" s="167" t="s">
        <v>34</v>
      </c>
      <c r="H172" s="167" t="s">
        <v>131</v>
      </c>
      <c r="I172" s="168" t="s">
        <v>185</v>
      </c>
      <c r="J172" s="163">
        <v>2016</v>
      </c>
      <c r="K172" s="169">
        <f>2024-Table1[[#This Row],[LATEST YEAR]]</f>
        <v>8</v>
      </c>
      <c r="L172" s="169">
        <f>VLOOKUP(Table1[[#This Row],[GRDS ITEM NO]],RETENTION1,4,0)</f>
        <v>1</v>
      </c>
      <c r="M172" s="169">
        <f>Table1[[#This Row],[RETENTION PERIOD]]-Table1[[#This Row],[NO. YEARS AS OF 2024]]</f>
        <v>-7</v>
      </c>
      <c r="N172" s="163"/>
      <c r="O172" s="145"/>
      <c r="P172" s="145" t="s">
        <v>20</v>
      </c>
    </row>
    <row r="173" spans="1:16" s="171" customFormat="1" x14ac:dyDescent="0.65">
      <c r="A173" s="162" t="s">
        <v>165</v>
      </c>
      <c r="B173" s="163">
        <v>15</v>
      </c>
      <c r="C173" s="164" t="str">
        <f t="shared" si="33"/>
        <v>H02-23-02015</v>
      </c>
      <c r="D173" s="175" t="s">
        <v>186</v>
      </c>
      <c r="E173" s="162" t="s">
        <v>22</v>
      </c>
      <c r="F173" s="166" t="str">
        <f t="shared" si="32"/>
        <v>APPLICATIONS (RD,RO,EC MED, RF, MAT, SO, RR, SS, PLP, ACOP)</v>
      </c>
      <c r="G173" s="167" t="s">
        <v>34</v>
      </c>
      <c r="H173" s="167" t="s">
        <v>131</v>
      </c>
      <c r="I173" s="168" t="s">
        <v>187</v>
      </c>
      <c r="J173" s="163">
        <v>2017</v>
      </c>
      <c r="K173" s="169">
        <f>2024-Table1[[#This Row],[LATEST YEAR]]</f>
        <v>7</v>
      </c>
      <c r="L173" s="169">
        <f>VLOOKUP(Table1[[#This Row],[GRDS ITEM NO]],RETENTION1,4,0)</f>
        <v>1</v>
      </c>
      <c r="M173" s="169">
        <f>Table1[[#This Row],[RETENTION PERIOD]]-Table1[[#This Row],[NO. YEARS AS OF 2024]]</f>
        <v>-6</v>
      </c>
      <c r="N173" s="163"/>
      <c r="O173" s="145"/>
      <c r="P173" s="145" t="s">
        <v>20</v>
      </c>
    </row>
    <row r="174" spans="1:16" s="171" customFormat="1" x14ac:dyDescent="0.65">
      <c r="A174" s="162" t="s">
        <v>165</v>
      </c>
      <c r="B174" s="163">
        <v>16</v>
      </c>
      <c r="C174" s="164" t="str">
        <f t="shared" si="33"/>
        <v>H02-23-02016</v>
      </c>
      <c r="D174" s="175" t="s">
        <v>186</v>
      </c>
      <c r="E174" s="162" t="s">
        <v>22</v>
      </c>
      <c r="F174" s="166" t="str">
        <f t="shared" si="32"/>
        <v>APPLICATIONS (RD,RO,EC MED, RF, MAT, SO, RR, SS, PLP, ACOP)</v>
      </c>
      <c r="G174" s="167" t="s">
        <v>34</v>
      </c>
      <c r="H174" s="167" t="s">
        <v>131</v>
      </c>
      <c r="I174" s="168" t="s">
        <v>188</v>
      </c>
      <c r="J174" s="163">
        <v>2017</v>
      </c>
      <c r="K174" s="169">
        <f>2024-Table1[[#This Row],[LATEST YEAR]]</f>
        <v>7</v>
      </c>
      <c r="L174" s="169">
        <f>VLOOKUP(Table1[[#This Row],[GRDS ITEM NO]],RETENTION1,4,0)</f>
        <v>1</v>
      </c>
      <c r="M174" s="169">
        <f>Table1[[#This Row],[RETENTION PERIOD]]-Table1[[#This Row],[NO. YEARS AS OF 2024]]</f>
        <v>-6</v>
      </c>
      <c r="N174" s="163"/>
      <c r="O174" s="145"/>
      <c r="P174" s="145" t="s">
        <v>20</v>
      </c>
    </row>
    <row r="175" spans="1:16" s="171" customFormat="1" x14ac:dyDescent="0.65">
      <c r="A175" s="162" t="s">
        <v>165</v>
      </c>
      <c r="B175" s="163">
        <v>17</v>
      </c>
      <c r="C175" s="164" t="str">
        <f t="shared" si="33"/>
        <v>H02-23-02017</v>
      </c>
      <c r="D175" s="175" t="s">
        <v>186</v>
      </c>
      <c r="E175" s="162" t="s">
        <v>22</v>
      </c>
      <c r="F175" s="166" t="str">
        <f t="shared" si="32"/>
        <v>APPLICATIONS (RD,RO,EC MED, RF, MAT, SO, RR, SS, PLP, ACOP)</v>
      </c>
      <c r="G175" s="167" t="s">
        <v>34</v>
      </c>
      <c r="H175" s="167" t="s">
        <v>131</v>
      </c>
      <c r="I175" s="168" t="s">
        <v>189</v>
      </c>
      <c r="J175" s="163">
        <v>2017</v>
      </c>
      <c r="K175" s="169">
        <f>2024-Table1[[#This Row],[LATEST YEAR]]</f>
        <v>7</v>
      </c>
      <c r="L175" s="169">
        <f>VLOOKUP(Table1[[#This Row],[GRDS ITEM NO]],RETENTION1,4,0)</f>
        <v>1</v>
      </c>
      <c r="M175" s="169">
        <f>Table1[[#This Row],[RETENTION PERIOD]]-Table1[[#This Row],[NO. YEARS AS OF 2024]]</f>
        <v>-6</v>
      </c>
      <c r="N175" s="163"/>
      <c r="O175" s="145"/>
      <c r="P175" s="145" t="s">
        <v>20</v>
      </c>
    </row>
    <row r="176" spans="1:16" s="171" customFormat="1" x14ac:dyDescent="0.65">
      <c r="A176" s="162" t="s">
        <v>165</v>
      </c>
      <c r="B176" s="163">
        <v>18</v>
      </c>
      <c r="C176" s="164" t="str">
        <f t="shared" si="33"/>
        <v>H02-23-02018</v>
      </c>
      <c r="D176" s="175" t="s">
        <v>190</v>
      </c>
      <c r="E176" s="162" t="s">
        <v>22</v>
      </c>
      <c r="F176" s="166" t="str">
        <f t="shared" si="32"/>
        <v>APPLICATIONS (RD,RO,EC MED, RF, MAT, SO, RR, SS, PLP, ACOP)</v>
      </c>
      <c r="G176" s="167" t="s">
        <v>34</v>
      </c>
      <c r="H176" s="167" t="s">
        <v>131</v>
      </c>
      <c r="I176" s="168" t="s">
        <v>191</v>
      </c>
      <c r="J176" s="163">
        <v>2017</v>
      </c>
      <c r="K176" s="169">
        <f>2024-Table1[[#This Row],[LATEST YEAR]]</f>
        <v>7</v>
      </c>
      <c r="L176" s="169">
        <f>VLOOKUP(Table1[[#This Row],[GRDS ITEM NO]],RETENTION1,4,0)</f>
        <v>1</v>
      </c>
      <c r="M176" s="169">
        <f>Table1[[#This Row],[RETENTION PERIOD]]-Table1[[#This Row],[NO. YEARS AS OF 2024]]</f>
        <v>-6</v>
      </c>
      <c r="N176" s="163"/>
      <c r="O176" s="145"/>
      <c r="P176" s="145" t="s">
        <v>20</v>
      </c>
    </row>
    <row r="177" spans="1:16" s="171" customFormat="1" x14ac:dyDescent="0.65">
      <c r="A177" s="162" t="s">
        <v>165</v>
      </c>
      <c r="B177" s="163">
        <v>19</v>
      </c>
      <c r="C177" s="164" t="str">
        <f t="shared" si="33"/>
        <v>H02-23-02019</v>
      </c>
      <c r="D177" s="175" t="s">
        <v>190</v>
      </c>
      <c r="E177" s="162" t="s">
        <v>22</v>
      </c>
      <c r="F177" s="166" t="str">
        <f t="shared" si="32"/>
        <v>APPLICATIONS (RD,RO,EC MED, RF, MAT, SO, RR, SS, PLP, ACOP)</v>
      </c>
      <c r="G177" s="167" t="s">
        <v>34</v>
      </c>
      <c r="H177" s="167" t="s">
        <v>131</v>
      </c>
      <c r="I177" s="168" t="s">
        <v>192</v>
      </c>
      <c r="J177" s="163">
        <v>2017</v>
      </c>
      <c r="K177" s="169">
        <f>2024-Table1[[#This Row],[LATEST YEAR]]</f>
        <v>7</v>
      </c>
      <c r="L177" s="169">
        <f>VLOOKUP(Table1[[#This Row],[GRDS ITEM NO]],RETENTION1,4,0)</f>
        <v>1</v>
      </c>
      <c r="M177" s="169">
        <f>Table1[[#This Row],[RETENTION PERIOD]]-Table1[[#This Row],[NO. YEARS AS OF 2024]]</f>
        <v>-6</v>
      </c>
      <c r="N177" s="163"/>
      <c r="O177" s="145"/>
      <c r="P177" s="145" t="s">
        <v>20</v>
      </c>
    </row>
    <row r="178" spans="1:16" s="171" customFormat="1" x14ac:dyDescent="0.65">
      <c r="A178" s="162" t="s">
        <v>165</v>
      </c>
      <c r="B178" s="163">
        <v>20</v>
      </c>
      <c r="C178" s="164" t="str">
        <f t="shared" si="33"/>
        <v>H02-23-02020</v>
      </c>
      <c r="D178" s="175" t="s">
        <v>190</v>
      </c>
      <c r="E178" s="162" t="s">
        <v>22</v>
      </c>
      <c r="F178" s="166" t="str">
        <f t="shared" si="32"/>
        <v>APPLICATIONS (RD,RO,EC MED, RF, MAT, SO, RR, SS, PLP, ACOP)</v>
      </c>
      <c r="G178" s="167" t="s">
        <v>34</v>
      </c>
      <c r="H178" s="167" t="s">
        <v>131</v>
      </c>
      <c r="I178" s="168" t="s">
        <v>193</v>
      </c>
      <c r="J178" s="163">
        <v>2017</v>
      </c>
      <c r="K178" s="169">
        <f>2024-Table1[[#This Row],[LATEST YEAR]]</f>
        <v>7</v>
      </c>
      <c r="L178" s="169">
        <f>VLOOKUP(Table1[[#This Row],[GRDS ITEM NO]],RETENTION1,4,0)</f>
        <v>1</v>
      </c>
      <c r="M178" s="169">
        <f>Table1[[#This Row],[RETENTION PERIOD]]-Table1[[#This Row],[NO. YEARS AS OF 2024]]</f>
        <v>-6</v>
      </c>
      <c r="N178" s="163"/>
      <c r="O178" s="145"/>
      <c r="P178" s="145" t="s">
        <v>20</v>
      </c>
    </row>
    <row r="179" spans="1:16" s="171" customFormat="1" x14ac:dyDescent="0.65">
      <c r="A179" s="162" t="s">
        <v>165</v>
      </c>
      <c r="B179" s="163">
        <v>21</v>
      </c>
      <c r="C179" s="164" t="str">
        <f t="shared" si="33"/>
        <v>H02-23-02021</v>
      </c>
      <c r="D179" s="175" t="s">
        <v>190</v>
      </c>
      <c r="E179" s="162" t="s">
        <v>22</v>
      </c>
      <c r="F179" s="166" t="str">
        <f t="shared" si="32"/>
        <v>APPLICATIONS (RD,RO,EC MED, RF, MAT, SO, RR, SS, PLP, ACOP)</v>
      </c>
      <c r="G179" s="167" t="s">
        <v>34</v>
      </c>
      <c r="H179" s="167" t="s">
        <v>131</v>
      </c>
      <c r="I179" s="168" t="s">
        <v>194</v>
      </c>
      <c r="J179" s="163">
        <v>2017</v>
      </c>
      <c r="K179" s="169">
        <f>2024-Table1[[#This Row],[LATEST YEAR]]</f>
        <v>7</v>
      </c>
      <c r="L179" s="169">
        <f>VLOOKUP(Table1[[#This Row],[GRDS ITEM NO]],RETENTION1,4,0)</f>
        <v>1</v>
      </c>
      <c r="M179" s="169">
        <f>Table1[[#This Row],[RETENTION PERIOD]]-Table1[[#This Row],[NO. YEARS AS OF 2024]]</f>
        <v>-6</v>
      </c>
      <c r="N179" s="163"/>
      <c r="O179" s="145"/>
      <c r="P179" s="145" t="s">
        <v>20</v>
      </c>
    </row>
    <row r="180" spans="1:16" s="171" customFormat="1" x14ac:dyDescent="0.65">
      <c r="A180" s="162" t="s">
        <v>165</v>
      </c>
      <c r="B180" s="163">
        <v>22</v>
      </c>
      <c r="C180" s="164" t="str">
        <f t="shared" si="33"/>
        <v>H02-23-02022</v>
      </c>
      <c r="D180" s="175" t="s">
        <v>190</v>
      </c>
      <c r="E180" s="162" t="s">
        <v>22</v>
      </c>
      <c r="F180" s="166" t="str">
        <f t="shared" si="32"/>
        <v>APPLICATIONS (RD,RO,EC MED, RF, MAT, SO, RR, SS, PLP, ACOP)</v>
      </c>
      <c r="G180" s="167" t="s">
        <v>34</v>
      </c>
      <c r="H180" s="167" t="s">
        <v>131</v>
      </c>
      <c r="I180" s="168" t="s">
        <v>195</v>
      </c>
      <c r="J180" s="163">
        <v>2018</v>
      </c>
      <c r="K180" s="169">
        <f>2024-Table1[[#This Row],[LATEST YEAR]]</f>
        <v>6</v>
      </c>
      <c r="L180" s="169">
        <f>VLOOKUP(Table1[[#This Row],[GRDS ITEM NO]],RETENTION1,4,0)</f>
        <v>1</v>
      </c>
      <c r="M180" s="169">
        <f>Table1[[#This Row],[RETENTION PERIOD]]-Table1[[#This Row],[NO. YEARS AS OF 2024]]</f>
        <v>-5</v>
      </c>
      <c r="N180" s="163"/>
      <c r="O180" s="145"/>
      <c r="P180" s="145" t="s">
        <v>20</v>
      </c>
    </row>
    <row r="181" spans="1:16" s="171" customFormat="1" x14ac:dyDescent="0.65">
      <c r="A181" s="162" t="s">
        <v>165</v>
      </c>
      <c r="B181" s="163">
        <v>23</v>
      </c>
      <c r="C181" s="164" t="str">
        <f t="shared" si="33"/>
        <v>H02-23-02023</v>
      </c>
      <c r="D181" s="175" t="s">
        <v>190</v>
      </c>
      <c r="E181" s="162" t="s">
        <v>22</v>
      </c>
      <c r="F181" s="166" t="str">
        <f t="shared" si="32"/>
        <v>APPLICATIONS (RD,RO,EC MED, RF, MAT, SO, RR, SS, PLP, ACOP)</v>
      </c>
      <c r="G181" s="167" t="s">
        <v>34</v>
      </c>
      <c r="H181" s="167" t="s">
        <v>131</v>
      </c>
      <c r="I181" s="168" t="s">
        <v>196</v>
      </c>
      <c r="J181" s="163">
        <v>2018</v>
      </c>
      <c r="K181" s="169">
        <f>2024-Table1[[#This Row],[LATEST YEAR]]</f>
        <v>6</v>
      </c>
      <c r="L181" s="169">
        <f>VLOOKUP(Table1[[#This Row],[GRDS ITEM NO]],RETENTION1,4,0)</f>
        <v>1</v>
      </c>
      <c r="M181" s="169">
        <f>Table1[[#This Row],[RETENTION PERIOD]]-Table1[[#This Row],[NO. YEARS AS OF 2024]]</f>
        <v>-5</v>
      </c>
      <c r="N181" s="163"/>
      <c r="O181" s="145"/>
      <c r="P181" s="145" t="s">
        <v>20</v>
      </c>
    </row>
    <row r="182" spans="1:16" s="171" customFormat="1" x14ac:dyDescent="0.65">
      <c r="A182" s="162" t="s">
        <v>165</v>
      </c>
      <c r="B182" s="163">
        <v>24</v>
      </c>
      <c r="C182" s="164" t="str">
        <f t="shared" si="33"/>
        <v>H02-23-02024</v>
      </c>
      <c r="D182" s="175" t="s">
        <v>197</v>
      </c>
      <c r="E182" s="162" t="s">
        <v>22</v>
      </c>
      <c r="F182" s="166" t="str">
        <f t="shared" si="32"/>
        <v>APPLICATIONS (RD,RO,EC MED, RF, MAT, SO, RR, SS, PLP, ACOP)</v>
      </c>
      <c r="G182" s="167" t="s">
        <v>34</v>
      </c>
      <c r="H182" s="167" t="s">
        <v>131</v>
      </c>
      <c r="I182" s="168" t="s">
        <v>198</v>
      </c>
      <c r="J182" s="163">
        <v>2018</v>
      </c>
      <c r="K182" s="169">
        <f>2024-Table1[[#This Row],[LATEST YEAR]]</f>
        <v>6</v>
      </c>
      <c r="L182" s="169">
        <f>VLOOKUP(Table1[[#This Row],[GRDS ITEM NO]],RETENTION1,4,0)</f>
        <v>1</v>
      </c>
      <c r="M182" s="169">
        <f>Table1[[#This Row],[RETENTION PERIOD]]-Table1[[#This Row],[NO. YEARS AS OF 2024]]</f>
        <v>-5</v>
      </c>
      <c r="N182" s="163"/>
      <c r="O182" s="145"/>
      <c r="P182" s="145" t="s">
        <v>20</v>
      </c>
    </row>
    <row r="183" spans="1:16" s="171" customFormat="1" x14ac:dyDescent="0.65">
      <c r="A183" s="162" t="s">
        <v>165</v>
      </c>
      <c r="B183" s="163">
        <v>25</v>
      </c>
      <c r="C183" s="164" t="str">
        <f t="shared" si="33"/>
        <v>H02-23-02025</v>
      </c>
      <c r="D183" s="175" t="s">
        <v>197</v>
      </c>
      <c r="E183" s="162" t="s">
        <v>22</v>
      </c>
      <c r="F183" s="166" t="str">
        <f t="shared" si="32"/>
        <v>APPLICATIONS (RD,RO,EC MED, RF, MAT, SO, RR, SS, PLP, ACOP)</v>
      </c>
      <c r="G183" s="167" t="s">
        <v>34</v>
      </c>
      <c r="H183" s="167" t="s">
        <v>131</v>
      </c>
      <c r="I183" s="168" t="s">
        <v>199</v>
      </c>
      <c r="J183" s="163">
        <v>2018</v>
      </c>
      <c r="K183" s="169">
        <f>2024-Table1[[#This Row],[LATEST YEAR]]</f>
        <v>6</v>
      </c>
      <c r="L183" s="169">
        <f>VLOOKUP(Table1[[#This Row],[GRDS ITEM NO]],RETENTION1,4,0)</f>
        <v>1</v>
      </c>
      <c r="M183" s="169">
        <f>Table1[[#This Row],[RETENTION PERIOD]]-Table1[[#This Row],[NO. YEARS AS OF 2024]]</f>
        <v>-5</v>
      </c>
      <c r="N183" s="163"/>
      <c r="O183" s="145"/>
      <c r="P183" s="145" t="s">
        <v>20</v>
      </c>
    </row>
    <row r="184" spans="1:16" s="171" customFormat="1" x14ac:dyDescent="0.65">
      <c r="A184" s="162" t="s">
        <v>165</v>
      </c>
      <c r="B184" s="163">
        <v>26</v>
      </c>
      <c r="C184" s="164" t="str">
        <f t="shared" si="33"/>
        <v>H02-23-02026</v>
      </c>
      <c r="D184" s="175" t="s">
        <v>197</v>
      </c>
      <c r="E184" s="162" t="s">
        <v>22</v>
      </c>
      <c r="F184" s="166" t="str">
        <f t="shared" si="32"/>
        <v>APPLICATIONS (RD,RO,EC MED, RF, MAT, SO, RR, SS, PLP, ACOP)</v>
      </c>
      <c r="G184" s="167" t="s">
        <v>34</v>
      </c>
      <c r="H184" s="167" t="s">
        <v>131</v>
      </c>
      <c r="I184" s="168" t="s">
        <v>200</v>
      </c>
      <c r="J184" s="163">
        <v>2018</v>
      </c>
      <c r="K184" s="169">
        <f>2024-Table1[[#This Row],[LATEST YEAR]]</f>
        <v>6</v>
      </c>
      <c r="L184" s="169">
        <f>VLOOKUP(Table1[[#This Row],[GRDS ITEM NO]],RETENTION1,4,0)</f>
        <v>1</v>
      </c>
      <c r="M184" s="169">
        <f>Table1[[#This Row],[RETENTION PERIOD]]-Table1[[#This Row],[NO. YEARS AS OF 2024]]</f>
        <v>-5</v>
      </c>
      <c r="N184" s="163"/>
      <c r="O184" s="145"/>
      <c r="P184" s="145" t="s">
        <v>20</v>
      </c>
    </row>
    <row r="185" spans="1:16" s="171" customFormat="1" x14ac:dyDescent="0.65">
      <c r="A185" s="162" t="s">
        <v>165</v>
      </c>
      <c r="B185" s="163">
        <v>27</v>
      </c>
      <c r="C185" s="164" t="str">
        <f t="shared" si="33"/>
        <v>H02-23-02027</v>
      </c>
      <c r="D185" s="175" t="s">
        <v>197</v>
      </c>
      <c r="E185" s="162" t="s">
        <v>22</v>
      </c>
      <c r="F185" s="166" t="str">
        <f t="shared" ref="F185:F209" si="34">VLOOKUP(E185,DESCRIP,2,0)</f>
        <v>APPLICATIONS (RD,RO,EC MED, RF, MAT, SO, RR, SS, PLP, ACOP)</v>
      </c>
      <c r="G185" s="167" t="s">
        <v>34</v>
      </c>
      <c r="H185" s="167" t="s">
        <v>131</v>
      </c>
      <c r="I185" s="168" t="s">
        <v>201</v>
      </c>
      <c r="J185" s="163">
        <v>2018</v>
      </c>
      <c r="K185" s="169">
        <f>2024-Table1[[#This Row],[LATEST YEAR]]</f>
        <v>6</v>
      </c>
      <c r="L185" s="169">
        <f>VLOOKUP(Table1[[#This Row],[GRDS ITEM NO]],RETENTION1,4,0)</f>
        <v>1</v>
      </c>
      <c r="M185" s="169">
        <f>Table1[[#This Row],[RETENTION PERIOD]]-Table1[[#This Row],[NO. YEARS AS OF 2024]]</f>
        <v>-5</v>
      </c>
      <c r="N185" s="163"/>
      <c r="O185" s="145"/>
      <c r="P185" s="145" t="s">
        <v>20</v>
      </c>
    </row>
    <row r="186" spans="1:16" s="171" customFormat="1" x14ac:dyDescent="0.65">
      <c r="A186" s="162" t="s">
        <v>165</v>
      </c>
      <c r="B186" s="163">
        <v>28</v>
      </c>
      <c r="C186" s="164" t="str">
        <f t="shared" si="33"/>
        <v>H02-23-02028</v>
      </c>
      <c r="D186" s="175" t="s">
        <v>197</v>
      </c>
      <c r="E186" s="162" t="s">
        <v>22</v>
      </c>
      <c r="F186" s="166" t="str">
        <f t="shared" si="34"/>
        <v>APPLICATIONS (RD,RO,EC MED, RF, MAT, SO, RR, SS, PLP, ACOP)</v>
      </c>
      <c r="G186" s="167" t="s">
        <v>34</v>
      </c>
      <c r="H186" s="167" t="s">
        <v>131</v>
      </c>
      <c r="I186" s="168" t="s">
        <v>202</v>
      </c>
      <c r="J186" s="163">
        <v>2018</v>
      </c>
      <c r="K186" s="169">
        <f>2024-Table1[[#This Row],[LATEST YEAR]]</f>
        <v>6</v>
      </c>
      <c r="L186" s="169">
        <f>VLOOKUP(Table1[[#This Row],[GRDS ITEM NO]],RETENTION1,4,0)</f>
        <v>1</v>
      </c>
      <c r="M186" s="169">
        <f>Table1[[#This Row],[RETENTION PERIOD]]-Table1[[#This Row],[NO. YEARS AS OF 2024]]</f>
        <v>-5</v>
      </c>
      <c r="N186" s="163"/>
      <c r="O186" s="145"/>
      <c r="P186" s="145" t="s">
        <v>20</v>
      </c>
    </row>
    <row r="187" spans="1:16" s="171" customFormat="1" x14ac:dyDescent="0.65">
      <c r="A187" s="162" t="s">
        <v>165</v>
      </c>
      <c r="B187" s="163">
        <v>29</v>
      </c>
      <c r="C187" s="164" t="str">
        <f t="shared" si="33"/>
        <v>H02-23-02029</v>
      </c>
      <c r="D187" s="175" t="s">
        <v>197</v>
      </c>
      <c r="E187" s="162" t="s">
        <v>22</v>
      </c>
      <c r="F187" s="166" t="str">
        <f t="shared" si="34"/>
        <v>APPLICATIONS (RD,RO,EC MED, RF, MAT, SO, RR, SS, PLP, ACOP)</v>
      </c>
      <c r="G187" s="167" t="s">
        <v>34</v>
      </c>
      <c r="H187" s="167" t="s">
        <v>131</v>
      </c>
      <c r="I187" s="168" t="s">
        <v>203</v>
      </c>
      <c r="J187" s="163">
        <v>2019</v>
      </c>
      <c r="K187" s="169">
        <f>2024-Table1[[#This Row],[LATEST YEAR]]</f>
        <v>5</v>
      </c>
      <c r="L187" s="169">
        <f>VLOOKUP(Table1[[#This Row],[GRDS ITEM NO]],RETENTION1,4,0)</f>
        <v>1</v>
      </c>
      <c r="M187" s="169">
        <f>Table1[[#This Row],[RETENTION PERIOD]]-Table1[[#This Row],[NO. YEARS AS OF 2024]]</f>
        <v>-4</v>
      </c>
      <c r="N187" s="163"/>
      <c r="O187" s="145"/>
      <c r="P187" s="145" t="s">
        <v>20</v>
      </c>
    </row>
    <row r="188" spans="1:16" s="171" customFormat="1" x14ac:dyDescent="0.65">
      <c r="A188" s="162" t="s">
        <v>204</v>
      </c>
      <c r="B188" s="163">
        <v>1</v>
      </c>
      <c r="C188" s="164" t="str">
        <f t="shared" si="33"/>
        <v>H02-23-0211</v>
      </c>
      <c r="D188" s="165">
        <v>45248</v>
      </c>
      <c r="E188" s="162" t="s">
        <v>22</v>
      </c>
      <c r="F188" s="166" t="str">
        <f t="shared" si="34"/>
        <v>APPLICATIONS (RD,RO,EC MED, RF, MAT, SO, RR, SS, PLP, ACOP)</v>
      </c>
      <c r="G188" s="167" t="s">
        <v>34</v>
      </c>
      <c r="H188" s="167" t="s">
        <v>35</v>
      </c>
      <c r="I188" s="168" t="s">
        <v>205</v>
      </c>
      <c r="J188" s="163">
        <v>2018</v>
      </c>
      <c r="K188" s="169">
        <f>2024-Table1[[#This Row],[LATEST YEAR]]</f>
        <v>6</v>
      </c>
      <c r="L188" s="169">
        <f>VLOOKUP(Table1[[#This Row],[GRDS ITEM NO]],RETENTION1,4,0)</f>
        <v>1</v>
      </c>
      <c r="M188" s="169">
        <f>Table1[[#This Row],[RETENTION PERIOD]]-Table1[[#This Row],[NO. YEARS AS OF 2024]]</f>
        <v>-5</v>
      </c>
      <c r="N188" s="163"/>
      <c r="O188" s="145"/>
      <c r="P188" s="145" t="s">
        <v>20</v>
      </c>
    </row>
    <row r="189" spans="1:16" s="171" customFormat="1" x14ac:dyDescent="0.65">
      <c r="A189" s="162" t="s">
        <v>204</v>
      </c>
      <c r="B189" s="163">
        <v>2</v>
      </c>
      <c r="C189" s="164" t="str">
        <f t="shared" si="33"/>
        <v>H02-23-0212</v>
      </c>
      <c r="D189" s="165">
        <v>45248</v>
      </c>
      <c r="E189" s="162" t="s">
        <v>22</v>
      </c>
      <c r="F189" s="166" t="str">
        <f t="shared" si="34"/>
        <v>APPLICATIONS (RD,RO,EC MED, RF, MAT, SO, RR, SS, PLP, ACOP)</v>
      </c>
      <c r="G189" s="167" t="s">
        <v>34</v>
      </c>
      <c r="H189" s="167" t="s">
        <v>35</v>
      </c>
      <c r="I189" s="168" t="s">
        <v>206</v>
      </c>
      <c r="J189" s="163">
        <v>1998</v>
      </c>
      <c r="K189" s="169">
        <f>2024-Table1[[#This Row],[LATEST YEAR]]</f>
        <v>26</v>
      </c>
      <c r="L189" s="169">
        <f>VLOOKUP(Table1[[#This Row],[GRDS ITEM NO]],RETENTION1,4,0)</f>
        <v>1</v>
      </c>
      <c r="M189" s="169">
        <f>Table1[[#This Row],[RETENTION PERIOD]]-Table1[[#This Row],[NO. YEARS AS OF 2024]]</f>
        <v>-25</v>
      </c>
      <c r="N189" s="163"/>
      <c r="O189" s="145"/>
      <c r="P189" s="145" t="s">
        <v>20</v>
      </c>
    </row>
    <row r="190" spans="1:16" s="171" customFormat="1" x14ac:dyDescent="0.65">
      <c r="A190" s="162" t="s">
        <v>204</v>
      </c>
      <c r="B190" s="163">
        <v>3</v>
      </c>
      <c r="C190" s="164" t="str">
        <f t="shared" ref="C190:C200" si="35">_xlfn.CONCAT(A190,B190)</f>
        <v>H02-23-0213</v>
      </c>
      <c r="D190" s="165">
        <v>45248</v>
      </c>
      <c r="E190" s="162" t="s">
        <v>22</v>
      </c>
      <c r="F190" s="166" t="str">
        <f t="shared" si="34"/>
        <v>APPLICATIONS (RD,RO,EC MED, RF, MAT, SO, RR, SS, PLP, ACOP)</v>
      </c>
      <c r="G190" s="167" t="s">
        <v>34</v>
      </c>
      <c r="H190" s="167" t="s">
        <v>35</v>
      </c>
      <c r="I190" s="168" t="s">
        <v>206</v>
      </c>
      <c r="J190" s="163">
        <v>1998</v>
      </c>
      <c r="K190" s="169">
        <f>2024-Table1[[#This Row],[LATEST YEAR]]</f>
        <v>26</v>
      </c>
      <c r="L190" s="169">
        <f>VLOOKUP(Table1[[#This Row],[GRDS ITEM NO]],RETENTION1,4,0)</f>
        <v>1</v>
      </c>
      <c r="M190" s="169">
        <f>Table1[[#This Row],[RETENTION PERIOD]]-Table1[[#This Row],[NO. YEARS AS OF 2024]]</f>
        <v>-25</v>
      </c>
      <c r="N190" s="163"/>
      <c r="O190" s="145"/>
      <c r="P190" s="145" t="s">
        <v>20</v>
      </c>
    </row>
    <row r="191" spans="1:16" s="171" customFormat="1" x14ac:dyDescent="0.65">
      <c r="A191" s="162" t="s">
        <v>204</v>
      </c>
      <c r="B191" s="163">
        <v>4</v>
      </c>
      <c r="C191" s="164" t="str">
        <f t="shared" si="35"/>
        <v>H02-23-0214</v>
      </c>
      <c r="D191" s="165">
        <v>45248</v>
      </c>
      <c r="E191" s="162" t="s">
        <v>22</v>
      </c>
      <c r="F191" s="166" t="str">
        <f t="shared" si="34"/>
        <v>APPLICATIONS (RD,RO,EC MED, RF, MAT, SO, RR, SS, PLP, ACOP)</v>
      </c>
      <c r="G191" s="167" t="s">
        <v>34</v>
      </c>
      <c r="H191" s="167" t="s">
        <v>35</v>
      </c>
      <c r="I191" s="168" t="s">
        <v>207</v>
      </c>
      <c r="J191" s="163">
        <v>2018</v>
      </c>
      <c r="K191" s="169">
        <f>2024-Table1[[#This Row],[LATEST YEAR]]</f>
        <v>6</v>
      </c>
      <c r="L191" s="169">
        <f>VLOOKUP(Table1[[#This Row],[GRDS ITEM NO]],RETENTION1,4,0)</f>
        <v>1</v>
      </c>
      <c r="M191" s="169">
        <f>Table1[[#This Row],[RETENTION PERIOD]]-Table1[[#This Row],[NO. YEARS AS OF 2024]]</f>
        <v>-5</v>
      </c>
      <c r="N191" s="163"/>
      <c r="O191" s="145"/>
      <c r="P191" s="145" t="s">
        <v>20</v>
      </c>
    </row>
    <row r="192" spans="1:16" s="171" customFormat="1" x14ac:dyDescent="0.65">
      <c r="A192" s="162" t="s">
        <v>204</v>
      </c>
      <c r="B192" s="163">
        <v>5</v>
      </c>
      <c r="C192" s="164" t="str">
        <f t="shared" si="35"/>
        <v>H02-23-0215</v>
      </c>
      <c r="D192" s="165">
        <v>45248</v>
      </c>
      <c r="E192" s="162" t="s">
        <v>22</v>
      </c>
      <c r="F192" s="166" t="str">
        <f t="shared" si="34"/>
        <v>APPLICATIONS (RD,RO,EC MED, RF, MAT, SO, RR, SS, PLP, ACOP)</v>
      </c>
      <c r="G192" s="167" t="s">
        <v>34</v>
      </c>
      <c r="H192" s="167" t="s">
        <v>35</v>
      </c>
      <c r="I192" s="168">
        <v>2017</v>
      </c>
      <c r="J192" s="163">
        <v>2017</v>
      </c>
      <c r="K192" s="169">
        <f>2024-Table1[[#This Row],[LATEST YEAR]]</f>
        <v>7</v>
      </c>
      <c r="L192" s="169">
        <f>VLOOKUP(Table1[[#This Row],[GRDS ITEM NO]],RETENTION1,4,0)</f>
        <v>1</v>
      </c>
      <c r="M192" s="169">
        <f>Table1[[#This Row],[RETENTION PERIOD]]-Table1[[#This Row],[NO. YEARS AS OF 2024]]</f>
        <v>-6</v>
      </c>
      <c r="N192" s="163"/>
      <c r="O192" s="145"/>
      <c r="P192" s="145" t="s">
        <v>20</v>
      </c>
    </row>
    <row r="193" spans="1:16" s="171" customFormat="1" x14ac:dyDescent="0.65">
      <c r="A193" s="162" t="s">
        <v>204</v>
      </c>
      <c r="B193" s="163">
        <v>6</v>
      </c>
      <c r="C193" s="164" t="str">
        <f t="shared" si="35"/>
        <v>H02-23-0216</v>
      </c>
      <c r="D193" s="165">
        <v>45248</v>
      </c>
      <c r="E193" s="162" t="s">
        <v>22</v>
      </c>
      <c r="F193" s="166" t="str">
        <f t="shared" si="34"/>
        <v>APPLICATIONS (RD,RO,EC MED, RF, MAT, SO, RR, SS, PLP, ACOP)</v>
      </c>
      <c r="G193" s="167" t="s">
        <v>34</v>
      </c>
      <c r="H193" s="167" t="s">
        <v>35</v>
      </c>
      <c r="I193" s="168">
        <v>2017</v>
      </c>
      <c r="J193" s="163">
        <v>2017</v>
      </c>
      <c r="K193" s="169">
        <f>2024-Table1[[#This Row],[LATEST YEAR]]</f>
        <v>7</v>
      </c>
      <c r="L193" s="169">
        <f>VLOOKUP(Table1[[#This Row],[GRDS ITEM NO]],RETENTION1,4,0)</f>
        <v>1</v>
      </c>
      <c r="M193" s="169">
        <f>Table1[[#This Row],[RETENTION PERIOD]]-Table1[[#This Row],[NO. YEARS AS OF 2024]]</f>
        <v>-6</v>
      </c>
      <c r="N193" s="163"/>
      <c r="O193" s="145"/>
      <c r="P193" s="145" t="s">
        <v>20</v>
      </c>
    </row>
    <row r="194" spans="1:16" s="171" customFormat="1" x14ac:dyDescent="0.65">
      <c r="A194" s="162" t="s">
        <v>204</v>
      </c>
      <c r="B194" s="163">
        <v>7</v>
      </c>
      <c r="C194" s="164" t="str">
        <f t="shared" si="35"/>
        <v>H02-23-0217</v>
      </c>
      <c r="D194" s="165">
        <v>45248</v>
      </c>
      <c r="E194" s="162" t="s">
        <v>22</v>
      </c>
      <c r="F194" s="166" t="str">
        <f t="shared" si="34"/>
        <v>APPLICATIONS (RD,RO,EC MED, RF, MAT, SO, RR, SS, PLP, ACOP)</v>
      </c>
      <c r="G194" s="167" t="s">
        <v>34</v>
      </c>
      <c r="H194" s="167" t="s">
        <v>35</v>
      </c>
      <c r="I194" s="168">
        <v>2018</v>
      </c>
      <c r="J194" s="163">
        <v>2018</v>
      </c>
      <c r="K194" s="169">
        <f>2024-Table1[[#This Row],[LATEST YEAR]]</f>
        <v>6</v>
      </c>
      <c r="L194" s="169">
        <f>VLOOKUP(Table1[[#This Row],[GRDS ITEM NO]],RETENTION1,4,0)</f>
        <v>1</v>
      </c>
      <c r="M194" s="169">
        <f>Table1[[#This Row],[RETENTION PERIOD]]-Table1[[#This Row],[NO. YEARS AS OF 2024]]</f>
        <v>-5</v>
      </c>
      <c r="N194" s="163"/>
      <c r="O194" s="145"/>
      <c r="P194" s="145" t="s">
        <v>20</v>
      </c>
    </row>
    <row r="195" spans="1:16" s="171" customFormat="1" x14ac:dyDescent="0.65">
      <c r="A195" s="162" t="s">
        <v>204</v>
      </c>
      <c r="B195" s="163">
        <v>8</v>
      </c>
      <c r="C195" s="164" t="str">
        <f t="shared" si="35"/>
        <v>H02-23-0218</v>
      </c>
      <c r="D195" s="165">
        <v>45248</v>
      </c>
      <c r="E195" s="162" t="s">
        <v>22</v>
      </c>
      <c r="F195" s="166" t="str">
        <f t="shared" si="34"/>
        <v>APPLICATIONS (RD,RO,EC MED, RF, MAT, SO, RR, SS, PLP, ACOP)</v>
      </c>
      <c r="G195" s="167" t="s">
        <v>34</v>
      </c>
      <c r="H195" s="167" t="s">
        <v>35</v>
      </c>
      <c r="I195" s="168" t="s">
        <v>208</v>
      </c>
      <c r="J195" s="163">
        <v>1998</v>
      </c>
      <c r="K195" s="169">
        <f>2024-Table1[[#This Row],[LATEST YEAR]]</f>
        <v>26</v>
      </c>
      <c r="L195" s="169">
        <f>VLOOKUP(Table1[[#This Row],[GRDS ITEM NO]],RETENTION1,4,0)</f>
        <v>1</v>
      </c>
      <c r="M195" s="169">
        <f>Table1[[#This Row],[RETENTION PERIOD]]-Table1[[#This Row],[NO. YEARS AS OF 2024]]</f>
        <v>-25</v>
      </c>
      <c r="N195" s="163"/>
      <c r="O195" s="145"/>
      <c r="P195" s="145" t="s">
        <v>20</v>
      </c>
    </row>
    <row r="196" spans="1:16" s="171" customFormat="1" x14ac:dyDescent="0.65">
      <c r="A196" s="162" t="s">
        <v>204</v>
      </c>
      <c r="B196" s="163">
        <v>9</v>
      </c>
      <c r="C196" s="164" t="str">
        <f t="shared" si="35"/>
        <v>H02-23-0219</v>
      </c>
      <c r="D196" s="165">
        <v>45248</v>
      </c>
      <c r="E196" s="162" t="s">
        <v>80</v>
      </c>
      <c r="F196" s="166" t="str">
        <f t="shared" si="34"/>
        <v>EMPLOYEE-MEMBER APPLICATIONS (E1, E4, NW1, OW1, RS1)</v>
      </c>
      <c r="G196" s="167" t="s">
        <v>34</v>
      </c>
      <c r="H196" s="167" t="s">
        <v>209</v>
      </c>
      <c r="I196" s="168" t="s">
        <v>210</v>
      </c>
      <c r="J196" s="163">
        <v>2019</v>
      </c>
      <c r="K196" s="169">
        <f>2024-Table1[[#This Row],[LATEST YEAR]]</f>
        <v>5</v>
      </c>
      <c r="L196" s="169">
        <f>VLOOKUP(Table1[[#This Row],[GRDS ITEM NO]],RETENTION1,4,0)</f>
        <v>1</v>
      </c>
      <c r="M196" s="169">
        <f>Table1[[#This Row],[RETENTION PERIOD]]-Table1[[#This Row],[NO. YEARS AS OF 2024]]</f>
        <v>-4</v>
      </c>
      <c r="N196" s="163"/>
      <c r="O196" s="145"/>
      <c r="P196" s="145" t="s">
        <v>20</v>
      </c>
    </row>
    <row r="197" spans="1:16" s="171" customFormat="1" x14ac:dyDescent="0.65">
      <c r="A197" s="162" t="s">
        <v>204</v>
      </c>
      <c r="B197" s="163">
        <v>10</v>
      </c>
      <c r="C197" s="164" t="str">
        <f t="shared" si="35"/>
        <v>H02-23-02110</v>
      </c>
      <c r="D197" s="165">
        <v>45248</v>
      </c>
      <c r="E197" s="162" t="s">
        <v>80</v>
      </c>
      <c r="F197" s="166" t="str">
        <f t="shared" si="34"/>
        <v>EMPLOYEE-MEMBER APPLICATIONS (E1, E4, NW1, OW1, RS1)</v>
      </c>
      <c r="G197" s="167" t="s">
        <v>34</v>
      </c>
      <c r="H197" s="167" t="s">
        <v>211</v>
      </c>
      <c r="I197" s="168" t="s">
        <v>212</v>
      </c>
      <c r="J197" s="163">
        <v>2019</v>
      </c>
      <c r="K197" s="169">
        <f>2024-Table1[[#This Row],[LATEST YEAR]]</f>
        <v>5</v>
      </c>
      <c r="L197" s="169">
        <f>VLOOKUP(Table1[[#This Row],[GRDS ITEM NO]],RETENTION1,4,0)</f>
        <v>1</v>
      </c>
      <c r="M197" s="169">
        <f>Table1[[#This Row],[RETENTION PERIOD]]-Table1[[#This Row],[NO. YEARS AS OF 2024]]</f>
        <v>-4</v>
      </c>
      <c r="N197" s="163"/>
      <c r="O197" s="145"/>
      <c r="P197" s="145" t="s">
        <v>20</v>
      </c>
    </row>
    <row r="198" spans="1:16" s="171" customFormat="1" x14ac:dyDescent="0.65">
      <c r="A198" s="162" t="s">
        <v>204</v>
      </c>
      <c r="B198" s="163">
        <v>11</v>
      </c>
      <c r="C198" s="164" t="str">
        <f t="shared" si="35"/>
        <v>H02-23-02111</v>
      </c>
      <c r="D198" s="165">
        <v>45248</v>
      </c>
      <c r="E198" s="162" t="s">
        <v>80</v>
      </c>
      <c r="F198" s="166" t="str">
        <f t="shared" si="34"/>
        <v>EMPLOYEE-MEMBER APPLICATIONS (E1, E4, NW1, OW1, RS1)</v>
      </c>
      <c r="G198" s="167" t="s">
        <v>34</v>
      </c>
      <c r="H198" s="167" t="s">
        <v>209</v>
      </c>
      <c r="I198" s="168" t="s">
        <v>213</v>
      </c>
      <c r="J198" s="163">
        <v>2018</v>
      </c>
      <c r="K198" s="169">
        <f>2024-Table1[[#This Row],[LATEST YEAR]]</f>
        <v>6</v>
      </c>
      <c r="L198" s="169">
        <f>VLOOKUP(Table1[[#This Row],[GRDS ITEM NO]],RETENTION1,4,0)</f>
        <v>1</v>
      </c>
      <c r="M198" s="169">
        <f>Table1[[#This Row],[RETENTION PERIOD]]-Table1[[#This Row],[NO. YEARS AS OF 2024]]</f>
        <v>-5</v>
      </c>
      <c r="N198" s="163"/>
      <c r="O198" s="145"/>
      <c r="P198" s="145" t="s">
        <v>20</v>
      </c>
    </row>
    <row r="199" spans="1:16" s="171" customFormat="1" x14ac:dyDescent="0.65">
      <c r="A199" s="162" t="s">
        <v>204</v>
      </c>
      <c r="B199" s="163">
        <v>12</v>
      </c>
      <c r="C199" s="164" t="str">
        <f t="shared" si="35"/>
        <v>H02-23-02112</v>
      </c>
      <c r="D199" s="165">
        <v>45248</v>
      </c>
      <c r="E199" s="162" t="s">
        <v>22</v>
      </c>
      <c r="F199" s="166" t="str">
        <f t="shared" si="34"/>
        <v>APPLICATIONS (RD,RO,EC MED, RF, MAT, SO, RR, SS, PLP, ACOP)</v>
      </c>
      <c r="G199" s="167" t="s">
        <v>34</v>
      </c>
      <c r="H199" s="167" t="s">
        <v>141</v>
      </c>
      <c r="I199" s="168" t="s">
        <v>214</v>
      </c>
      <c r="J199" s="163">
        <v>2022</v>
      </c>
      <c r="K199" s="169">
        <f>2024-Table1[[#This Row],[LATEST YEAR]]</f>
        <v>2</v>
      </c>
      <c r="L199" s="169">
        <f>VLOOKUP(Table1[[#This Row],[GRDS ITEM NO]],RETENTION1,4,0)</f>
        <v>1</v>
      </c>
      <c r="M199" s="169">
        <f>Table1[[#This Row],[RETENTION PERIOD]]-Table1[[#This Row],[NO. YEARS AS OF 2024]]</f>
        <v>-1</v>
      </c>
      <c r="N199" s="163"/>
      <c r="O199" s="145"/>
      <c r="P199" s="145" t="s">
        <v>20</v>
      </c>
    </row>
    <row r="200" spans="1:16" s="171" customFormat="1" x14ac:dyDescent="0.65">
      <c r="A200" s="162" t="s">
        <v>204</v>
      </c>
      <c r="B200" s="163">
        <v>13</v>
      </c>
      <c r="C200" s="164" t="str">
        <f t="shared" si="35"/>
        <v>H02-23-02113</v>
      </c>
      <c r="D200" s="165">
        <v>45248</v>
      </c>
      <c r="E200" s="162" t="s">
        <v>22</v>
      </c>
      <c r="F200" s="166" t="str">
        <f t="shared" si="34"/>
        <v>APPLICATIONS (RD,RO,EC MED, RF, MAT, SO, RR, SS, PLP, ACOP)</v>
      </c>
      <c r="G200" s="167" t="s">
        <v>34</v>
      </c>
      <c r="H200" s="167" t="s">
        <v>141</v>
      </c>
      <c r="I200" s="168" t="s">
        <v>215</v>
      </c>
      <c r="J200" s="163">
        <v>2021</v>
      </c>
      <c r="K200" s="169">
        <f>2024-Table1[[#This Row],[LATEST YEAR]]</f>
        <v>3</v>
      </c>
      <c r="L200" s="169">
        <f>VLOOKUP(Table1[[#This Row],[GRDS ITEM NO]],RETENTION1,4,0)</f>
        <v>1</v>
      </c>
      <c r="M200" s="169">
        <f>Table1[[#This Row],[RETENTION PERIOD]]-Table1[[#This Row],[NO. YEARS AS OF 2024]]</f>
        <v>-2</v>
      </c>
      <c r="N200" s="163"/>
      <c r="O200" s="145"/>
      <c r="P200" s="145" t="s">
        <v>20</v>
      </c>
    </row>
    <row r="201" spans="1:16" s="171" customFormat="1" x14ac:dyDescent="0.65">
      <c r="A201" s="162" t="s">
        <v>204</v>
      </c>
      <c r="B201" s="163">
        <v>14</v>
      </c>
      <c r="C201" s="164" t="str">
        <f t="shared" ref="C201:C203" si="36">_xlfn.CONCAT(A201,B201)</f>
        <v>H02-23-02114</v>
      </c>
      <c r="D201" s="165">
        <v>45248</v>
      </c>
      <c r="E201" s="162" t="s">
        <v>22</v>
      </c>
      <c r="F201" s="166" t="str">
        <f t="shared" si="34"/>
        <v>APPLICATIONS (RD,RO,EC MED, RF, MAT, SO, RR, SS, PLP, ACOP)</v>
      </c>
      <c r="G201" s="167" t="s">
        <v>34</v>
      </c>
      <c r="H201" s="167" t="s">
        <v>141</v>
      </c>
      <c r="I201" s="168" t="s">
        <v>216</v>
      </c>
      <c r="J201" s="163">
        <v>2022</v>
      </c>
      <c r="K201" s="169">
        <f>2024-Table1[[#This Row],[LATEST YEAR]]</f>
        <v>2</v>
      </c>
      <c r="L201" s="169">
        <f>VLOOKUP(Table1[[#This Row],[GRDS ITEM NO]],RETENTION1,4,0)</f>
        <v>1</v>
      </c>
      <c r="M201" s="169">
        <f>Table1[[#This Row],[RETENTION PERIOD]]-Table1[[#This Row],[NO. YEARS AS OF 2024]]</f>
        <v>-1</v>
      </c>
      <c r="N201" s="163"/>
      <c r="O201" s="145"/>
      <c r="P201" s="145" t="s">
        <v>20</v>
      </c>
    </row>
    <row r="202" spans="1:16" s="171" customFormat="1" x14ac:dyDescent="0.65">
      <c r="A202" s="162" t="s">
        <v>204</v>
      </c>
      <c r="B202" s="163">
        <v>15</v>
      </c>
      <c r="C202" s="164" t="str">
        <f t="shared" si="36"/>
        <v>H02-23-02115</v>
      </c>
      <c r="D202" s="165">
        <v>45248</v>
      </c>
      <c r="E202" s="162" t="s">
        <v>80</v>
      </c>
      <c r="F202" s="166" t="str">
        <f t="shared" si="34"/>
        <v>EMPLOYEE-MEMBER APPLICATIONS (E1, E4, NW1, OW1, RS1)</v>
      </c>
      <c r="G202" s="167" t="s">
        <v>34</v>
      </c>
      <c r="H202" s="167" t="s">
        <v>211</v>
      </c>
      <c r="I202" s="168" t="s">
        <v>217</v>
      </c>
      <c r="J202" s="163">
        <v>2018</v>
      </c>
      <c r="K202" s="169">
        <f>2024-Table1[[#This Row],[LATEST YEAR]]</f>
        <v>6</v>
      </c>
      <c r="L202" s="169">
        <f>VLOOKUP(Table1[[#This Row],[GRDS ITEM NO]],RETENTION1,4,0)</f>
        <v>1</v>
      </c>
      <c r="M202" s="169">
        <f>Table1[[#This Row],[RETENTION PERIOD]]-Table1[[#This Row],[NO. YEARS AS OF 2024]]</f>
        <v>-5</v>
      </c>
      <c r="N202" s="163"/>
      <c r="O202" s="145"/>
      <c r="P202" s="145" t="s">
        <v>20</v>
      </c>
    </row>
    <row r="203" spans="1:16" s="171" customFormat="1" x14ac:dyDescent="0.65">
      <c r="A203" s="145" t="s">
        <v>204</v>
      </c>
      <c r="B203" s="145">
        <v>16</v>
      </c>
      <c r="C203" s="150" t="str">
        <f t="shared" si="36"/>
        <v>H02-23-02116</v>
      </c>
      <c r="D203" s="148">
        <v>45248</v>
      </c>
      <c r="E203" s="145" t="s">
        <v>80</v>
      </c>
      <c r="F203" s="230" t="str">
        <f t="shared" si="34"/>
        <v>EMPLOYEE-MEMBER APPLICATIONS (E1, E4, NW1, OW1, RS1)</v>
      </c>
      <c r="G203" s="150" t="s">
        <v>34</v>
      </c>
      <c r="H203" s="150" t="s">
        <v>209</v>
      </c>
      <c r="I203" s="151" t="s">
        <v>218</v>
      </c>
      <c r="J203" s="145">
        <v>2019</v>
      </c>
      <c r="K203" s="25">
        <f>2024-Table1[[#This Row],[LATEST YEAR]]</f>
        <v>5</v>
      </c>
      <c r="L203" s="25">
        <f>VLOOKUP(Table1[[#This Row],[GRDS ITEM NO]],RETENTION1,4,0)</f>
        <v>1</v>
      </c>
      <c r="M203" s="25">
        <f>Table1[[#This Row],[RETENTION PERIOD]]-Table1[[#This Row],[NO. YEARS AS OF 2024]]</f>
        <v>-4</v>
      </c>
      <c r="N203" s="145"/>
      <c r="O203" s="145"/>
      <c r="P203" s="232" t="s">
        <v>98</v>
      </c>
    </row>
    <row r="204" spans="1:16" s="231" customFormat="1" x14ac:dyDescent="0.65">
      <c r="A204" s="145" t="s">
        <v>204</v>
      </c>
      <c r="B204" s="145">
        <v>17</v>
      </c>
      <c r="C204" s="150" t="str">
        <f t="shared" ref="C204:C211" si="37">_xlfn.CONCAT(A204,B204)</f>
        <v>H02-23-02117</v>
      </c>
      <c r="D204" s="148">
        <v>45248</v>
      </c>
      <c r="E204" s="145" t="s">
        <v>80</v>
      </c>
      <c r="F204" s="230" t="str">
        <f t="shared" si="34"/>
        <v>EMPLOYEE-MEMBER APPLICATIONS (E1, E4, NW1, OW1, RS1)</v>
      </c>
      <c r="G204" s="150" t="s">
        <v>34</v>
      </c>
      <c r="H204" s="150" t="s">
        <v>211</v>
      </c>
      <c r="I204" s="151" t="s">
        <v>219</v>
      </c>
      <c r="J204" s="145">
        <v>2017</v>
      </c>
      <c r="K204" s="25">
        <f>2024-Table1[[#This Row],[LATEST YEAR]]</f>
        <v>7</v>
      </c>
      <c r="L204" s="25">
        <f>VLOOKUP(Table1[[#This Row],[GRDS ITEM NO]],RETENTION1,4,0)</f>
        <v>1</v>
      </c>
      <c r="M204" s="25">
        <f>Table1[[#This Row],[RETENTION PERIOD]]-Table1[[#This Row],[NO. YEARS AS OF 2024]]</f>
        <v>-6</v>
      </c>
      <c r="N204" s="145"/>
      <c r="O204" s="145"/>
      <c r="P204" s="232" t="s">
        <v>98</v>
      </c>
    </row>
    <row r="205" spans="1:16" s="171" customFormat="1" x14ac:dyDescent="0.65">
      <c r="A205" s="162" t="s">
        <v>204</v>
      </c>
      <c r="B205" s="163">
        <v>18</v>
      </c>
      <c r="C205" s="164" t="str">
        <f t="shared" si="37"/>
        <v>H02-23-02118</v>
      </c>
      <c r="D205" s="165">
        <v>45248</v>
      </c>
      <c r="E205" s="162" t="s">
        <v>22</v>
      </c>
      <c r="F205" s="166" t="str">
        <f t="shared" si="34"/>
        <v>APPLICATIONS (RD,RO,EC MED, RF, MAT, SO, RR, SS, PLP, ACOP)</v>
      </c>
      <c r="G205" s="167" t="s">
        <v>34</v>
      </c>
      <c r="H205" s="167" t="s">
        <v>35</v>
      </c>
      <c r="I205" s="168" t="s">
        <v>220</v>
      </c>
      <c r="J205" s="163">
        <v>2018</v>
      </c>
      <c r="K205" s="169">
        <f>2024-Table1[[#This Row],[LATEST YEAR]]</f>
        <v>6</v>
      </c>
      <c r="L205" s="169">
        <f>VLOOKUP(Table1[[#This Row],[GRDS ITEM NO]],RETENTION1,4,0)</f>
        <v>1</v>
      </c>
      <c r="M205" s="169">
        <f>Table1[[#This Row],[RETENTION PERIOD]]-Table1[[#This Row],[NO. YEARS AS OF 2024]]</f>
        <v>-5</v>
      </c>
      <c r="N205" s="163"/>
      <c r="O205" s="145"/>
      <c r="P205" s="145" t="s">
        <v>20</v>
      </c>
    </row>
    <row r="206" spans="1:16" s="171" customFormat="1" x14ac:dyDescent="0.65">
      <c r="A206" s="162" t="s">
        <v>204</v>
      </c>
      <c r="B206" s="163">
        <v>19</v>
      </c>
      <c r="C206" s="164" t="str">
        <f t="shared" si="37"/>
        <v>H02-23-02119</v>
      </c>
      <c r="D206" s="165">
        <v>45248</v>
      </c>
      <c r="E206" s="162" t="s">
        <v>22</v>
      </c>
      <c r="F206" s="166" t="str">
        <f t="shared" si="34"/>
        <v>APPLICATIONS (RD,RO,EC MED, RF, MAT, SO, RR, SS, PLP, ACOP)</v>
      </c>
      <c r="G206" s="167" t="s">
        <v>34</v>
      </c>
      <c r="H206" s="167" t="s">
        <v>141</v>
      </c>
      <c r="I206" s="168">
        <v>2014</v>
      </c>
      <c r="J206" s="163">
        <v>2014</v>
      </c>
      <c r="K206" s="169">
        <f>2024-Table1[[#This Row],[LATEST YEAR]]</f>
        <v>10</v>
      </c>
      <c r="L206" s="169">
        <f>VLOOKUP(Table1[[#This Row],[GRDS ITEM NO]],RETENTION1,4,0)</f>
        <v>1</v>
      </c>
      <c r="M206" s="169">
        <f>Table1[[#This Row],[RETENTION PERIOD]]-Table1[[#This Row],[NO. YEARS AS OF 2024]]</f>
        <v>-9</v>
      </c>
      <c r="N206" s="163"/>
      <c r="O206" s="145"/>
      <c r="P206" s="145" t="s">
        <v>20</v>
      </c>
    </row>
    <row r="207" spans="1:16" s="171" customFormat="1" x14ac:dyDescent="0.65">
      <c r="A207" s="162" t="s">
        <v>204</v>
      </c>
      <c r="B207" s="163">
        <v>20</v>
      </c>
      <c r="C207" s="164" t="str">
        <f t="shared" si="37"/>
        <v>H02-23-02120</v>
      </c>
      <c r="D207" s="165">
        <v>45248</v>
      </c>
      <c r="E207" s="162" t="s">
        <v>22</v>
      </c>
      <c r="F207" s="166" t="str">
        <f t="shared" si="34"/>
        <v>APPLICATIONS (RD,RO,EC MED, RF, MAT, SO, RR, SS, PLP, ACOP)</v>
      </c>
      <c r="G207" s="167" t="s">
        <v>34</v>
      </c>
      <c r="H207" s="167" t="s">
        <v>141</v>
      </c>
      <c r="I207" s="168">
        <v>2013</v>
      </c>
      <c r="J207" s="163">
        <v>2013</v>
      </c>
      <c r="K207" s="169">
        <f>2024-Table1[[#This Row],[LATEST YEAR]]</f>
        <v>11</v>
      </c>
      <c r="L207" s="169">
        <f>VLOOKUP(Table1[[#This Row],[GRDS ITEM NO]],RETENTION1,4,0)</f>
        <v>1</v>
      </c>
      <c r="M207" s="169">
        <f>Table1[[#This Row],[RETENTION PERIOD]]-Table1[[#This Row],[NO. YEARS AS OF 2024]]</f>
        <v>-10</v>
      </c>
      <c r="N207" s="163"/>
      <c r="O207" s="145"/>
      <c r="P207" s="145" t="s">
        <v>20</v>
      </c>
    </row>
    <row r="208" spans="1:16" s="171" customFormat="1" x14ac:dyDescent="0.65">
      <c r="A208" s="162" t="s">
        <v>204</v>
      </c>
      <c r="B208" s="163">
        <v>21</v>
      </c>
      <c r="C208" s="164" t="str">
        <f t="shared" si="37"/>
        <v>H02-23-02121</v>
      </c>
      <c r="D208" s="165">
        <v>45248</v>
      </c>
      <c r="E208" s="162" t="s">
        <v>22</v>
      </c>
      <c r="F208" s="166" t="str">
        <f t="shared" si="34"/>
        <v>APPLICATIONS (RD,RO,EC MED, RF, MAT, SO, RR, SS, PLP, ACOP)</v>
      </c>
      <c r="G208" s="167" t="s">
        <v>34</v>
      </c>
      <c r="H208" s="167" t="s">
        <v>141</v>
      </c>
      <c r="I208" s="168" t="s">
        <v>221</v>
      </c>
      <c r="J208" s="163">
        <v>2013</v>
      </c>
      <c r="K208" s="169">
        <f>2024-Table1[[#This Row],[LATEST YEAR]]</f>
        <v>11</v>
      </c>
      <c r="L208" s="169">
        <f>VLOOKUP(Table1[[#This Row],[GRDS ITEM NO]],RETENTION1,4,0)</f>
        <v>1</v>
      </c>
      <c r="M208" s="169">
        <f>Table1[[#This Row],[RETENTION PERIOD]]-Table1[[#This Row],[NO. YEARS AS OF 2024]]</f>
        <v>-10</v>
      </c>
      <c r="N208" s="163"/>
      <c r="O208" s="145"/>
      <c r="P208" s="145" t="s">
        <v>20</v>
      </c>
    </row>
    <row r="209" spans="1:16" s="171" customFormat="1" x14ac:dyDescent="0.65">
      <c r="A209" s="162" t="s">
        <v>112</v>
      </c>
      <c r="B209" s="163">
        <v>11</v>
      </c>
      <c r="C209" s="164" t="str">
        <f t="shared" si="37"/>
        <v>H02-23-00611</v>
      </c>
      <c r="D209" s="165">
        <v>45253</v>
      </c>
      <c r="E209" s="162">
        <v>74</v>
      </c>
      <c r="F209" s="166" t="str">
        <f t="shared" si="34"/>
        <v>OFFICIAL RECEIPTS</v>
      </c>
      <c r="G209" s="167" t="s">
        <v>17</v>
      </c>
      <c r="H209" s="167" t="s">
        <v>113</v>
      </c>
      <c r="I209" s="168" t="s">
        <v>19</v>
      </c>
      <c r="J209" s="163">
        <v>2014</v>
      </c>
      <c r="K209" s="169">
        <f>2024-Table1[[#This Row],[LATEST YEAR]]</f>
        <v>10</v>
      </c>
      <c r="L209" s="169">
        <f>VLOOKUP(Table1[[#This Row],[GRDS ITEM NO]],RETENTION1,4,0)</f>
        <v>10</v>
      </c>
      <c r="M209" s="169">
        <f>Table1[[#This Row],[RETENTION PERIOD]]-Table1[[#This Row],[NO. YEARS AS OF 2024]]</f>
        <v>0</v>
      </c>
      <c r="N209" s="163"/>
      <c r="O209" s="145"/>
      <c r="P209" s="145" t="s">
        <v>20</v>
      </c>
    </row>
    <row r="210" spans="1:16" s="171" customFormat="1" x14ac:dyDescent="0.65">
      <c r="A210" s="162" t="s">
        <v>204</v>
      </c>
      <c r="B210" s="163">
        <v>23</v>
      </c>
      <c r="C210" s="164" t="str">
        <f t="shared" si="37"/>
        <v>H02-23-02123</v>
      </c>
      <c r="D210" s="165">
        <v>45248</v>
      </c>
      <c r="E210" s="162" t="s">
        <v>22</v>
      </c>
      <c r="F210" s="166" t="str">
        <f t="shared" ref="F210:F241" si="38">VLOOKUP(E210,DESCRIP,2,0)</f>
        <v>APPLICATIONS (RD,RO,EC MED, RF, MAT, SO, RR, SS, PLP, ACOP)</v>
      </c>
      <c r="G210" s="167" t="s">
        <v>34</v>
      </c>
      <c r="H210" s="167" t="s">
        <v>131</v>
      </c>
      <c r="I210" s="168" t="s">
        <v>222</v>
      </c>
      <c r="J210" s="163">
        <v>2004</v>
      </c>
      <c r="K210" s="169">
        <f>2024-Table1[[#This Row],[LATEST YEAR]]</f>
        <v>20</v>
      </c>
      <c r="L210" s="169">
        <f>VLOOKUP(Table1[[#This Row],[GRDS ITEM NO]],RETENTION1,4,0)</f>
        <v>1</v>
      </c>
      <c r="M210" s="169">
        <f>Table1[[#This Row],[RETENTION PERIOD]]-Table1[[#This Row],[NO. YEARS AS OF 2024]]</f>
        <v>-19</v>
      </c>
      <c r="N210" s="163"/>
      <c r="O210" s="145"/>
      <c r="P210" s="145" t="s">
        <v>20</v>
      </c>
    </row>
    <row r="211" spans="1:16" s="171" customFormat="1" x14ac:dyDescent="0.65">
      <c r="A211" s="162" t="s">
        <v>204</v>
      </c>
      <c r="B211" s="163">
        <v>24</v>
      </c>
      <c r="C211" s="164" t="str">
        <f t="shared" si="37"/>
        <v>H02-23-02124</v>
      </c>
      <c r="D211" s="165">
        <v>45248</v>
      </c>
      <c r="E211" s="162" t="s">
        <v>22</v>
      </c>
      <c r="F211" s="166" t="str">
        <f t="shared" si="38"/>
        <v>APPLICATIONS (RD,RO,EC MED, RF, MAT, SO, RR, SS, PLP, ACOP)</v>
      </c>
      <c r="G211" s="167" t="s">
        <v>34</v>
      </c>
      <c r="H211" s="167" t="s">
        <v>141</v>
      </c>
      <c r="I211" s="168">
        <v>2014</v>
      </c>
      <c r="J211" s="163">
        <v>2014</v>
      </c>
      <c r="K211" s="169">
        <f>2024-Table1[[#This Row],[LATEST YEAR]]</f>
        <v>10</v>
      </c>
      <c r="L211" s="169">
        <f>VLOOKUP(Table1[[#This Row],[GRDS ITEM NO]],RETENTION1,4,0)</f>
        <v>1</v>
      </c>
      <c r="M211" s="169">
        <f>Table1[[#This Row],[RETENTION PERIOD]]-Table1[[#This Row],[NO. YEARS AS OF 2024]]</f>
        <v>-9</v>
      </c>
      <c r="N211" s="163"/>
      <c r="O211" s="145"/>
      <c r="P211" s="145" t="s">
        <v>20</v>
      </c>
    </row>
    <row r="212" spans="1:16" s="171" customFormat="1" x14ac:dyDescent="0.65">
      <c r="A212" s="162" t="s">
        <v>204</v>
      </c>
      <c r="B212" s="163">
        <v>25</v>
      </c>
      <c r="C212" s="164" t="str">
        <f t="shared" ref="C212:C215" si="39">_xlfn.CONCAT(A212,B212)</f>
        <v>H02-23-02125</v>
      </c>
      <c r="D212" s="165">
        <v>45248</v>
      </c>
      <c r="E212" s="162" t="s">
        <v>80</v>
      </c>
      <c r="F212" s="166" t="str">
        <f t="shared" si="38"/>
        <v>EMPLOYEE-MEMBER APPLICATIONS (E1, E4, NW1, OW1, RS1)</v>
      </c>
      <c r="G212" s="167" t="s">
        <v>34</v>
      </c>
      <c r="H212" s="167" t="s">
        <v>211</v>
      </c>
      <c r="I212" s="168">
        <v>2018</v>
      </c>
      <c r="J212" s="163">
        <v>2018</v>
      </c>
      <c r="K212" s="169">
        <f>2024-Table1[[#This Row],[LATEST YEAR]]</f>
        <v>6</v>
      </c>
      <c r="L212" s="169">
        <f>VLOOKUP(Table1[[#This Row],[GRDS ITEM NO]],RETENTION1,4,0)</f>
        <v>1</v>
      </c>
      <c r="M212" s="169">
        <f>Table1[[#This Row],[RETENTION PERIOD]]-Table1[[#This Row],[NO. YEARS AS OF 2024]]</f>
        <v>-5</v>
      </c>
      <c r="N212" s="163"/>
      <c r="O212" s="145"/>
      <c r="P212" s="145" t="s">
        <v>20</v>
      </c>
    </row>
    <row r="213" spans="1:16" s="171" customFormat="1" x14ac:dyDescent="0.65">
      <c r="A213" s="162" t="s">
        <v>204</v>
      </c>
      <c r="B213" s="163">
        <v>26</v>
      </c>
      <c r="C213" s="164" t="str">
        <f t="shared" si="39"/>
        <v>H02-23-02126</v>
      </c>
      <c r="D213" s="165">
        <v>45248</v>
      </c>
      <c r="E213" s="162" t="s">
        <v>80</v>
      </c>
      <c r="F213" s="166" t="str">
        <f t="shared" si="38"/>
        <v>EMPLOYEE-MEMBER APPLICATIONS (E1, E4, NW1, OW1, RS1)</v>
      </c>
      <c r="G213" s="167" t="s">
        <v>34</v>
      </c>
      <c r="H213" s="167" t="s">
        <v>211</v>
      </c>
      <c r="I213" s="168">
        <v>2019</v>
      </c>
      <c r="J213" s="163">
        <v>2019</v>
      </c>
      <c r="K213" s="169">
        <f>2024-Table1[[#This Row],[LATEST YEAR]]</f>
        <v>5</v>
      </c>
      <c r="L213" s="169">
        <f>VLOOKUP(Table1[[#This Row],[GRDS ITEM NO]],RETENTION1,4,0)</f>
        <v>1</v>
      </c>
      <c r="M213" s="169">
        <f>Table1[[#This Row],[RETENTION PERIOD]]-Table1[[#This Row],[NO. YEARS AS OF 2024]]</f>
        <v>-4</v>
      </c>
      <c r="N213" s="163"/>
      <c r="O213" s="145"/>
      <c r="P213" s="145" t="s">
        <v>20</v>
      </c>
    </row>
    <row r="214" spans="1:16" s="171" customFormat="1" x14ac:dyDescent="0.65">
      <c r="A214" s="162" t="s">
        <v>204</v>
      </c>
      <c r="B214" s="163">
        <v>27</v>
      </c>
      <c r="C214" s="164" t="str">
        <f t="shared" si="39"/>
        <v>H02-23-02127</v>
      </c>
      <c r="D214" s="165">
        <v>45248</v>
      </c>
      <c r="E214" s="162" t="s">
        <v>80</v>
      </c>
      <c r="F214" s="166" t="str">
        <f t="shared" si="38"/>
        <v>EMPLOYEE-MEMBER APPLICATIONS (E1, E4, NW1, OW1, RS1)</v>
      </c>
      <c r="G214" s="167" t="s">
        <v>34</v>
      </c>
      <c r="H214" s="167" t="s">
        <v>211</v>
      </c>
      <c r="I214" s="168">
        <v>2019</v>
      </c>
      <c r="J214" s="163">
        <v>2019</v>
      </c>
      <c r="K214" s="169">
        <f>2024-Table1[[#This Row],[LATEST YEAR]]</f>
        <v>5</v>
      </c>
      <c r="L214" s="169">
        <f>VLOOKUP(Table1[[#This Row],[GRDS ITEM NO]],RETENTION1,4,0)</f>
        <v>1</v>
      </c>
      <c r="M214" s="169">
        <f>Table1[[#This Row],[RETENTION PERIOD]]-Table1[[#This Row],[NO. YEARS AS OF 2024]]</f>
        <v>-4</v>
      </c>
      <c r="N214" s="163"/>
      <c r="O214" s="145"/>
      <c r="P214" s="145" t="s">
        <v>20</v>
      </c>
    </row>
    <row r="215" spans="1:16" s="171" customFormat="1" x14ac:dyDescent="0.65">
      <c r="A215" s="162" t="s">
        <v>204</v>
      </c>
      <c r="B215" s="163">
        <v>28</v>
      </c>
      <c r="C215" s="164" t="str">
        <f t="shared" si="39"/>
        <v>H02-23-02128</v>
      </c>
      <c r="D215" s="165">
        <v>45248</v>
      </c>
      <c r="E215" s="162" t="s">
        <v>104</v>
      </c>
      <c r="F215" s="166" t="str">
        <f t="shared" si="38"/>
        <v>EMPLOYER-MEMBER APPLICATIONS (R1, R1A, R8)</v>
      </c>
      <c r="G215" s="167" t="s">
        <v>34</v>
      </c>
      <c r="H215" s="167" t="s">
        <v>223</v>
      </c>
      <c r="I215" s="168" t="s">
        <v>224</v>
      </c>
      <c r="J215" s="163">
        <v>2019</v>
      </c>
      <c r="K215" s="169">
        <f>2024-Table1[[#This Row],[LATEST YEAR]]</f>
        <v>5</v>
      </c>
      <c r="L215" s="169">
        <f>VLOOKUP(Table1[[#This Row],[GRDS ITEM NO]],RETENTION1,4,0)</f>
        <v>1</v>
      </c>
      <c r="M215" s="169">
        <f>Table1[[#This Row],[RETENTION PERIOD]]-Table1[[#This Row],[NO. YEARS AS OF 2024]]</f>
        <v>-4</v>
      </c>
      <c r="N215" s="163"/>
      <c r="O215" s="145"/>
      <c r="P215" s="145" t="s">
        <v>20</v>
      </c>
    </row>
    <row r="216" spans="1:16" s="171" customFormat="1" x14ac:dyDescent="0.65">
      <c r="A216" s="162" t="s">
        <v>225</v>
      </c>
      <c r="B216" s="163">
        <v>1</v>
      </c>
      <c r="C216" s="164" t="str">
        <f t="shared" ref="C216:C244" si="40">_xlfn.CONCAT(A216,B216)</f>
        <v>H02-23-0221</v>
      </c>
      <c r="D216" s="175" t="s">
        <v>226</v>
      </c>
      <c r="E216" s="162" t="s">
        <v>22</v>
      </c>
      <c r="F216" s="166" t="str">
        <f t="shared" si="38"/>
        <v>APPLICATIONS (RD,RO,EC MED, RF, MAT, SO, RR, SS, PLP, ACOP)</v>
      </c>
      <c r="G216" s="167" t="s">
        <v>34</v>
      </c>
      <c r="H216" s="167" t="s">
        <v>131</v>
      </c>
      <c r="I216" s="168" t="s">
        <v>227</v>
      </c>
      <c r="J216" s="163">
        <v>2019</v>
      </c>
      <c r="K216" s="169">
        <f>2024-Table1[[#This Row],[LATEST YEAR]]</f>
        <v>5</v>
      </c>
      <c r="L216" s="169">
        <f>VLOOKUP(Table1[[#This Row],[GRDS ITEM NO]],RETENTION1,4,0)</f>
        <v>1</v>
      </c>
      <c r="M216" s="169">
        <f>Table1[[#This Row],[RETENTION PERIOD]]-Table1[[#This Row],[NO. YEARS AS OF 2024]]</f>
        <v>-4</v>
      </c>
      <c r="N216" s="163"/>
      <c r="O216" s="145"/>
      <c r="P216" s="145" t="s">
        <v>20</v>
      </c>
    </row>
    <row r="217" spans="1:16" s="171" customFormat="1" x14ac:dyDescent="0.65">
      <c r="A217" s="162" t="s">
        <v>225</v>
      </c>
      <c r="B217" s="163">
        <v>2</v>
      </c>
      <c r="C217" s="164" t="str">
        <f t="shared" si="40"/>
        <v>H02-23-0222</v>
      </c>
      <c r="D217" s="175" t="s">
        <v>226</v>
      </c>
      <c r="E217" s="162" t="s">
        <v>22</v>
      </c>
      <c r="F217" s="166" t="str">
        <f t="shared" si="38"/>
        <v>APPLICATIONS (RD,RO,EC MED, RF, MAT, SO, RR, SS, PLP, ACOP)</v>
      </c>
      <c r="G217" s="167" t="s">
        <v>34</v>
      </c>
      <c r="H217" s="167" t="s">
        <v>131</v>
      </c>
      <c r="I217" s="168" t="s">
        <v>228</v>
      </c>
      <c r="J217" s="163">
        <v>2019</v>
      </c>
      <c r="K217" s="169">
        <f>2024-Table1[[#This Row],[LATEST YEAR]]</f>
        <v>5</v>
      </c>
      <c r="L217" s="169">
        <f>VLOOKUP(Table1[[#This Row],[GRDS ITEM NO]],RETENTION1,4,0)</f>
        <v>1</v>
      </c>
      <c r="M217" s="169">
        <f>Table1[[#This Row],[RETENTION PERIOD]]-Table1[[#This Row],[NO. YEARS AS OF 2024]]</f>
        <v>-4</v>
      </c>
      <c r="N217" s="163"/>
      <c r="O217" s="145"/>
      <c r="P217" s="145" t="s">
        <v>20</v>
      </c>
    </row>
    <row r="218" spans="1:16" s="171" customFormat="1" x14ac:dyDescent="0.65">
      <c r="A218" s="162" t="s">
        <v>225</v>
      </c>
      <c r="B218" s="163">
        <v>3</v>
      </c>
      <c r="C218" s="164" t="str">
        <f t="shared" si="40"/>
        <v>H02-23-0223</v>
      </c>
      <c r="D218" s="175" t="s">
        <v>226</v>
      </c>
      <c r="E218" s="162" t="s">
        <v>22</v>
      </c>
      <c r="F218" s="166" t="str">
        <f t="shared" si="38"/>
        <v>APPLICATIONS (RD,RO,EC MED, RF, MAT, SO, RR, SS, PLP, ACOP)</v>
      </c>
      <c r="G218" s="167" t="s">
        <v>34</v>
      </c>
      <c r="H218" s="167" t="s">
        <v>131</v>
      </c>
      <c r="I218" s="168" t="s">
        <v>229</v>
      </c>
      <c r="J218" s="163">
        <v>2019</v>
      </c>
      <c r="K218" s="169">
        <f>2024-Table1[[#This Row],[LATEST YEAR]]</f>
        <v>5</v>
      </c>
      <c r="L218" s="169">
        <f>VLOOKUP(Table1[[#This Row],[GRDS ITEM NO]],RETENTION1,4,0)</f>
        <v>1</v>
      </c>
      <c r="M218" s="169">
        <f>Table1[[#This Row],[RETENTION PERIOD]]-Table1[[#This Row],[NO. YEARS AS OF 2024]]</f>
        <v>-4</v>
      </c>
      <c r="N218" s="163"/>
      <c r="O218" s="145"/>
      <c r="P218" s="145" t="s">
        <v>20</v>
      </c>
    </row>
    <row r="219" spans="1:16" s="171" customFormat="1" x14ac:dyDescent="0.65">
      <c r="A219" s="162" t="s">
        <v>225</v>
      </c>
      <c r="B219" s="163">
        <v>4</v>
      </c>
      <c r="C219" s="164" t="str">
        <f t="shared" si="40"/>
        <v>H02-23-0224</v>
      </c>
      <c r="D219" s="175" t="s">
        <v>226</v>
      </c>
      <c r="E219" s="162" t="s">
        <v>22</v>
      </c>
      <c r="F219" s="166" t="str">
        <f t="shared" si="38"/>
        <v>APPLICATIONS (RD,RO,EC MED, RF, MAT, SO, RR, SS, PLP, ACOP)</v>
      </c>
      <c r="G219" s="167" t="s">
        <v>34</v>
      </c>
      <c r="H219" s="167" t="s">
        <v>131</v>
      </c>
      <c r="I219" s="168" t="s">
        <v>230</v>
      </c>
      <c r="J219" s="163">
        <v>2020</v>
      </c>
      <c r="K219" s="169">
        <f>2024-Table1[[#This Row],[LATEST YEAR]]</f>
        <v>4</v>
      </c>
      <c r="L219" s="169">
        <f>VLOOKUP(Table1[[#This Row],[GRDS ITEM NO]],RETENTION1,4,0)</f>
        <v>1</v>
      </c>
      <c r="M219" s="169">
        <f>Table1[[#This Row],[RETENTION PERIOD]]-Table1[[#This Row],[NO. YEARS AS OF 2024]]</f>
        <v>-3</v>
      </c>
      <c r="N219" s="163"/>
      <c r="O219" s="145"/>
      <c r="P219" s="145" t="s">
        <v>20</v>
      </c>
    </row>
    <row r="220" spans="1:16" s="171" customFormat="1" x14ac:dyDescent="0.65">
      <c r="A220" s="162" t="s">
        <v>225</v>
      </c>
      <c r="B220" s="163">
        <v>5</v>
      </c>
      <c r="C220" s="164" t="str">
        <f t="shared" si="40"/>
        <v>H02-23-0225</v>
      </c>
      <c r="D220" s="175" t="s">
        <v>226</v>
      </c>
      <c r="E220" s="162" t="s">
        <v>22</v>
      </c>
      <c r="F220" s="166" t="str">
        <f t="shared" si="38"/>
        <v>APPLICATIONS (RD,RO,EC MED, RF, MAT, SO, RR, SS, PLP, ACOP)</v>
      </c>
      <c r="G220" s="167" t="s">
        <v>34</v>
      </c>
      <c r="H220" s="167" t="s">
        <v>131</v>
      </c>
      <c r="I220" s="168" t="s">
        <v>231</v>
      </c>
      <c r="J220" s="163">
        <v>2022</v>
      </c>
      <c r="K220" s="169">
        <f>2024-Table1[[#This Row],[LATEST YEAR]]</f>
        <v>2</v>
      </c>
      <c r="L220" s="169">
        <f>VLOOKUP(Table1[[#This Row],[GRDS ITEM NO]],RETENTION1,4,0)</f>
        <v>1</v>
      </c>
      <c r="M220" s="169">
        <f>Table1[[#This Row],[RETENTION PERIOD]]-Table1[[#This Row],[NO. YEARS AS OF 2024]]</f>
        <v>-1</v>
      </c>
      <c r="N220" s="163"/>
      <c r="O220" s="145"/>
      <c r="P220" s="145" t="s">
        <v>20</v>
      </c>
    </row>
    <row r="221" spans="1:16" s="171" customFormat="1" x14ac:dyDescent="0.65">
      <c r="A221" s="162" t="s">
        <v>225</v>
      </c>
      <c r="B221" s="176">
        <v>6</v>
      </c>
      <c r="C221" s="164" t="str">
        <f t="shared" si="40"/>
        <v>H02-23-0226</v>
      </c>
      <c r="D221" s="175" t="s">
        <v>232</v>
      </c>
      <c r="E221" s="162" t="s">
        <v>22</v>
      </c>
      <c r="F221" s="166" t="str">
        <f t="shared" si="38"/>
        <v>APPLICATIONS (RD,RO,EC MED, RF, MAT, SO, RR, SS, PLP, ACOP)</v>
      </c>
      <c r="G221" s="167" t="s">
        <v>34</v>
      </c>
      <c r="H221" s="167" t="s">
        <v>131</v>
      </c>
      <c r="I221" s="168" t="s">
        <v>233</v>
      </c>
      <c r="J221" s="163">
        <v>2015</v>
      </c>
      <c r="K221" s="169">
        <f>2024-Table1[[#This Row],[LATEST YEAR]]</f>
        <v>9</v>
      </c>
      <c r="L221" s="169">
        <f>VLOOKUP(Table1[[#This Row],[GRDS ITEM NO]],RETENTION1,4,0)</f>
        <v>1</v>
      </c>
      <c r="M221" s="169">
        <f>Table1[[#This Row],[RETENTION PERIOD]]-Table1[[#This Row],[NO. YEARS AS OF 2024]]</f>
        <v>-8</v>
      </c>
      <c r="N221" s="163"/>
      <c r="O221" s="145"/>
      <c r="P221" s="145" t="s">
        <v>20</v>
      </c>
    </row>
    <row r="222" spans="1:16" s="171" customFormat="1" x14ac:dyDescent="0.65">
      <c r="A222" s="162" t="s">
        <v>225</v>
      </c>
      <c r="B222" s="163">
        <v>7</v>
      </c>
      <c r="C222" s="164" t="str">
        <f t="shared" si="40"/>
        <v>H02-23-0227</v>
      </c>
      <c r="D222" s="175" t="s">
        <v>232</v>
      </c>
      <c r="E222" s="162" t="s">
        <v>22</v>
      </c>
      <c r="F222" s="166" t="str">
        <f t="shared" si="38"/>
        <v>APPLICATIONS (RD,RO,EC MED, RF, MAT, SO, RR, SS, PLP, ACOP)</v>
      </c>
      <c r="G222" s="167" t="s">
        <v>34</v>
      </c>
      <c r="H222" s="167" t="s">
        <v>131</v>
      </c>
      <c r="I222" s="168" t="s">
        <v>234</v>
      </c>
      <c r="J222" s="163">
        <v>2016</v>
      </c>
      <c r="K222" s="169">
        <f>2024-Table1[[#This Row],[LATEST YEAR]]</f>
        <v>8</v>
      </c>
      <c r="L222" s="169">
        <f>VLOOKUP(Table1[[#This Row],[GRDS ITEM NO]],RETENTION1,4,0)</f>
        <v>1</v>
      </c>
      <c r="M222" s="169">
        <f>Table1[[#This Row],[RETENTION PERIOD]]-Table1[[#This Row],[NO. YEARS AS OF 2024]]</f>
        <v>-7</v>
      </c>
      <c r="N222" s="163"/>
      <c r="O222" s="145"/>
      <c r="P222" s="145" t="s">
        <v>20</v>
      </c>
    </row>
    <row r="223" spans="1:16" s="171" customFormat="1" x14ac:dyDescent="0.65">
      <c r="A223" s="162" t="s">
        <v>235</v>
      </c>
      <c r="B223" s="163">
        <v>1</v>
      </c>
      <c r="C223" s="164" t="str">
        <f t="shared" si="40"/>
        <v>H02-23-0231</v>
      </c>
      <c r="D223" s="175">
        <v>45271</v>
      </c>
      <c r="E223" s="162" t="s">
        <v>22</v>
      </c>
      <c r="F223" s="166" t="str">
        <f t="shared" si="38"/>
        <v>APPLICATIONS (RD,RO,EC MED, RF, MAT, SO, RR, SS, PLP, ACOP)</v>
      </c>
      <c r="G223" s="167" t="s">
        <v>34</v>
      </c>
      <c r="H223" s="167" t="s">
        <v>141</v>
      </c>
      <c r="I223" s="168" t="s">
        <v>236</v>
      </c>
      <c r="J223" s="163">
        <v>2013</v>
      </c>
      <c r="K223" s="169">
        <f>2024-Table1[[#This Row],[LATEST YEAR]]</f>
        <v>11</v>
      </c>
      <c r="L223" s="169">
        <f>VLOOKUP(Table1[[#This Row],[GRDS ITEM NO]],RETENTION1,4,0)</f>
        <v>1</v>
      </c>
      <c r="M223" s="169">
        <f>Table1[[#This Row],[RETENTION PERIOD]]-Table1[[#This Row],[NO. YEARS AS OF 2024]]</f>
        <v>-10</v>
      </c>
      <c r="N223" s="163"/>
      <c r="O223" s="145"/>
      <c r="P223" s="145" t="s">
        <v>20</v>
      </c>
    </row>
    <row r="224" spans="1:16" s="171" customFormat="1" x14ac:dyDescent="0.65">
      <c r="A224" s="162" t="s">
        <v>235</v>
      </c>
      <c r="B224" s="163">
        <v>2</v>
      </c>
      <c r="C224" s="164" t="str">
        <f t="shared" si="40"/>
        <v>H02-23-0232</v>
      </c>
      <c r="D224" s="165">
        <v>45271</v>
      </c>
      <c r="E224" s="162" t="s">
        <v>22</v>
      </c>
      <c r="F224" s="166" t="str">
        <f t="shared" si="38"/>
        <v>APPLICATIONS (RD,RO,EC MED, RF, MAT, SO, RR, SS, PLP, ACOP)</v>
      </c>
      <c r="G224" s="167" t="s">
        <v>34</v>
      </c>
      <c r="H224" s="167" t="s">
        <v>141</v>
      </c>
      <c r="I224" s="168" t="s">
        <v>237</v>
      </c>
      <c r="J224" s="163">
        <v>2014</v>
      </c>
      <c r="K224" s="169">
        <f>2024-Table1[[#This Row],[LATEST YEAR]]</f>
        <v>10</v>
      </c>
      <c r="L224" s="169">
        <f>VLOOKUP(Table1[[#This Row],[GRDS ITEM NO]],RETENTION1,4,0)</f>
        <v>1</v>
      </c>
      <c r="M224" s="169">
        <f>Table1[[#This Row],[RETENTION PERIOD]]-Table1[[#This Row],[NO. YEARS AS OF 2024]]</f>
        <v>-9</v>
      </c>
      <c r="N224" s="163"/>
      <c r="O224" s="145"/>
      <c r="P224" s="145" t="s">
        <v>20</v>
      </c>
    </row>
    <row r="225" spans="1:16" s="171" customFormat="1" x14ac:dyDescent="0.65">
      <c r="A225" s="162" t="s">
        <v>235</v>
      </c>
      <c r="B225" s="163">
        <v>3</v>
      </c>
      <c r="C225" s="164" t="str">
        <f t="shared" si="40"/>
        <v>H02-23-0233</v>
      </c>
      <c r="D225" s="165">
        <v>45271</v>
      </c>
      <c r="E225" s="162" t="s">
        <v>22</v>
      </c>
      <c r="F225" s="166" t="str">
        <f t="shared" si="38"/>
        <v>APPLICATIONS (RD,RO,EC MED, RF, MAT, SO, RR, SS, PLP, ACOP)</v>
      </c>
      <c r="G225" s="167" t="s">
        <v>34</v>
      </c>
      <c r="H225" s="167" t="s">
        <v>141</v>
      </c>
      <c r="I225" s="168" t="s">
        <v>238</v>
      </c>
      <c r="J225" s="163">
        <v>2014</v>
      </c>
      <c r="K225" s="169">
        <f>2024-Table1[[#This Row],[LATEST YEAR]]</f>
        <v>10</v>
      </c>
      <c r="L225" s="169">
        <f>VLOOKUP(Table1[[#This Row],[GRDS ITEM NO]],RETENTION1,4,0)</f>
        <v>1</v>
      </c>
      <c r="M225" s="169">
        <f>Table1[[#This Row],[RETENTION PERIOD]]-Table1[[#This Row],[NO. YEARS AS OF 2024]]</f>
        <v>-9</v>
      </c>
      <c r="N225" s="163"/>
      <c r="O225" s="145"/>
      <c r="P225" s="145" t="s">
        <v>20</v>
      </c>
    </row>
    <row r="226" spans="1:16" s="171" customFormat="1" x14ac:dyDescent="0.65">
      <c r="A226" s="162" t="s">
        <v>235</v>
      </c>
      <c r="B226" s="163">
        <v>4</v>
      </c>
      <c r="C226" s="164" t="str">
        <f t="shared" si="40"/>
        <v>H02-23-0234</v>
      </c>
      <c r="D226" s="165">
        <v>45271</v>
      </c>
      <c r="E226" s="162" t="s">
        <v>22</v>
      </c>
      <c r="F226" s="166" t="str">
        <f t="shared" si="38"/>
        <v>APPLICATIONS (RD,RO,EC MED, RF, MAT, SO, RR, SS, PLP, ACOP)</v>
      </c>
      <c r="G226" s="167" t="s">
        <v>34</v>
      </c>
      <c r="H226" s="167" t="s">
        <v>141</v>
      </c>
      <c r="I226" s="177" t="s">
        <v>239</v>
      </c>
      <c r="J226" s="163">
        <v>2014</v>
      </c>
      <c r="K226" s="169">
        <f>2024-Table1[[#This Row],[LATEST YEAR]]</f>
        <v>10</v>
      </c>
      <c r="L226" s="169">
        <f>VLOOKUP(Table1[[#This Row],[GRDS ITEM NO]],RETENTION1,4,0)</f>
        <v>1</v>
      </c>
      <c r="M226" s="169">
        <f>Table1[[#This Row],[RETENTION PERIOD]]-Table1[[#This Row],[NO. YEARS AS OF 2024]]</f>
        <v>-9</v>
      </c>
      <c r="N226" s="163"/>
      <c r="O226" s="145"/>
      <c r="P226" s="145" t="s">
        <v>20</v>
      </c>
    </row>
    <row r="227" spans="1:16" s="171" customFormat="1" x14ac:dyDescent="0.65">
      <c r="A227" s="162" t="s">
        <v>163</v>
      </c>
      <c r="B227" s="163">
        <v>2</v>
      </c>
      <c r="C227" s="164" t="str">
        <f t="shared" si="40"/>
        <v>H02-23-0192</v>
      </c>
      <c r="D227" s="165">
        <v>45275</v>
      </c>
      <c r="E227" s="162" t="s">
        <v>22</v>
      </c>
      <c r="F227" s="166" t="str">
        <f t="shared" si="38"/>
        <v>APPLICATIONS (RD,RO,EC MED, RF, MAT, SO, RR, SS, PLP, ACOP)</v>
      </c>
      <c r="G227" s="167" t="s">
        <v>34</v>
      </c>
      <c r="H227" s="167" t="s">
        <v>141</v>
      </c>
      <c r="I227" s="168" t="s">
        <v>240</v>
      </c>
      <c r="J227" s="163">
        <v>2020</v>
      </c>
      <c r="K227" s="169">
        <f>2024-Table1[[#This Row],[LATEST YEAR]]</f>
        <v>4</v>
      </c>
      <c r="L227" s="169">
        <f>VLOOKUP(Table1[[#This Row],[GRDS ITEM NO]],RETENTION1,4,0)</f>
        <v>1</v>
      </c>
      <c r="M227" s="169">
        <f>Table1[[#This Row],[RETENTION PERIOD]]-Table1[[#This Row],[NO. YEARS AS OF 2024]]</f>
        <v>-3</v>
      </c>
      <c r="N227" s="163"/>
      <c r="O227" s="145"/>
      <c r="P227" s="145" t="s">
        <v>20</v>
      </c>
    </row>
    <row r="228" spans="1:16" s="171" customFormat="1" x14ac:dyDescent="0.65">
      <c r="A228" s="162" t="s">
        <v>241</v>
      </c>
      <c r="B228" s="163">
        <v>1</v>
      </c>
      <c r="C228" s="164" t="str">
        <f t="shared" si="40"/>
        <v>H02-23-0241</v>
      </c>
      <c r="D228" s="165">
        <v>45275</v>
      </c>
      <c r="E228" s="162" t="s">
        <v>22</v>
      </c>
      <c r="F228" s="166" t="str">
        <f t="shared" si="38"/>
        <v>APPLICATIONS (RD,RO,EC MED, RF, MAT, SO, RR, SS, PLP, ACOP)</v>
      </c>
      <c r="G228" s="167" t="s">
        <v>34</v>
      </c>
      <c r="H228" s="167" t="s">
        <v>141</v>
      </c>
      <c r="I228" s="168" t="s">
        <v>242</v>
      </c>
      <c r="J228" s="163">
        <v>2015</v>
      </c>
      <c r="K228" s="169">
        <f>2024-Table1[[#This Row],[LATEST YEAR]]</f>
        <v>9</v>
      </c>
      <c r="L228" s="169">
        <f>VLOOKUP(Table1[[#This Row],[GRDS ITEM NO]],RETENTION1,4,0)</f>
        <v>1</v>
      </c>
      <c r="M228" s="169">
        <f>Table1[[#This Row],[RETENTION PERIOD]]-Table1[[#This Row],[NO. YEARS AS OF 2024]]</f>
        <v>-8</v>
      </c>
      <c r="N228" s="163"/>
      <c r="O228" s="145"/>
      <c r="P228" s="145" t="s">
        <v>20</v>
      </c>
    </row>
    <row r="229" spans="1:16" s="171" customFormat="1" x14ac:dyDescent="0.65">
      <c r="A229" s="162" t="s">
        <v>241</v>
      </c>
      <c r="B229" s="163">
        <v>2</v>
      </c>
      <c r="C229" s="164" t="str">
        <f t="shared" si="40"/>
        <v>H02-23-0242</v>
      </c>
      <c r="D229" s="165">
        <v>45278</v>
      </c>
      <c r="E229" s="162" t="s">
        <v>22</v>
      </c>
      <c r="F229" s="166" t="str">
        <f t="shared" si="38"/>
        <v>APPLICATIONS (RD,RO,EC MED, RF, MAT, SO, RR, SS, PLP, ACOP)</v>
      </c>
      <c r="G229" s="167" t="s">
        <v>34</v>
      </c>
      <c r="H229" s="167" t="s">
        <v>141</v>
      </c>
      <c r="I229" s="168" t="s">
        <v>243</v>
      </c>
      <c r="J229" s="163">
        <v>2015</v>
      </c>
      <c r="K229" s="169">
        <f>2024-Table1[[#This Row],[LATEST YEAR]]</f>
        <v>9</v>
      </c>
      <c r="L229" s="169">
        <f>VLOOKUP(Table1[[#This Row],[GRDS ITEM NO]],RETENTION1,4,0)</f>
        <v>1</v>
      </c>
      <c r="M229" s="169">
        <f>Table1[[#This Row],[RETENTION PERIOD]]-Table1[[#This Row],[NO. YEARS AS OF 2024]]</f>
        <v>-8</v>
      </c>
      <c r="N229" s="163"/>
      <c r="O229" s="145"/>
      <c r="P229" s="145" t="s">
        <v>20</v>
      </c>
    </row>
    <row r="230" spans="1:16" s="171" customFormat="1" x14ac:dyDescent="0.65">
      <c r="A230" s="162" t="s">
        <v>244</v>
      </c>
      <c r="B230" s="163">
        <v>1</v>
      </c>
      <c r="C230" s="164" t="str">
        <f t="shared" si="40"/>
        <v>H02-23-0251</v>
      </c>
      <c r="D230" s="165">
        <v>45278</v>
      </c>
      <c r="E230" s="162" t="s">
        <v>22</v>
      </c>
      <c r="F230" s="166" t="str">
        <f t="shared" si="38"/>
        <v>APPLICATIONS (RD,RO,EC MED, RF, MAT, SO, RR, SS, PLP, ACOP)</v>
      </c>
      <c r="G230" s="167" t="s">
        <v>34</v>
      </c>
      <c r="H230" s="167" t="s">
        <v>141</v>
      </c>
      <c r="I230" s="168" t="s">
        <v>245</v>
      </c>
      <c r="J230" s="163">
        <v>2016</v>
      </c>
      <c r="K230" s="169">
        <f>2024-Table1[[#This Row],[LATEST YEAR]]</f>
        <v>8</v>
      </c>
      <c r="L230" s="169">
        <f>VLOOKUP(Table1[[#This Row],[GRDS ITEM NO]],RETENTION1,4,0)</f>
        <v>1</v>
      </c>
      <c r="M230" s="169">
        <f>Table1[[#This Row],[RETENTION PERIOD]]-Table1[[#This Row],[NO. YEARS AS OF 2024]]</f>
        <v>-7</v>
      </c>
      <c r="N230" s="163"/>
      <c r="O230" s="145"/>
      <c r="P230" s="145" t="s">
        <v>20</v>
      </c>
    </row>
    <row r="231" spans="1:16" s="171" customFormat="1" x14ac:dyDescent="0.65">
      <c r="A231" s="162" t="s">
        <v>244</v>
      </c>
      <c r="B231" s="163">
        <v>2</v>
      </c>
      <c r="C231" s="164" t="str">
        <f t="shared" si="40"/>
        <v>H02-23-0252</v>
      </c>
      <c r="D231" s="165">
        <v>45281</v>
      </c>
      <c r="E231" s="162" t="s">
        <v>22</v>
      </c>
      <c r="F231" s="166" t="str">
        <f t="shared" si="38"/>
        <v>APPLICATIONS (RD,RO,EC MED, RF, MAT, SO, RR, SS, PLP, ACOP)</v>
      </c>
      <c r="G231" s="167" t="s">
        <v>34</v>
      </c>
      <c r="H231" s="167" t="s">
        <v>141</v>
      </c>
      <c r="I231" s="168" t="s">
        <v>246</v>
      </c>
      <c r="J231" s="163">
        <v>2016</v>
      </c>
      <c r="K231" s="169">
        <f>2024-Table1[[#This Row],[LATEST YEAR]]</f>
        <v>8</v>
      </c>
      <c r="L231" s="169">
        <f>VLOOKUP(Table1[[#This Row],[GRDS ITEM NO]],RETENTION1,4,0)</f>
        <v>1</v>
      </c>
      <c r="M231" s="169">
        <f>Table1[[#This Row],[RETENTION PERIOD]]-Table1[[#This Row],[NO. YEARS AS OF 2024]]</f>
        <v>-7</v>
      </c>
      <c r="N231" s="163"/>
      <c r="O231" s="145"/>
      <c r="P231" s="145" t="s">
        <v>20</v>
      </c>
    </row>
    <row r="232" spans="1:16" s="171" customFormat="1" x14ac:dyDescent="0.65">
      <c r="A232" s="162" t="s">
        <v>244</v>
      </c>
      <c r="B232" s="163">
        <v>3</v>
      </c>
      <c r="C232" s="164" t="str">
        <f t="shared" si="40"/>
        <v>H02-23-0253</v>
      </c>
      <c r="D232" s="165">
        <v>45281</v>
      </c>
      <c r="E232" s="162" t="s">
        <v>22</v>
      </c>
      <c r="F232" s="166" t="str">
        <f t="shared" si="38"/>
        <v>APPLICATIONS (RD,RO,EC MED, RF, MAT, SO, RR, SS, PLP, ACOP)</v>
      </c>
      <c r="G232" s="167" t="s">
        <v>34</v>
      </c>
      <c r="H232" s="167" t="s">
        <v>141</v>
      </c>
      <c r="I232" s="168" t="s">
        <v>247</v>
      </c>
      <c r="J232" s="163">
        <v>2016</v>
      </c>
      <c r="K232" s="169">
        <f>2024-Table1[[#This Row],[LATEST YEAR]]</f>
        <v>8</v>
      </c>
      <c r="L232" s="169">
        <f>VLOOKUP(Table1[[#This Row],[GRDS ITEM NO]],RETENTION1,4,0)</f>
        <v>1</v>
      </c>
      <c r="M232" s="169">
        <f>Table1[[#This Row],[RETENTION PERIOD]]-Table1[[#This Row],[NO. YEARS AS OF 2024]]</f>
        <v>-7</v>
      </c>
      <c r="N232" s="163"/>
      <c r="O232" s="145"/>
      <c r="P232" s="145" t="s">
        <v>20</v>
      </c>
    </row>
    <row r="233" spans="1:16" s="171" customFormat="1" x14ac:dyDescent="0.65">
      <c r="A233" s="162" t="s">
        <v>248</v>
      </c>
      <c r="B233" s="163">
        <v>1</v>
      </c>
      <c r="C233" s="164" t="str">
        <f t="shared" si="40"/>
        <v>H02-23-0261</v>
      </c>
      <c r="D233" s="165">
        <v>45294</v>
      </c>
      <c r="E233" s="162" t="s">
        <v>22</v>
      </c>
      <c r="F233" s="166" t="str">
        <f t="shared" si="38"/>
        <v>APPLICATIONS (RD,RO,EC MED, RF, MAT, SO, RR, SS, PLP, ACOP)</v>
      </c>
      <c r="G233" s="167" t="s">
        <v>34</v>
      </c>
      <c r="H233" s="167" t="s">
        <v>141</v>
      </c>
      <c r="I233" s="168" t="s">
        <v>249</v>
      </c>
      <c r="J233" s="163">
        <v>2017</v>
      </c>
      <c r="K233" s="169">
        <f>2024-Table1[[#This Row],[LATEST YEAR]]</f>
        <v>7</v>
      </c>
      <c r="L233" s="169">
        <f>VLOOKUP(Table1[[#This Row],[GRDS ITEM NO]],RETENTION1,4,0)</f>
        <v>1</v>
      </c>
      <c r="M233" s="169">
        <f>Table1[[#This Row],[RETENTION PERIOD]]-Table1[[#This Row],[NO. YEARS AS OF 2024]]</f>
        <v>-6</v>
      </c>
      <c r="N233" s="163"/>
      <c r="O233" s="145"/>
      <c r="P233" s="145" t="s">
        <v>20</v>
      </c>
    </row>
    <row r="234" spans="1:16" s="171" customFormat="1" x14ac:dyDescent="0.65">
      <c r="A234" s="162" t="s">
        <v>248</v>
      </c>
      <c r="B234" s="163">
        <v>2</v>
      </c>
      <c r="C234" s="164" t="str">
        <f t="shared" si="40"/>
        <v>H02-23-0262</v>
      </c>
      <c r="D234" s="165">
        <v>45296</v>
      </c>
      <c r="E234" s="162" t="s">
        <v>22</v>
      </c>
      <c r="F234" s="166" t="str">
        <f t="shared" si="38"/>
        <v>APPLICATIONS (RD,RO,EC MED, RF, MAT, SO, RR, SS, PLP, ACOP)</v>
      </c>
      <c r="G234" s="167" t="s">
        <v>34</v>
      </c>
      <c r="H234" s="167" t="s">
        <v>141</v>
      </c>
      <c r="I234" s="168" t="s">
        <v>250</v>
      </c>
      <c r="J234" s="163">
        <v>2017</v>
      </c>
      <c r="K234" s="169">
        <f>2024-Table1[[#This Row],[LATEST YEAR]]</f>
        <v>7</v>
      </c>
      <c r="L234" s="169">
        <f>VLOOKUP(Table1[[#This Row],[GRDS ITEM NO]],RETENTION1,4,0)</f>
        <v>1</v>
      </c>
      <c r="M234" s="169">
        <f>Table1[[#This Row],[RETENTION PERIOD]]-Table1[[#This Row],[NO. YEARS AS OF 2024]]</f>
        <v>-6</v>
      </c>
      <c r="N234" s="163"/>
      <c r="O234" s="145"/>
      <c r="P234" s="145" t="s">
        <v>20</v>
      </c>
    </row>
    <row r="235" spans="1:16" s="171" customFormat="1" x14ac:dyDescent="0.65">
      <c r="A235" s="162" t="s">
        <v>248</v>
      </c>
      <c r="B235" s="163">
        <v>3</v>
      </c>
      <c r="C235" s="164" t="str">
        <f t="shared" si="40"/>
        <v>H02-23-0263</v>
      </c>
      <c r="D235" s="165">
        <v>45296</v>
      </c>
      <c r="E235" s="162" t="s">
        <v>22</v>
      </c>
      <c r="F235" s="166" t="str">
        <f t="shared" si="38"/>
        <v>APPLICATIONS (RD,RO,EC MED, RF, MAT, SO, RR, SS, PLP, ACOP)</v>
      </c>
      <c r="G235" s="167" t="s">
        <v>34</v>
      </c>
      <c r="H235" s="167" t="s">
        <v>141</v>
      </c>
      <c r="I235" s="168" t="s">
        <v>251</v>
      </c>
      <c r="J235" s="163">
        <v>2017</v>
      </c>
      <c r="K235" s="169">
        <f>2024-Table1[[#This Row],[LATEST YEAR]]</f>
        <v>7</v>
      </c>
      <c r="L235" s="169">
        <f>VLOOKUP(Table1[[#This Row],[GRDS ITEM NO]],RETENTION1,4,0)</f>
        <v>1</v>
      </c>
      <c r="M235" s="169">
        <f>Table1[[#This Row],[RETENTION PERIOD]]-Table1[[#This Row],[NO. YEARS AS OF 2024]]</f>
        <v>-6</v>
      </c>
      <c r="N235" s="163"/>
      <c r="O235" s="145"/>
      <c r="P235" s="145" t="s">
        <v>20</v>
      </c>
    </row>
    <row r="236" spans="1:16" s="171" customFormat="1" x14ac:dyDescent="0.65">
      <c r="A236" s="162" t="s">
        <v>252</v>
      </c>
      <c r="B236" s="163">
        <v>1</v>
      </c>
      <c r="C236" s="164" t="str">
        <f t="shared" si="40"/>
        <v>H02-24-0011</v>
      </c>
      <c r="D236" s="165">
        <v>45299</v>
      </c>
      <c r="E236" s="162" t="s">
        <v>22</v>
      </c>
      <c r="F236" s="166" t="str">
        <f t="shared" si="38"/>
        <v>APPLICATIONS (RD,RO,EC MED, RF, MAT, SO, RR, SS, PLP, ACOP)</v>
      </c>
      <c r="G236" s="167" t="s">
        <v>34</v>
      </c>
      <c r="H236" s="167" t="s">
        <v>141</v>
      </c>
      <c r="I236" s="168" t="s">
        <v>253</v>
      </c>
      <c r="J236" s="163">
        <v>2018</v>
      </c>
      <c r="K236" s="169">
        <f>2024-Table1[[#This Row],[LATEST YEAR]]</f>
        <v>6</v>
      </c>
      <c r="L236" s="169">
        <f>VLOOKUP(Table1[[#This Row],[GRDS ITEM NO]],RETENTION1,4,0)</f>
        <v>1</v>
      </c>
      <c r="M236" s="169">
        <f>Table1[[#This Row],[RETENTION PERIOD]]-Table1[[#This Row],[NO. YEARS AS OF 2024]]</f>
        <v>-5</v>
      </c>
      <c r="N236" s="163"/>
      <c r="O236" s="145"/>
      <c r="P236" s="145" t="s">
        <v>20</v>
      </c>
    </row>
    <row r="237" spans="1:16" s="223" customFormat="1" x14ac:dyDescent="0.65">
      <c r="A237" s="222" t="s">
        <v>252</v>
      </c>
      <c r="B237" s="213">
        <v>2</v>
      </c>
      <c r="C237" s="214" t="str">
        <f t="shared" si="40"/>
        <v>H02-24-0012</v>
      </c>
      <c r="D237" s="233">
        <v>45299</v>
      </c>
      <c r="E237" s="222" t="s">
        <v>22</v>
      </c>
      <c r="F237" s="217" t="str">
        <f t="shared" si="38"/>
        <v>APPLICATIONS (RD,RO,EC MED, RF, MAT, SO, RR, SS, PLP, ACOP)</v>
      </c>
      <c r="G237" s="219" t="s">
        <v>34</v>
      </c>
      <c r="H237" s="219" t="s">
        <v>141</v>
      </c>
      <c r="I237" s="220" t="s">
        <v>254</v>
      </c>
      <c r="J237" s="213">
        <v>2018</v>
      </c>
      <c r="K237" s="221">
        <f>2024-Table1[[#This Row],[LATEST YEAR]]</f>
        <v>6</v>
      </c>
      <c r="L237" s="221">
        <f>VLOOKUP(Table1[[#This Row],[GRDS ITEM NO]],RETENTION1,4,0)</f>
        <v>1</v>
      </c>
      <c r="M237" s="221">
        <f>Table1[[#This Row],[RETENTION PERIOD]]-Table1[[#This Row],[NO. YEARS AS OF 2024]]</f>
        <v>-5</v>
      </c>
      <c r="N237" s="213"/>
      <c r="O237" s="222"/>
      <c r="P237" s="145" t="s">
        <v>20</v>
      </c>
    </row>
    <row r="238" spans="1:16" s="171" customFormat="1" x14ac:dyDescent="0.65">
      <c r="A238" s="162" t="s">
        <v>255</v>
      </c>
      <c r="B238" s="163">
        <v>1</v>
      </c>
      <c r="C238" s="164" t="str">
        <f t="shared" si="40"/>
        <v>H02-24-0021</v>
      </c>
      <c r="D238" s="165">
        <v>45330</v>
      </c>
      <c r="E238" s="162" t="s">
        <v>80</v>
      </c>
      <c r="F238" s="166" t="str">
        <f t="shared" si="38"/>
        <v>EMPLOYEE-MEMBER APPLICATIONS (E1, E4, NW1, OW1, RS1)</v>
      </c>
      <c r="G238" s="167" t="s">
        <v>34</v>
      </c>
      <c r="H238" s="167" t="s">
        <v>211</v>
      </c>
      <c r="I238" s="168">
        <v>2023</v>
      </c>
      <c r="J238" s="163">
        <v>2023</v>
      </c>
      <c r="K238" s="169">
        <f>2024-Table1[[#This Row],[LATEST YEAR]]</f>
        <v>1</v>
      </c>
      <c r="L238" s="169">
        <f>VLOOKUP(Table1[[#This Row],[GRDS ITEM NO]],RETENTION1,4,0)</f>
        <v>1</v>
      </c>
      <c r="M238" s="169">
        <f>Table1[[#This Row],[RETENTION PERIOD]]-Table1[[#This Row],[NO. YEARS AS OF 2024]]</f>
        <v>0</v>
      </c>
      <c r="N238" s="163"/>
      <c r="O238" s="145"/>
      <c r="P238" s="145" t="s">
        <v>20</v>
      </c>
    </row>
    <row r="239" spans="1:16" s="171" customFormat="1" x14ac:dyDescent="0.65">
      <c r="A239" s="162" t="s">
        <v>255</v>
      </c>
      <c r="B239" s="163">
        <v>2</v>
      </c>
      <c r="C239" s="164" t="str">
        <f t="shared" si="40"/>
        <v>H02-24-0022</v>
      </c>
      <c r="D239" s="165">
        <v>45330</v>
      </c>
      <c r="E239" s="162" t="s">
        <v>80</v>
      </c>
      <c r="F239" s="166" t="str">
        <f t="shared" si="38"/>
        <v>EMPLOYEE-MEMBER APPLICATIONS (E1, E4, NW1, OW1, RS1)</v>
      </c>
      <c r="G239" s="167" t="s">
        <v>34</v>
      </c>
      <c r="H239" s="167" t="s">
        <v>211</v>
      </c>
      <c r="I239" s="168">
        <v>2023</v>
      </c>
      <c r="J239" s="163">
        <v>2023</v>
      </c>
      <c r="K239" s="169">
        <f>2024-Table1[[#This Row],[LATEST YEAR]]</f>
        <v>1</v>
      </c>
      <c r="L239" s="169">
        <f>VLOOKUP(Table1[[#This Row],[GRDS ITEM NO]],RETENTION1,4,0)</f>
        <v>1</v>
      </c>
      <c r="M239" s="169">
        <f>Table1[[#This Row],[RETENTION PERIOD]]-Table1[[#This Row],[NO. YEARS AS OF 2024]]</f>
        <v>0</v>
      </c>
      <c r="N239" s="163"/>
      <c r="O239" s="145"/>
      <c r="P239" s="145" t="s">
        <v>20</v>
      </c>
    </row>
    <row r="240" spans="1:16" s="171" customFormat="1" x14ac:dyDescent="0.65">
      <c r="A240" s="162" t="s">
        <v>256</v>
      </c>
      <c r="B240" s="163">
        <v>1</v>
      </c>
      <c r="C240" s="164" t="str">
        <f t="shared" si="40"/>
        <v>H02-24-0031</v>
      </c>
      <c r="D240" s="165">
        <v>45353</v>
      </c>
      <c r="E240" s="162">
        <v>74</v>
      </c>
      <c r="F240" s="166" t="str">
        <f t="shared" si="38"/>
        <v>OFFICIAL RECEIPTS</v>
      </c>
      <c r="G240" s="167" t="s">
        <v>17</v>
      </c>
      <c r="H240" s="167" t="s">
        <v>257</v>
      </c>
      <c r="I240" s="168" t="s">
        <v>258</v>
      </c>
      <c r="J240" s="163">
        <v>2013</v>
      </c>
      <c r="K240" s="169">
        <f>2024-Table1[[#This Row],[LATEST YEAR]]</f>
        <v>11</v>
      </c>
      <c r="L240" s="169">
        <f>VLOOKUP(Table1[[#This Row],[GRDS ITEM NO]],RETENTION1,4,0)</f>
        <v>10</v>
      </c>
      <c r="M240" s="169">
        <f>Table1[[#This Row],[RETENTION PERIOD]]-Table1[[#This Row],[NO. YEARS AS OF 2024]]</f>
        <v>-1</v>
      </c>
      <c r="N240" s="163"/>
      <c r="O240" s="145"/>
      <c r="P240" s="145" t="s">
        <v>20</v>
      </c>
    </row>
    <row r="241" spans="1:16" s="171" customFormat="1" x14ac:dyDescent="0.65">
      <c r="A241" s="162" t="s">
        <v>256</v>
      </c>
      <c r="B241" s="163">
        <v>2</v>
      </c>
      <c r="C241" s="164" t="str">
        <f t="shared" si="40"/>
        <v>H02-24-0032</v>
      </c>
      <c r="D241" s="165">
        <v>45353</v>
      </c>
      <c r="E241" s="162">
        <v>74</v>
      </c>
      <c r="F241" s="166" t="str">
        <f t="shared" si="38"/>
        <v>OFFICIAL RECEIPTS</v>
      </c>
      <c r="G241" s="167" t="s">
        <v>17</v>
      </c>
      <c r="H241" s="167" t="s">
        <v>257</v>
      </c>
      <c r="I241" s="168">
        <v>2009</v>
      </c>
      <c r="J241" s="163">
        <v>2009</v>
      </c>
      <c r="K241" s="169">
        <f>2024-Table1[[#This Row],[LATEST YEAR]]</f>
        <v>15</v>
      </c>
      <c r="L241" s="169">
        <f>VLOOKUP(Table1[[#This Row],[GRDS ITEM NO]],RETENTION1,4,0)</f>
        <v>10</v>
      </c>
      <c r="M241" s="169">
        <f>Table1[[#This Row],[RETENTION PERIOD]]-Table1[[#This Row],[NO. YEARS AS OF 2024]]</f>
        <v>-5</v>
      </c>
      <c r="N241" s="163"/>
      <c r="O241" s="145"/>
      <c r="P241" s="145" t="s">
        <v>20</v>
      </c>
    </row>
    <row r="242" spans="1:16" s="171" customFormat="1" x14ac:dyDescent="0.65">
      <c r="A242" s="162" t="s">
        <v>256</v>
      </c>
      <c r="B242" s="163">
        <v>3</v>
      </c>
      <c r="C242" s="164" t="str">
        <f t="shared" si="40"/>
        <v>H02-24-0033</v>
      </c>
      <c r="D242" s="165">
        <v>45353</v>
      </c>
      <c r="E242" s="162">
        <v>74</v>
      </c>
      <c r="F242" s="166" t="str">
        <f t="shared" ref="F242:F273" si="41">VLOOKUP(E242,DESCRIP,2,0)</f>
        <v>OFFICIAL RECEIPTS</v>
      </c>
      <c r="G242" s="167" t="s">
        <v>17</v>
      </c>
      <c r="H242" s="167" t="s">
        <v>257</v>
      </c>
      <c r="I242" s="168">
        <v>2009</v>
      </c>
      <c r="J242" s="163">
        <v>2009</v>
      </c>
      <c r="K242" s="169">
        <f>2024-Table1[[#This Row],[LATEST YEAR]]</f>
        <v>15</v>
      </c>
      <c r="L242" s="169">
        <f>VLOOKUP(Table1[[#This Row],[GRDS ITEM NO]],RETENTION1,4,0)</f>
        <v>10</v>
      </c>
      <c r="M242" s="169">
        <f>Table1[[#This Row],[RETENTION PERIOD]]-Table1[[#This Row],[NO. YEARS AS OF 2024]]</f>
        <v>-5</v>
      </c>
      <c r="N242" s="163"/>
      <c r="O242" s="145"/>
      <c r="P242" s="145" t="s">
        <v>20</v>
      </c>
    </row>
    <row r="243" spans="1:16" s="171" customFormat="1" x14ac:dyDescent="0.65">
      <c r="A243" s="162" t="s">
        <v>259</v>
      </c>
      <c r="B243" s="163">
        <v>1</v>
      </c>
      <c r="C243" s="164" t="str">
        <f t="shared" si="40"/>
        <v>H02-24-0041</v>
      </c>
      <c r="D243" s="165">
        <v>45353</v>
      </c>
      <c r="E243" s="162">
        <v>26</v>
      </c>
      <c r="F243" s="166" t="str">
        <f t="shared" si="41"/>
        <v>REPORTS
-OTHERS (Batch Balance Sheet)</v>
      </c>
      <c r="G243" s="167" t="s">
        <v>17</v>
      </c>
      <c r="H243" s="167" t="s">
        <v>18</v>
      </c>
      <c r="I243" s="168">
        <v>2012</v>
      </c>
      <c r="J243" s="163">
        <v>2012</v>
      </c>
      <c r="K243" s="169">
        <f>2024-Table1[[#This Row],[LATEST YEAR]]</f>
        <v>12</v>
      </c>
      <c r="L243" s="169">
        <f>VLOOKUP(Table1[[#This Row],[GRDS ITEM NO]],RETENTION1,4,0)</f>
        <v>2</v>
      </c>
      <c r="M243" s="169">
        <f>Table1[[#This Row],[RETENTION PERIOD]]-Table1[[#This Row],[NO. YEARS AS OF 2024]]</f>
        <v>-10</v>
      </c>
      <c r="N243" s="163"/>
      <c r="O243" s="145"/>
      <c r="P243" s="145" t="s">
        <v>20</v>
      </c>
    </row>
    <row r="244" spans="1:16" s="171" customFormat="1" x14ac:dyDescent="0.65">
      <c r="A244" s="162" t="s">
        <v>259</v>
      </c>
      <c r="B244" s="163">
        <v>2</v>
      </c>
      <c r="C244" s="164" t="str">
        <f t="shared" si="40"/>
        <v>H02-24-0042</v>
      </c>
      <c r="D244" s="165">
        <v>45353</v>
      </c>
      <c r="E244" s="162">
        <v>26</v>
      </c>
      <c r="F244" s="166" t="str">
        <f t="shared" si="41"/>
        <v>REPORTS
-OTHERS (Batch Balance Sheet)</v>
      </c>
      <c r="G244" s="167" t="s">
        <v>17</v>
      </c>
      <c r="H244" s="167" t="s">
        <v>18</v>
      </c>
      <c r="I244" s="168">
        <v>2012</v>
      </c>
      <c r="J244" s="163">
        <v>2012</v>
      </c>
      <c r="K244" s="169">
        <f>2024-Table1[[#This Row],[LATEST YEAR]]</f>
        <v>12</v>
      </c>
      <c r="L244" s="169">
        <f>VLOOKUP(Table1[[#This Row],[GRDS ITEM NO]],RETENTION1,4,0)</f>
        <v>2</v>
      </c>
      <c r="M244" s="169">
        <f>Table1[[#This Row],[RETENTION PERIOD]]-Table1[[#This Row],[NO. YEARS AS OF 2024]]</f>
        <v>-10</v>
      </c>
      <c r="N244" s="163"/>
      <c r="O244" s="145"/>
      <c r="P244" s="145" t="s">
        <v>20</v>
      </c>
    </row>
    <row r="245" spans="1:16" s="171" customFormat="1" x14ac:dyDescent="0.65">
      <c r="A245" s="178" t="s">
        <v>260</v>
      </c>
      <c r="B245" s="163">
        <v>1</v>
      </c>
      <c r="C245" s="164" t="str">
        <f t="shared" ref="C245:C282" si="42">_xlfn.CONCAT(A245,B245)</f>
        <v>H02-23-004-241</v>
      </c>
      <c r="D245" s="165">
        <v>45353</v>
      </c>
      <c r="E245" s="179" t="s">
        <v>80</v>
      </c>
      <c r="F245" s="180" t="str">
        <f t="shared" si="41"/>
        <v>EMPLOYEE-MEMBER APPLICATIONS (E1, E4, NW1, OW1, RS1)</v>
      </c>
      <c r="G245" s="181" t="str">
        <f t="shared" ref="G245:G267" si="43">G244</f>
        <v>TELLERING SECTION</v>
      </c>
      <c r="H245" s="181" t="s">
        <v>211</v>
      </c>
      <c r="I245" s="182">
        <v>2017</v>
      </c>
      <c r="J245" s="163">
        <v>2017</v>
      </c>
      <c r="K245" s="169">
        <f>2024-Table1[[#This Row],[LATEST YEAR]]</f>
        <v>7</v>
      </c>
      <c r="L245" s="169">
        <f>VLOOKUP(Table1[[#This Row],[GRDS ITEM NO]],RETENTION1,4,0)</f>
        <v>1</v>
      </c>
      <c r="M245" s="169">
        <f>Table1[[#This Row],[RETENTION PERIOD]]-Table1[[#This Row],[NO. YEARS AS OF 2024]]</f>
        <v>-6</v>
      </c>
      <c r="N245" s="163"/>
      <c r="O245" s="145"/>
      <c r="P245" s="145" t="s">
        <v>20</v>
      </c>
    </row>
    <row r="246" spans="1:16" s="171" customFormat="1" x14ac:dyDescent="0.65">
      <c r="A246" s="178" t="s">
        <v>260</v>
      </c>
      <c r="B246" s="163">
        <v>2</v>
      </c>
      <c r="C246" s="164" t="str">
        <f t="shared" si="42"/>
        <v>H02-23-004-242</v>
      </c>
      <c r="D246" s="165">
        <v>45353</v>
      </c>
      <c r="E246" s="183" t="str">
        <f t="shared" ref="E246:E254" si="44">E245</f>
        <v>SSSRDS 49</v>
      </c>
      <c r="F246" s="184" t="str">
        <f t="shared" si="41"/>
        <v>EMPLOYEE-MEMBER APPLICATIONS (E1, E4, NW1, OW1, RS1)</v>
      </c>
      <c r="G246" s="185" t="str">
        <f t="shared" si="43"/>
        <v>TELLERING SECTION</v>
      </c>
      <c r="H246" s="185" t="s">
        <v>211</v>
      </c>
      <c r="I246" s="186">
        <v>2017</v>
      </c>
      <c r="J246" s="163">
        <v>2017</v>
      </c>
      <c r="K246" s="169">
        <f>2024-Table1[[#This Row],[LATEST YEAR]]</f>
        <v>7</v>
      </c>
      <c r="L246" s="169">
        <f>VLOOKUP(Table1[[#This Row],[GRDS ITEM NO]],RETENTION1,4,0)</f>
        <v>1</v>
      </c>
      <c r="M246" s="169">
        <f>Table1[[#This Row],[RETENTION PERIOD]]-Table1[[#This Row],[NO. YEARS AS OF 2024]]</f>
        <v>-6</v>
      </c>
      <c r="N246" s="163"/>
      <c r="O246" s="145"/>
      <c r="P246" s="145" t="s">
        <v>20</v>
      </c>
    </row>
    <row r="247" spans="1:16" s="171" customFormat="1" x14ac:dyDescent="0.65">
      <c r="A247" s="178" t="s">
        <v>260</v>
      </c>
      <c r="B247" s="163">
        <v>3</v>
      </c>
      <c r="C247" s="164" t="str">
        <f t="shared" si="42"/>
        <v>H02-23-004-243</v>
      </c>
      <c r="D247" s="165">
        <v>45353</v>
      </c>
      <c r="E247" s="179" t="str">
        <f t="shared" si="44"/>
        <v>SSSRDS 49</v>
      </c>
      <c r="F247" s="180" t="str">
        <f t="shared" si="41"/>
        <v>EMPLOYEE-MEMBER APPLICATIONS (E1, E4, NW1, OW1, RS1)</v>
      </c>
      <c r="G247" s="181" t="str">
        <f t="shared" si="43"/>
        <v>TELLERING SECTION</v>
      </c>
      <c r="H247" s="181" t="s">
        <v>211</v>
      </c>
      <c r="I247" s="182">
        <v>2019</v>
      </c>
      <c r="J247" s="163">
        <v>2019</v>
      </c>
      <c r="K247" s="169">
        <f>2024-Table1[[#This Row],[LATEST YEAR]]</f>
        <v>5</v>
      </c>
      <c r="L247" s="169">
        <f>VLOOKUP(Table1[[#This Row],[GRDS ITEM NO]],RETENTION1,4,0)</f>
        <v>1</v>
      </c>
      <c r="M247" s="169">
        <f>Table1[[#This Row],[RETENTION PERIOD]]-Table1[[#This Row],[NO. YEARS AS OF 2024]]</f>
        <v>-4</v>
      </c>
      <c r="N247" s="163"/>
      <c r="O247" s="145"/>
      <c r="P247" s="145" t="s">
        <v>20</v>
      </c>
    </row>
    <row r="248" spans="1:16" s="171" customFormat="1" x14ac:dyDescent="0.65">
      <c r="A248" s="178" t="s">
        <v>260</v>
      </c>
      <c r="B248" s="163">
        <v>4</v>
      </c>
      <c r="C248" s="164" t="str">
        <f t="shared" si="42"/>
        <v>H02-23-004-244</v>
      </c>
      <c r="D248" s="165">
        <v>45353</v>
      </c>
      <c r="E248" s="183" t="str">
        <f t="shared" si="44"/>
        <v>SSSRDS 49</v>
      </c>
      <c r="F248" s="184" t="str">
        <f t="shared" si="41"/>
        <v>EMPLOYEE-MEMBER APPLICATIONS (E1, E4, NW1, OW1, RS1)</v>
      </c>
      <c r="G248" s="185" t="str">
        <f t="shared" si="43"/>
        <v>TELLERING SECTION</v>
      </c>
      <c r="H248" s="185" t="s">
        <v>211</v>
      </c>
      <c r="I248" s="186">
        <v>2017</v>
      </c>
      <c r="J248" s="163">
        <v>2017</v>
      </c>
      <c r="K248" s="169">
        <f>2024-Table1[[#This Row],[LATEST YEAR]]</f>
        <v>7</v>
      </c>
      <c r="L248" s="169">
        <f>VLOOKUP(Table1[[#This Row],[GRDS ITEM NO]],RETENTION1,4,0)</f>
        <v>1</v>
      </c>
      <c r="M248" s="169">
        <f>Table1[[#This Row],[RETENTION PERIOD]]-Table1[[#This Row],[NO. YEARS AS OF 2024]]</f>
        <v>-6</v>
      </c>
      <c r="N248" s="163"/>
      <c r="O248" s="145"/>
      <c r="P248" s="145" t="s">
        <v>20</v>
      </c>
    </row>
    <row r="249" spans="1:16" s="171" customFormat="1" x14ac:dyDescent="0.65">
      <c r="A249" s="178" t="s">
        <v>260</v>
      </c>
      <c r="B249" s="163">
        <v>5</v>
      </c>
      <c r="C249" s="164" t="str">
        <f t="shared" si="42"/>
        <v>H02-23-004-245</v>
      </c>
      <c r="D249" s="165">
        <v>45353</v>
      </c>
      <c r="E249" s="179" t="str">
        <f t="shared" si="44"/>
        <v>SSSRDS 49</v>
      </c>
      <c r="F249" s="180" t="str">
        <f t="shared" si="41"/>
        <v>EMPLOYEE-MEMBER APPLICATIONS (E1, E4, NW1, OW1, RS1)</v>
      </c>
      <c r="G249" s="181" t="str">
        <f t="shared" si="43"/>
        <v>TELLERING SECTION</v>
      </c>
      <c r="H249" s="181" t="s">
        <v>211</v>
      </c>
      <c r="I249" s="182">
        <v>2016</v>
      </c>
      <c r="J249" s="163">
        <v>2016</v>
      </c>
      <c r="K249" s="169">
        <f>2024-Table1[[#This Row],[LATEST YEAR]]</f>
        <v>8</v>
      </c>
      <c r="L249" s="169">
        <f>VLOOKUP(Table1[[#This Row],[GRDS ITEM NO]],RETENTION1,4,0)</f>
        <v>1</v>
      </c>
      <c r="M249" s="169">
        <f>Table1[[#This Row],[RETENTION PERIOD]]-Table1[[#This Row],[NO. YEARS AS OF 2024]]</f>
        <v>-7</v>
      </c>
      <c r="N249" s="163"/>
      <c r="O249" s="145"/>
      <c r="P249" s="145" t="s">
        <v>20</v>
      </c>
    </row>
    <row r="250" spans="1:16" s="171" customFormat="1" x14ac:dyDescent="0.65">
      <c r="A250" s="178" t="s">
        <v>260</v>
      </c>
      <c r="B250" s="163">
        <v>6</v>
      </c>
      <c r="C250" s="164" t="str">
        <f t="shared" si="42"/>
        <v>H02-23-004-246</v>
      </c>
      <c r="D250" s="165">
        <v>45353</v>
      </c>
      <c r="E250" s="183" t="s">
        <v>104</v>
      </c>
      <c r="F250" s="184" t="str">
        <f t="shared" si="41"/>
        <v>EMPLOYER-MEMBER APPLICATIONS (R1, R1A, R8)</v>
      </c>
      <c r="G250" s="185" t="str">
        <f t="shared" si="43"/>
        <v>TELLERING SECTION</v>
      </c>
      <c r="H250" s="185" t="s">
        <v>261</v>
      </c>
      <c r="I250" s="186">
        <v>2017</v>
      </c>
      <c r="J250" s="163">
        <v>2017</v>
      </c>
      <c r="K250" s="169">
        <f>2024-Table1[[#This Row],[LATEST YEAR]]</f>
        <v>7</v>
      </c>
      <c r="L250" s="169">
        <f>VLOOKUP(Table1[[#This Row],[GRDS ITEM NO]],RETENTION1,4,0)</f>
        <v>1</v>
      </c>
      <c r="M250" s="169">
        <f>Table1[[#This Row],[RETENTION PERIOD]]-Table1[[#This Row],[NO. YEARS AS OF 2024]]</f>
        <v>-6</v>
      </c>
      <c r="N250" s="163"/>
      <c r="O250" s="145"/>
      <c r="P250" s="145" t="s">
        <v>20</v>
      </c>
    </row>
    <row r="251" spans="1:16" s="171" customFormat="1" x14ac:dyDescent="0.65">
      <c r="A251" s="178" t="s">
        <v>260</v>
      </c>
      <c r="B251" s="163">
        <v>7</v>
      </c>
      <c r="C251" s="164" t="str">
        <f t="shared" si="42"/>
        <v>H02-23-004-247</v>
      </c>
      <c r="D251" s="165">
        <v>45353</v>
      </c>
      <c r="E251" s="179" t="s">
        <v>80</v>
      </c>
      <c r="F251" s="180" t="str">
        <f t="shared" si="41"/>
        <v>EMPLOYEE-MEMBER APPLICATIONS (E1, E4, NW1, OW1, RS1)</v>
      </c>
      <c r="G251" s="181" t="str">
        <f t="shared" si="43"/>
        <v>TELLERING SECTION</v>
      </c>
      <c r="H251" s="181" t="s">
        <v>262</v>
      </c>
      <c r="I251" s="182" t="s">
        <v>263</v>
      </c>
      <c r="J251" s="163">
        <v>2021</v>
      </c>
      <c r="K251" s="169">
        <f>2024-Table1[[#This Row],[LATEST YEAR]]</f>
        <v>3</v>
      </c>
      <c r="L251" s="169">
        <f>VLOOKUP(Table1[[#This Row],[GRDS ITEM NO]],RETENTION1,4,0)</f>
        <v>1</v>
      </c>
      <c r="M251" s="169">
        <f>Table1[[#This Row],[RETENTION PERIOD]]-Table1[[#This Row],[NO. YEARS AS OF 2024]]</f>
        <v>-2</v>
      </c>
      <c r="N251" s="163"/>
      <c r="O251" s="145"/>
      <c r="P251" s="145" t="s">
        <v>20</v>
      </c>
    </row>
    <row r="252" spans="1:16" s="171" customFormat="1" x14ac:dyDescent="0.65">
      <c r="A252" s="178" t="s">
        <v>260</v>
      </c>
      <c r="B252" s="163">
        <v>8</v>
      </c>
      <c r="C252" s="164" t="str">
        <f t="shared" si="42"/>
        <v>H02-23-004-248</v>
      </c>
      <c r="D252" s="165">
        <v>45353</v>
      </c>
      <c r="E252" s="183" t="str">
        <f t="shared" si="44"/>
        <v>SSSRDS 49</v>
      </c>
      <c r="F252" s="184" t="str">
        <f t="shared" si="41"/>
        <v>EMPLOYEE-MEMBER APPLICATIONS (E1, E4, NW1, OW1, RS1)</v>
      </c>
      <c r="G252" s="185" t="str">
        <f t="shared" si="43"/>
        <v>TELLERING SECTION</v>
      </c>
      <c r="H252" s="185" t="s">
        <v>264</v>
      </c>
      <c r="I252" s="186" t="s">
        <v>265</v>
      </c>
      <c r="J252" s="163">
        <v>2019</v>
      </c>
      <c r="K252" s="169">
        <f>2024-Table1[[#This Row],[LATEST YEAR]]</f>
        <v>5</v>
      </c>
      <c r="L252" s="169">
        <f>VLOOKUP(Table1[[#This Row],[GRDS ITEM NO]],RETENTION1,4,0)</f>
        <v>1</v>
      </c>
      <c r="M252" s="169">
        <f>Table1[[#This Row],[RETENTION PERIOD]]-Table1[[#This Row],[NO. YEARS AS OF 2024]]</f>
        <v>-4</v>
      </c>
      <c r="N252" s="163"/>
      <c r="O252" s="145"/>
      <c r="P252" s="145" t="s">
        <v>20</v>
      </c>
    </row>
    <row r="253" spans="1:16" s="171" customFormat="1" x14ac:dyDescent="0.65">
      <c r="A253" s="178" t="s">
        <v>260</v>
      </c>
      <c r="B253" s="163">
        <v>9</v>
      </c>
      <c r="C253" s="164" t="str">
        <f t="shared" si="42"/>
        <v>H02-23-004-249</v>
      </c>
      <c r="D253" s="165">
        <v>45353</v>
      </c>
      <c r="E253" s="179" t="str">
        <f t="shared" si="44"/>
        <v>SSSRDS 49</v>
      </c>
      <c r="F253" s="180" t="str">
        <f t="shared" si="41"/>
        <v>EMPLOYEE-MEMBER APPLICATIONS (E1, E4, NW1, OW1, RS1)</v>
      </c>
      <c r="G253" s="181" t="str">
        <f t="shared" si="43"/>
        <v>TELLERING SECTION</v>
      </c>
      <c r="H253" s="181" t="s">
        <v>264</v>
      </c>
      <c r="I253" s="182" t="s">
        <v>266</v>
      </c>
      <c r="J253" s="163">
        <v>2017</v>
      </c>
      <c r="K253" s="169">
        <f>2024-Table1[[#This Row],[LATEST YEAR]]</f>
        <v>7</v>
      </c>
      <c r="L253" s="169">
        <f>VLOOKUP(Table1[[#This Row],[GRDS ITEM NO]],RETENTION1,4,0)</f>
        <v>1</v>
      </c>
      <c r="M253" s="169">
        <f>Table1[[#This Row],[RETENTION PERIOD]]-Table1[[#This Row],[NO. YEARS AS OF 2024]]</f>
        <v>-6</v>
      </c>
      <c r="N253" s="163"/>
      <c r="O253" s="145"/>
      <c r="P253" s="145" t="s">
        <v>20</v>
      </c>
    </row>
    <row r="254" spans="1:16" s="171" customFormat="1" x14ac:dyDescent="0.65">
      <c r="A254" s="178" t="s">
        <v>260</v>
      </c>
      <c r="B254" s="163">
        <v>10</v>
      </c>
      <c r="C254" s="164" t="str">
        <f t="shared" si="42"/>
        <v>H02-23-004-2410</v>
      </c>
      <c r="D254" s="165">
        <v>45353</v>
      </c>
      <c r="E254" s="183" t="str">
        <f t="shared" si="44"/>
        <v>SSSRDS 49</v>
      </c>
      <c r="F254" s="184" t="str">
        <f t="shared" si="41"/>
        <v>EMPLOYEE-MEMBER APPLICATIONS (E1, E4, NW1, OW1, RS1)</v>
      </c>
      <c r="G254" s="185" t="str">
        <f t="shared" si="43"/>
        <v>TELLERING SECTION</v>
      </c>
      <c r="H254" s="185" t="s">
        <v>267</v>
      </c>
      <c r="I254" s="186" t="s">
        <v>268</v>
      </c>
      <c r="J254" s="163">
        <v>2019</v>
      </c>
      <c r="K254" s="169">
        <f>2024-Table1[[#This Row],[LATEST YEAR]]</f>
        <v>5</v>
      </c>
      <c r="L254" s="169">
        <f>VLOOKUP(Table1[[#This Row],[GRDS ITEM NO]],RETENTION1,4,0)</f>
        <v>1</v>
      </c>
      <c r="M254" s="169">
        <f>Table1[[#This Row],[RETENTION PERIOD]]-Table1[[#This Row],[NO. YEARS AS OF 2024]]</f>
        <v>-4</v>
      </c>
      <c r="N254" s="163"/>
      <c r="O254" s="145"/>
      <c r="P254" s="145" t="s">
        <v>20</v>
      </c>
    </row>
    <row r="255" spans="1:16" s="171" customFormat="1" x14ac:dyDescent="0.65">
      <c r="A255" s="178" t="s">
        <v>260</v>
      </c>
      <c r="B255" s="163">
        <v>11</v>
      </c>
      <c r="C255" s="164" t="str">
        <f t="shared" si="42"/>
        <v>H02-23-004-2411</v>
      </c>
      <c r="D255" s="165">
        <v>45353</v>
      </c>
      <c r="E255" s="179" t="s">
        <v>22</v>
      </c>
      <c r="F255" s="180" t="str">
        <f t="shared" si="41"/>
        <v>APPLICATIONS (RD,RO,EC MED, RF, MAT, SO, RR, SS, PLP, ACOP)</v>
      </c>
      <c r="G255" s="181" t="str">
        <f t="shared" si="43"/>
        <v>TELLERING SECTION</v>
      </c>
      <c r="H255" s="181" t="s">
        <v>35</v>
      </c>
      <c r="I255" s="182" t="s">
        <v>269</v>
      </c>
      <c r="J255" s="163">
        <v>2015</v>
      </c>
      <c r="K255" s="169">
        <f>2024-Table1[[#This Row],[LATEST YEAR]]</f>
        <v>9</v>
      </c>
      <c r="L255" s="169">
        <f>VLOOKUP(Table1[[#This Row],[GRDS ITEM NO]],RETENTION1,4,0)</f>
        <v>1</v>
      </c>
      <c r="M255" s="169">
        <f>Table1[[#This Row],[RETENTION PERIOD]]-Table1[[#This Row],[NO. YEARS AS OF 2024]]</f>
        <v>-8</v>
      </c>
      <c r="N255" s="163"/>
      <c r="O255" s="145"/>
      <c r="P255" s="145" t="s">
        <v>20</v>
      </c>
    </row>
    <row r="256" spans="1:16" s="171" customFormat="1" x14ac:dyDescent="0.65">
      <c r="A256" s="178" t="s">
        <v>260</v>
      </c>
      <c r="B256" s="163">
        <v>12</v>
      </c>
      <c r="C256" s="164" t="str">
        <f t="shared" si="42"/>
        <v>H02-23-004-2412</v>
      </c>
      <c r="D256" s="165">
        <v>45353</v>
      </c>
      <c r="E256" s="183" t="s">
        <v>22</v>
      </c>
      <c r="F256" s="184" t="str">
        <f t="shared" si="41"/>
        <v>APPLICATIONS (RD,RO,EC MED, RF, MAT, SO, RR, SS, PLP, ACOP)</v>
      </c>
      <c r="G256" s="185" t="str">
        <f t="shared" si="43"/>
        <v>TELLERING SECTION</v>
      </c>
      <c r="H256" s="185" t="s">
        <v>35</v>
      </c>
      <c r="I256" s="186" t="s">
        <v>270</v>
      </c>
      <c r="J256" s="163">
        <v>2015</v>
      </c>
      <c r="K256" s="169">
        <f>2024-Table1[[#This Row],[LATEST YEAR]]</f>
        <v>9</v>
      </c>
      <c r="L256" s="169">
        <f>VLOOKUP(Table1[[#This Row],[GRDS ITEM NO]],RETENTION1,4,0)</f>
        <v>1</v>
      </c>
      <c r="M256" s="169">
        <f>Table1[[#This Row],[RETENTION PERIOD]]-Table1[[#This Row],[NO. YEARS AS OF 2024]]</f>
        <v>-8</v>
      </c>
      <c r="N256" s="163"/>
      <c r="O256" s="145"/>
      <c r="P256" s="145" t="s">
        <v>20</v>
      </c>
    </row>
    <row r="257" spans="1:16" s="171" customFormat="1" x14ac:dyDescent="0.65">
      <c r="A257" s="178" t="s">
        <v>260</v>
      </c>
      <c r="B257" s="163">
        <v>13</v>
      </c>
      <c r="C257" s="164" t="str">
        <f t="shared" si="42"/>
        <v>H02-23-004-2413</v>
      </c>
      <c r="D257" s="165">
        <v>45353</v>
      </c>
      <c r="E257" s="179" t="s">
        <v>80</v>
      </c>
      <c r="F257" s="180" t="str">
        <f t="shared" si="41"/>
        <v>EMPLOYEE-MEMBER APPLICATIONS (E1, E4, NW1, OW1, RS1)</v>
      </c>
      <c r="G257" s="181" t="str">
        <f t="shared" si="43"/>
        <v>TELLERING SECTION</v>
      </c>
      <c r="H257" s="181" t="s">
        <v>209</v>
      </c>
      <c r="I257" s="182">
        <v>2018</v>
      </c>
      <c r="J257" s="163">
        <v>2018</v>
      </c>
      <c r="K257" s="169">
        <f>2024-Table1[[#This Row],[LATEST YEAR]]</f>
        <v>6</v>
      </c>
      <c r="L257" s="169">
        <f>VLOOKUP(Table1[[#This Row],[GRDS ITEM NO]],RETENTION1,4,0)</f>
        <v>1</v>
      </c>
      <c r="M257" s="169">
        <f>Table1[[#This Row],[RETENTION PERIOD]]-Table1[[#This Row],[NO. YEARS AS OF 2024]]</f>
        <v>-5</v>
      </c>
      <c r="N257" s="163"/>
      <c r="O257" s="145"/>
      <c r="P257" s="145" t="s">
        <v>20</v>
      </c>
    </row>
    <row r="258" spans="1:16" s="171" customFormat="1" x14ac:dyDescent="0.65">
      <c r="A258" s="178" t="s">
        <v>260</v>
      </c>
      <c r="B258" s="163">
        <v>14</v>
      </c>
      <c r="C258" s="164" t="str">
        <f t="shared" si="42"/>
        <v>H02-23-004-2414</v>
      </c>
      <c r="D258" s="165">
        <v>45353</v>
      </c>
      <c r="E258" s="183" t="s">
        <v>80</v>
      </c>
      <c r="F258" s="184" t="str">
        <f t="shared" si="41"/>
        <v>EMPLOYEE-MEMBER APPLICATIONS (E1, E4, NW1, OW1, RS1)</v>
      </c>
      <c r="G258" s="185" t="str">
        <f t="shared" si="43"/>
        <v>TELLERING SECTION</v>
      </c>
      <c r="H258" s="185" t="s">
        <v>267</v>
      </c>
      <c r="I258" s="186" t="s">
        <v>271</v>
      </c>
      <c r="J258" s="163">
        <v>2017</v>
      </c>
      <c r="K258" s="169">
        <f>2024-Table1[[#This Row],[LATEST YEAR]]</f>
        <v>7</v>
      </c>
      <c r="L258" s="169">
        <f>VLOOKUP(Table1[[#This Row],[GRDS ITEM NO]],RETENTION1,4,0)</f>
        <v>1</v>
      </c>
      <c r="M258" s="169">
        <f>Table1[[#This Row],[RETENTION PERIOD]]-Table1[[#This Row],[NO. YEARS AS OF 2024]]</f>
        <v>-6</v>
      </c>
      <c r="N258" s="163"/>
      <c r="O258" s="145"/>
      <c r="P258" s="145" t="s">
        <v>20</v>
      </c>
    </row>
    <row r="259" spans="1:16" s="171" customFormat="1" x14ac:dyDescent="0.65">
      <c r="A259" s="178" t="s">
        <v>260</v>
      </c>
      <c r="B259" s="163">
        <v>15</v>
      </c>
      <c r="C259" s="164" t="str">
        <f t="shared" si="42"/>
        <v>H02-23-004-2415</v>
      </c>
      <c r="D259" s="165">
        <v>45353</v>
      </c>
      <c r="E259" s="179" t="s">
        <v>80</v>
      </c>
      <c r="F259" s="180" t="str">
        <f t="shared" si="41"/>
        <v>EMPLOYEE-MEMBER APPLICATIONS (E1, E4, NW1, OW1, RS1)</v>
      </c>
      <c r="G259" s="181" t="str">
        <f t="shared" si="43"/>
        <v>TELLERING SECTION</v>
      </c>
      <c r="H259" s="181" t="s">
        <v>267</v>
      </c>
      <c r="I259" s="182">
        <v>2022</v>
      </c>
      <c r="J259" s="163">
        <v>2022</v>
      </c>
      <c r="K259" s="169">
        <f>2024-Table1[[#This Row],[LATEST YEAR]]</f>
        <v>2</v>
      </c>
      <c r="L259" s="169">
        <f>VLOOKUP(Table1[[#This Row],[GRDS ITEM NO]],RETENTION1,4,0)</f>
        <v>1</v>
      </c>
      <c r="M259" s="169">
        <f>Table1[[#This Row],[RETENTION PERIOD]]-Table1[[#This Row],[NO. YEARS AS OF 2024]]</f>
        <v>-1</v>
      </c>
      <c r="N259" s="163"/>
      <c r="O259" s="145"/>
      <c r="P259" s="145" t="s">
        <v>20</v>
      </c>
    </row>
    <row r="260" spans="1:16" s="171" customFormat="1" x14ac:dyDescent="0.65">
      <c r="A260" s="178" t="s">
        <v>260</v>
      </c>
      <c r="B260" s="163">
        <v>16</v>
      </c>
      <c r="C260" s="164" t="str">
        <f t="shared" si="42"/>
        <v>H02-23-004-2416</v>
      </c>
      <c r="D260" s="165">
        <v>45353</v>
      </c>
      <c r="E260" s="183" t="s">
        <v>80</v>
      </c>
      <c r="F260" s="184" t="str">
        <f t="shared" si="41"/>
        <v>EMPLOYEE-MEMBER APPLICATIONS (E1, E4, NW1, OW1, RS1)</v>
      </c>
      <c r="G260" s="185" t="str">
        <f t="shared" si="43"/>
        <v>TELLERING SECTION</v>
      </c>
      <c r="H260" s="185" t="s">
        <v>272</v>
      </c>
      <c r="I260" s="186">
        <v>2021</v>
      </c>
      <c r="J260" s="163">
        <v>2021</v>
      </c>
      <c r="K260" s="169">
        <f>2024-Table1[[#This Row],[LATEST YEAR]]</f>
        <v>3</v>
      </c>
      <c r="L260" s="169">
        <f>VLOOKUP(Table1[[#This Row],[GRDS ITEM NO]],RETENTION1,4,0)</f>
        <v>1</v>
      </c>
      <c r="M260" s="169">
        <f>Table1[[#This Row],[RETENTION PERIOD]]-Table1[[#This Row],[NO. YEARS AS OF 2024]]</f>
        <v>-2</v>
      </c>
      <c r="N260" s="163"/>
      <c r="O260" s="145"/>
      <c r="P260" s="145" t="s">
        <v>20</v>
      </c>
    </row>
    <row r="261" spans="1:16" s="171" customFormat="1" x14ac:dyDescent="0.65">
      <c r="A261" s="178" t="s">
        <v>260</v>
      </c>
      <c r="B261" s="163">
        <v>17</v>
      </c>
      <c r="C261" s="164" t="str">
        <f t="shared" si="42"/>
        <v>H02-23-004-2417</v>
      </c>
      <c r="D261" s="165">
        <v>45353</v>
      </c>
      <c r="E261" s="179" t="s">
        <v>80</v>
      </c>
      <c r="F261" s="180" t="str">
        <f t="shared" si="41"/>
        <v>EMPLOYEE-MEMBER APPLICATIONS (E1, E4, NW1, OW1, RS1)</v>
      </c>
      <c r="G261" s="181" t="str">
        <f t="shared" si="43"/>
        <v>TELLERING SECTION</v>
      </c>
      <c r="H261" s="181" t="s">
        <v>272</v>
      </c>
      <c r="I261" s="182" t="s">
        <v>273</v>
      </c>
      <c r="J261" s="163">
        <v>2022</v>
      </c>
      <c r="K261" s="169">
        <f>2024-Table1[[#This Row],[LATEST YEAR]]</f>
        <v>2</v>
      </c>
      <c r="L261" s="169">
        <f>VLOOKUP(Table1[[#This Row],[GRDS ITEM NO]],RETENTION1,4,0)</f>
        <v>1</v>
      </c>
      <c r="M261" s="169">
        <f>Table1[[#This Row],[RETENTION PERIOD]]-Table1[[#This Row],[NO. YEARS AS OF 2024]]</f>
        <v>-1</v>
      </c>
      <c r="N261" s="163"/>
      <c r="O261" s="145"/>
      <c r="P261" s="145" t="s">
        <v>20</v>
      </c>
    </row>
    <row r="262" spans="1:16" s="171" customFormat="1" x14ac:dyDescent="0.65">
      <c r="A262" s="178" t="s">
        <v>260</v>
      </c>
      <c r="B262" s="163">
        <v>18</v>
      </c>
      <c r="C262" s="164" t="str">
        <f t="shared" si="42"/>
        <v>H02-23-004-2418</v>
      </c>
      <c r="D262" s="165">
        <v>45353</v>
      </c>
      <c r="E262" s="183" t="s">
        <v>80</v>
      </c>
      <c r="F262" s="184" t="str">
        <f t="shared" si="41"/>
        <v>EMPLOYEE-MEMBER APPLICATIONS (E1, E4, NW1, OW1, RS1)</v>
      </c>
      <c r="G262" s="185" t="str">
        <f t="shared" si="43"/>
        <v>TELLERING SECTION</v>
      </c>
      <c r="H262" s="185" t="s">
        <v>274</v>
      </c>
      <c r="I262" s="186">
        <v>2019</v>
      </c>
      <c r="J262" s="163">
        <v>2019</v>
      </c>
      <c r="K262" s="169">
        <f>2024-Table1[[#This Row],[LATEST YEAR]]</f>
        <v>5</v>
      </c>
      <c r="L262" s="169">
        <f>VLOOKUP(Table1[[#This Row],[GRDS ITEM NO]],RETENTION1,4,0)</f>
        <v>1</v>
      </c>
      <c r="M262" s="169">
        <f>Table1[[#This Row],[RETENTION PERIOD]]-Table1[[#This Row],[NO. YEARS AS OF 2024]]</f>
        <v>-4</v>
      </c>
      <c r="N262" s="163"/>
      <c r="O262" s="145"/>
      <c r="P262" s="145" t="s">
        <v>20</v>
      </c>
    </row>
    <row r="263" spans="1:16" s="171" customFormat="1" x14ac:dyDescent="0.65">
      <c r="A263" s="178" t="s">
        <v>260</v>
      </c>
      <c r="B263" s="163">
        <v>19</v>
      </c>
      <c r="C263" s="164" t="str">
        <f t="shared" si="42"/>
        <v>H02-23-004-2419</v>
      </c>
      <c r="D263" s="165">
        <v>45353</v>
      </c>
      <c r="E263" s="179" t="s">
        <v>80</v>
      </c>
      <c r="F263" s="180" t="str">
        <f t="shared" si="41"/>
        <v>EMPLOYEE-MEMBER APPLICATIONS (E1, E4, NW1, OW1, RS1)</v>
      </c>
      <c r="G263" s="181" t="str">
        <f t="shared" si="43"/>
        <v>TELLERING SECTION</v>
      </c>
      <c r="H263" s="181" t="s">
        <v>211</v>
      </c>
      <c r="I263" s="182">
        <v>2018</v>
      </c>
      <c r="J263" s="163">
        <v>2018</v>
      </c>
      <c r="K263" s="169">
        <f>2024-Table1[[#This Row],[LATEST YEAR]]</f>
        <v>6</v>
      </c>
      <c r="L263" s="169">
        <f>VLOOKUP(Table1[[#This Row],[GRDS ITEM NO]],RETENTION1,4,0)</f>
        <v>1</v>
      </c>
      <c r="M263" s="169">
        <f>Table1[[#This Row],[RETENTION PERIOD]]-Table1[[#This Row],[NO. YEARS AS OF 2024]]</f>
        <v>-5</v>
      </c>
      <c r="N263" s="163"/>
      <c r="O263" s="145"/>
      <c r="P263" s="145" t="s">
        <v>20</v>
      </c>
    </row>
    <row r="264" spans="1:16" s="171" customFormat="1" x14ac:dyDescent="0.65">
      <c r="A264" s="178" t="s">
        <v>260</v>
      </c>
      <c r="B264" s="163">
        <v>20</v>
      </c>
      <c r="C264" s="164" t="str">
        <f t="shared" si="42"/>
        <v>H02-23-004-2420</v>
      </c>
      <c r="D264" s="165">
        <v>45353</v>
      </c>
      <c r="E264" s="183" t="s">
        <v>80</v>
      </c>
      <c r="F264" s="184" t="str">
        <f t="shared" si="41"/>
        <v>EMPLOYEE-MEMBER APPLICATIONS (E1, E4, NW1, OW1, RS1)</v>
      </c>
      <c r="G264" s="185" t="str">
        <f t="shared" si="43"/>
        <v>TELLERING SECTION</v>
      </c>
      <c r="H264" s="185" t="s">
        <v>275</v>
      </c>
      <c r="I264" s="186">
        <v>2021</v>
      </c>
      <c r="J264" s="163">
        <v>2021</v>
      </c>
      <c r="K264" s="169">
        <f>2024-Table1[[#This Row],[LATEST YEAR]]</f>
        <v>3</v>
      </c>
      <c r="L264" s="169">
        <f>VLOOKUP(Table1[[#This Row],[GRDS ITEM NO]],RETENTION1,4,0)</f>
        <v>1</v>
      </c>
      <c r="M264" s="169">
        <f>Table1[[#This Row],[RETENTION PERIOD]]-Table1[[#This Row],[NO. YEARS AS OF 2024]]</f>
        <v>-2</v>
      </c>
      <c r="N264" s="163"/>
      <c r="O264" s="145"/>
      <c r="P264" s="145" t="s">
        <v>20</v>
      </c>
    </row>
    <row r="265" spans="1:16" s="171" customFormat="1" x14ac:dyDescent="0.65">
      <c r="A265" s="178" t="s">
        <v>260</v>
      </c>
      <c r="B265" s="163">
        <v>21</v>
      </c>
      <c r="C265" s="164" t="str">
        <f t="shared" si="42"/>
        <v>H02-23-004-2421</v>
      </c>
      <c r="D265" s="165">
        <v>45353</v>
      </c>
      <c r="E265" s="179" t="s">
        <v>80</v>
      </c>
      <c r="F265" s="180" t="str">
        <f t="shared" si="41"/>
        <v>EMPLOYEE-MEMBER APPLICATIONS (E1, E4, NW1, OW1, RS1)</v>
      </c>
      <c r="G265" s="181" t="str">
        <f t="shared" si="43"/>
        <v>TELLERING SECTION</v>
      </c>
      <c r="H265" s="181" t="s">
        <v>276</v>
      </c>
      <c r="I265" s="182" t="s">
        <v>277</v>
      </c>
      <c r="J265" s="163">
        <v>2015</v>
      </c>
      <c r="K265" s="169">
        <f>2024-Table1[[#This Row],[LATEST YEAR]]</f>
        <v>9</v>
      </c>
      <c r="L265" s="169">
        <f>VLOOKUP(Table1[[#This Row],[GRDS ITEM NO]],RETENTION1,4,0)</f>
        <v>1</v>
      </c>
      <c r="M265" s="169">
        <f>Table1[[#This Row],[RETENTION PERIOD]]-Table1[[#This Row],[NO. YEARS AS OF 2024]]</f>
        <v>-8</v>
      </c>
      <c r="N265" s="163"/>
      <c r="O265" s="145"/>
      <c r="P265" s="145" t="s">
        <v>20</v>
      </c>
    </row>
    <row r="266" spans="1:16" s="171" customFormat="1" x14ac:dyDescent="0.65">
      <c r="A266" s="178" t="s">
        <v>260</v>
      </c>
      <c r="B266" s="163">
        <v>22</v>
      </c>
      <c r="C266" s="164" t="str">
        <f t="shared" si="42"/>
        <v>H02-23-004-2422</v>
      </c>
      <c r="D266" s="165">
        <v>45353</v>
      </c>
      <c r="E266" s="183" t="s">
        <v>22</v>
      </c>
      <c r="F266" s="184" t="str">
        <f t="shared" si="41"/>
        <v>APPLICATIONS (RD,RO,EC MED, RF, MAT, SO, RR, SS, PLP, ACOP)</v>
      </c>
      <c r="G266" s="185" t="str">
        <f t="shared" si="43"/>
        <v>TELLERING SECTION</v>
      </c>
      <c r="H266" s="185" t="s">
        <v>35</v>
      </c>
      <c r="I266" s="186" t="s">
        <v>278</v>
      </c>
      <c r="J266" s="163">
        <v>2014</v>
      </c>
      <c r="K266" s="169">
        <f>2024-Table1[[#This Row],[LATEST YEAR]]</f>
        <v>10</v>
      </c>
      <c r="L266" s="169">
        <f>VLOOKUP(Table1[[#This Row],[GRDS ITEM NO]],RETENTION1,4,0)</f>
        <v>1</v>
      </c>
      <c r="M266" s="169">
        <f>Table1[[#This Row],[RETENTION PERIOD]]-Table1[[#This Row],[NO. YEARS AS OF 2024]]</f>
        <v>-9</v>
      </c>
      <c r="N266" s="163"/>
      <c r="O266" s="145"/>
      <c r="P266" s="145" t="s">
        <v>20</v>
      </c>
    </row>
    <row r="267" spans="1:16" s="171" customFormat="1" x14ac:dyDescent="0.65">
      <c r="A267" s="178" t="s">
        <v>260</v>
      </c>
      <c r="B267" s="163">
        <v>23</v>
      </c>
      <c r="C267" s="164" t="str">
        <f t="shared" si="42"/>
        <v>H02-23-004-2423</v>
      </c>
      <c r="D267" s="165">
        <v>45353</v>
      </c>
      <c r="E267" s="179" t="s">
        <v>22</v>
      </c>
      <c r="F267" s="180" t="str">
        <f t="shared" si="41"/>
        <v>APPLICATIONS (RD,RO,EC MED, RF, MAT, SO, RR, SS, PLP, ACOP)</v>
      </c>
      <c r="G267" s="181" t="str">
        <f t="shared" si="43"/>
        <v>TELLERING SECTION</v>
      </c>
      <c r="H267" s="181" t="s">
        <v>35</v>
      </c>
      <c r="I267" s="182" t="s">
        <v>279</v>
      </c>
      <c r="J267" s="163">
        <v>2013</v>
      </c>
      <c r="K267" s="169">
        <f>2024-Table1[[#This Row],[LATEST YEAR]]</f>
        <v>11</v>
      </c>
      <c r="L267" s="169">
        <f>VLOOKUP(Table1[[#This Row],[GRDS ITEM NO]],RETENTION1,4,0)</f>
        <v>1</v>
      </c>
      <c r="M267" s="169">
        <f>Table1[[#This Row],[RETENTION PERIOD]]-Table1[[#This Row],[NO. YEARS AS OF 2024]]</f>
        <v>-10</v>
      </c>
      <c r="N267" s="163"/>
      <c r="O267" s="145"/>
      <c r="P267" s="145" t="s">
        <v>20</v>
      </c>
    </row>
    <row r="268" spans="1:16" s="171" customFormat="1" x14ac:dyDescent="0.65">
      <c r="A268" s="178" t="s">
        <v>260</v>
      </c>
      <c r="B268" s="163">
        <v>24</v>
      </c>
      <c r="C268" s="164" t="str">
        <f t="shared" si="42"/>
        <v>H02-23-004-2424</v>
      </c>
      <c r="D268" s="165">
        <v>45353</v>
      </c>
      <c r="E268" s="183" t="s">
        <v>22</v>
      </c>
      <c r="F268" s="184" t="str">
        <f t="shared" si="41"/>
        <v>APPLICATIONS (RD,RO,EC MED, RF, MAT, SO, RR, SS, PLP, ACOP)</v>
      </c>
      <c r="G268" s="185" t="str">
        <f>G267</f>
        <v>TELLERING SECTION</v>
      </c>
      <c r="H268" s="185" t="s">
        <v>35</v>
      </c>
      <c r="I268" s="186" t="s">
        <v>280</v>
      </c>
      <c r="J268" s="163">
        <v>2014</v>
      </c>
      <c r="K268" s="169">
        <f>2024-Table1[[#This Row],[LATEST YEAR]]</f>
        <v>10</v>
      </c>
      <c r="L268" s="169">
        <f>VLOOKUP(Table1[[#This Row],[GRDS ITEM NO]],RETENTION1,4,0)</f>
        <v>1</v>
      </c>
      <c r="M268" s="169">
        <f>Table1[[#This Row],[RETENTION PERIOD]]-Table1[[#This Row],[NO. YEARS AS OF 2024]]</f>
        <v>-9</v>
      </c>
      <c r="N268" s="163"/>
      <c r="O268" s="145"/>
      <c r="P268" s="145" t="s">
        <v>20</v>
      </c>
    </row>
    <row r="269" spans="1:16" s="171" customFormat="1" x14ac:dyDescent="0.65">
      <c r="A269" s="178" t="s">
        <v>260</v>
      </c>
      <c r="B269" s="163">
        <v>25</v>
      </c>
      <c r="C269" s="164" t="str">
        <f t="shared" si="42"/>
        <v>H02-23-004-2425</v>
      </c>
      <c r="D269" s="165">
        <v>45353</v>
      </c>
      <c r="E269" s="179" t="s">
        <v>80</v>
      </c>
      <c r="F269" s="180" t="str">
        <f t="shared" si="41"/>
        <v>EMPLOYEE-MEMBER APPLICATIONS (E1, E4, NW1, OW1, RS1)</v>
      </c>
      <c r="G269" s="181" t="str">
        <f>G268</f>
        <v>TELLERING SECTION</v>
      </c>
      <c r="H269" s="181" t="s">
        <v>264</v>
      </c>
      <c r="I269" s="182" t="s">
        <v>281</v>
      </c>
      <c r="J269" s="163">
        <v>2014</v>
      </c>
      <c r="K269" s="169">
        <f>2024-Table1[[#This Row],[LATEST YEAR]]</f>
        <v>10</v>
      </c>
      <c r="L269" s="169">
        <f>VLOOKUP(Table1[[#This Row],[GRDS ITEM NO]],RETENTION1,4,0)</f>
        <v>1</v>
      </c>
      <c r="M269" s="169">
        <f>Table1[[#This Row],[RETENTION PERIOD]]-Table1[[#This Row],[NO. YEARS AS OF 2024]]</f>
        <v>-9</v>
      </c>
      <c r="N269" s="163"/>
      <c r="O269" s="145"/>
      <c r="P269" s="145" t="s">
        <v>20</v>
      </c>
    </row>
    <row r="270" spans="1:16" s="171" customFormat="1" x14ac:dyDescent="0.65">
      <c r="A270" s="178" t="s">
        <v>282</v>
      </c>
      <c r="B270" s="163">
        <v>1</v>
      </c>
      <c r="C270" s="164" t="str">
        <f>_xlfn.CONCAT(A270,B270)</f>
        <v>H02-24-0051</v>
      </c>
      <c r="D270" s="165">
        <v>45353</v>
      </c>
      <c r="E270" s="179" t="s">
        <v>80</v>
      </c>
      <c r="F270" s="166" t="str">
        <f t="shared" si="41"/>
        <v>EMPLOYEE-MEMBER APPLICATIONS (E1, E4, NW1, OW1, RS1)</v>
      </c>
      <c r="G270" s="181" t="s">
        <v>34</v>
      </c>
      <c r="H270" s="167" t="s">
        <v>283</v>
      </c>
      <c r="I270" s="168" t="s">
        <v>284</v>
      </c>
      <c r="J270" s="163">
        <v>2017</v>
      </c>
      <c r="K270" s="169">
        <f>2024-Table1[[#This Row],[LATEST YEAR]]</f>
        <v>7</v>
      </c>
      <c r="L270" s="169">
        <f>VLOOKUP(Table1[[#This Row],[GRDS ITEM NO]],RETENTION1,4,0)</f>
        <v>1</v>
      </c>
      <c r="M270" s="169">
        <f>Table1[[#This Row],[RETENTION PERIOD]]-Table1[[#This Row],[NO. YEARS AS OF 2024]]</f>
        <v>-6</v>
      </c>
      <c r="N270" s="163"/>
      <c r="O270" s="145"/>
      <c r="P270" s="145" t="s">
        <v>20</v>
      </c>
    </row>
    <row r="271" spans="1:16" s="171" customFormat="1" x14ac:dyDescent="0.65">
      <c r="A271" s="178" t="s">
        <v>282</v>
      </c>
      <c r="B271" s="163">
        <v>2</v>
      </c>
      <c r="C271" s="164" t="str">
        <f t="shared" si="42"/>
        <v>H02-24-0052</v>
      </c>
      <c r="D271" s="187">
        <v>45353</v>
      </c>
      <c r="E271" s="179" t="s">
        <v>80</v>
      </c>
      <c r="F271" s="166" t="str">
        <f t="shared" si="41"/>
        <v>EMPLOYEE-MEMBER APPLICATIONS (E1, E4, NW1, OW1, RS1)</v>
      </c>
      <c r="G271" s="181" t="s">
        <v>34</v>
      </c>
      <c r="H271" s="167" t="s">
        <v>283</v>
      </c>
      <c r="I271" s="168">
        <v>2018</v>
      </c>
      <c r="J271" s="163">
        <v>2018</v>
      </c>
      <c r="K271" s="169">
        <f>2024-Table1[[#This Row],[LATEST YEAR]]</f>
        <v>6</v>
      </c>
      <c r="L271" s="169">
        <f>VLOOKUP(Table1[[#This Row],[GRDS ITEM NO]],RETENTION1,4,0)</f>
        <v>1</v>
      </c>
      <c r="M271" s="169">
        <f>Table1[[#This Row],[RETENTION PERIOD]]-Table1[[#This Row],[NO. YEARS AS OF 2024]]</f>
        <v>-5</v>
      </c>
      <c r="N271" s="163"/>
      <c r="O271" s="145"/>
      <c r="P271" s="145" t="s">
        <v>20</v>
      </c>
    </row>
    <row r="272" spans="1:16" s="171" customFormat="1" x14ac:dyDescent="0.65">
      <c r="A272" s="178" t="s">
        <v>282</v>
      </c>
      <c r="B272" s="163">
        <v>3</v>
      </c>
      <c r="C272" s="164" t="str">
        <f t="shared" si="42"/>
        <v>H02-24-0053</v>
      </c>
      <c r="D272" s="187">
        <v>45353</v>
      </c>
      <c r="E272" s="179" t="s">
        <v>80</v>
      </c>
      <c r="F272" s="166" t="str">
        <f t="shared" si="41"/>
        <v>EMPLOYEE-MEMBER APPLICATIONS (E1, E4, NW1, OW1, RS1)</v>
      </c>
      <c r="G272" s="181" t="s">
        <v>34</v>
      </c>
      <c r="H272" s="167" t="s">
        <v>283</v>
      </c>
      <c r="I272" s="168" t="s">
        <v>285</v>
      </c>
      <c r="J272" s="163">
        <v>2017</v>
      </c>
      <c r="K272" s="169">
        <f>2024-Table1[[#This Row],[LATEST YEAR]]</f>
        <v>7</v>
      </c>
      <c r="L272" s="169">
        <f>VLOOKUP(Table1[[#This Row],[GRDS ITEM NO]],RETENTION1,4,0)</f>
        <v>1</v>
      </c>
      <c r="M272" s="169">
        <f>Table1[[#This Row],[RETENTION PERIOD]]-Table1[[#This Row],[NO. YEARS AS OF 2024]]</f>
        <v>-6</v>
      </c>
      <c r="N272" s="163"/>
      <c r="O272" s="145"/>
      <c r="P272" s="145" t="s">
        <v>20</v>
      </c>
    </row>
    <row r="273" spans="1:16" s="171" customFormat="1" x14ac:dyDescent="0.65">
      <c r="A273" s="178" t="s">
        <v>282</v>
      </c>
      <c r="B273" s="163">
        <v>4</v>
      </c>
      <c r="C273" s="164" t="str">
        <f t="shared" si="42"/>
        <v>H02-24-0054</v>
      </c>
      <c r="D273" s="187">
        <v>45353</v>
      </c>
      <c r="E273" s="179" t="s">
        <v>80</v>
      </c>
      <c r="F273" s="166" t="str">
        <f t="shared" si="41"/>
        <v>EMPLOYEE-MEMBER APPLICATIONS (E1, E4, NW1, OW1, RS1)</v>
      </c>
      <c r="G273" s="181" t="s">
        <v>34</v>
      </c>
      <c r="H273" s="167" t="s">
        <v>283</v>
      </c>
      <c r="I273" s="168" t="s">
        <v>286</v>
      </c>
      <c r="J273" s="163">
        <v>2020</v>
      </c>
      <c r="K273" s="169">
        <f>2024-Table1[[#This Row],[LATEST YEAR]]</f>
        <v>4</v>
      </c>
      <c r="L273" s="169">
        <f>VLOOKUP(Table1[[#This Row],[GRDS ITEM NO]],RETENTION1,4,0)</f>
        <v>1</v>
      </c>
      <c r="M273" s="169">
        <f>Table1[[#This Row],[RETENTION PERIOD]]-Table1[[#This Row],[NO. YEARS AS OF 2024]]</f>
        <v>-3</v>
      </c>
      <c r="N273" s="163"/>
      <c r="O273" s="145"/>
      <c r="P273" s="145" t="s">
        <v>20</v>
      </c>
    </row>
    <row r="274" spans="1:16" s="171" customFormat="1" x14ac:dyDescent="0.65">
      <c r="A274" s="178" t="s">
        <v>282</v>
      </c>
      <c r="B274" s="163">
        <v>5</v>
      </c>
      <c r="C274" s="164" t="str">
        <f t="shared" si="42"/>
        <v>H02-24-0055</v>
      </c>
      <c r="D274" s="187">
        <v>45353</v>
      </c>
      <c r="E274" s="179" t="s">
        <v>80</v>
      </c>
      <c r="F274" s="166" t="str">
        <f t="shared" ref="F274:F305" si="45">VLOOKUP(E274,DESCRIP,2,0)</f>
        <v>EMPLOYEE-MEMBER APPLICATIONS (E1, E4, NW1, OW1, RS1)</v>
      </c>
      <c r="G274" s="181" t="s">
        <v>34</v>
      </c>
      <c r="H274" s="167" t="s">
        <v>283</v>
      </c>
      <c r="I274" s="168">
        <v>2015</v>
      </c>
      <c r="J274" s="162">
        <v>2015</v>
      </c>
      <c r="K274" s="169">
        <f>2024-Table1[[#This Row],[LATEST YEAR]]</f>
        <v>9</v>
      </c>
      <c r="L274" s="169">
        <f>VLOOKUP(Table1[[#This Row],[GRDS ITEM NO]],RETENTION1,4,0)</f>
        <v>1</v>
      </c>
      <c r="M274" s="169">
        <f>Table1[[#This Row],[RETENTION PERIOD]]-Table1[[#This Row],[NO. YEARS AS OF 2024]]</f>
        <v>-8</v>
      </c>
      <c r="N274" s="163"/>
      <c r="O274" s="145"/>
      <c r="P274" s="145" t="s">
        <v>20</v>
      </c>
    </row>
    <row r="275" spans="1:16" s="171" customFormat="1" x14ac:dyDescent="0.65">
      <c r="A275" s="178" t="s">
        <v>282</v>
      </c>
      <c r="B275" s="163">
        <v>6</v>
      </c>
      <c r="C275" s="164" t="str">
        <f t="shared" si="42"/>
        <v>H02-24-0056</v>
      </c>
      <c r="D275" s="187">
        <v>45353</v>
      </c>
      <c r="E275" s="179" t="s">
        <v>22</v>
      </c>
      <c r="F275" s="180" t="str">
        <f t="shared" si="45"/>
        <v>APPLICATIONS (RD,RO,EC MED, RF, MAT, SO, RR, SS, PLP, ACOP)</v>
      </c>
      <c r="G275" s="181" t="s">
        <v>34</v>
      </c>
      <c r="H275" s="181" t="s">
        <v>35</v>
      </c>
      <c r="I275" s="168" t="s">
        <v>287</v>
      </c>
      <c r="J275" s="163">
        <v>2012</v>
      </c>
      <c r="K275" s="169">
        <f>2024-Table1[[#This Row],[LATEST YEAR]]</f>
        <v>12</v>
      </c>
      <c r="L275" s="169">
        <f>VLOOKUP(Table1[[#This Row],[GRDS ITEM NO]],RETENTION1,4,0)</f>
        <v>1</v>
      </c>
      <c r="M275" s="169">
        <f>Table1[[#This Row],[RETENTION PERIOD]]-Table1[[#This Row],[NO. YEARS AS OF 2024]]</f>
        <v>-11</v>
      </c>
      <c r="N275" s="163"/>
      <c r="O275" s="145"/>
      <c r="P275" s="145" t="s">
        <v>20</v>
      </c>
    </row>
    <row r="276" spans="1:16" s="171" customFormat="1" x14ac:dyDescent="0.65">
      <c r="A276" s="178" t="s">
        <v>282</v>
      </c>
      <c r="B276" s="163">
        <v>7</v>
      </c>
      <c r="C276" s="164" t="str">
        <f t="shared" si="42"/>
        <v>H02-24-0057</v>
      </c>
      <c r="D276" s="187">
        <v>45353</v>
      </c>
      <c r="E276" s="179" t="s">
        <v>80</v>
      </c>
      <c r="F276" s="166" t="str">
        <f t="shared" si="45"/>
        <v>EMPLOYEE-MEMBER APPLICATIONS (E1, E4, NW1, OW1, RS1)</v>
      </c>
      <c r="G276" s="181" t="s">
        <v>34</v>
      </c>
      <c r="H276" s="167" t="s">
        <v>211</v>
      </c>
      <c r="I276" s="168" t="s">
        <v>288</v>
      </c>
      <c r="J276" s="163">
        <v>2020</v>
      </c>
      <c r="K276" s="169">
        <f>2024-Table1[[#This Row],[LATEST YEAR]]</f>
        <v>4</v>
      </c>
      <c r="L276" s="169">
        <f>VLOOKUP(Table1[[#This Row],[GRDS ITEM NO]],RETENTION1,4,0)</f>
        <v>1</v>
      </c>
      <c r="M276" s="169">
        <f>Table1[[#This Row],[RETENTION PERIOD]]-Table1[[#This Row],[NO. YEARS AS OF 2024]]</f>
        <v>-3</v>
      </c>
      <c r="N276" s="163"/>
      <c r="O276" s="145"/>
      <c r="P276" s="145" t="s">
        <v>20</v>
      </c>
    </row>
    <row r="277" spans="1:16" s="171" customFormat="1" x14ac:dyDescent="0.65">
      <c r="A277" s="178" t="s">
        <v>282</v>
      </c>
      <c r="B277" s="163">
        <v>8</v>
      </c>
      <c r="C277" s="164" t="str">
        <f t="shared" si="42"/>
        <v>H02-24-0058</v>
      </c>
      <c r="D277" s="187">
        <v>45353</v>
      </c>
      <c r="E277" s="162" t="s">
        <v>104</v>
      </c>
      <c r="F277" s="166" t="str">
        <f t="shared" si="45"/>
        <v>EMPLOYER-MEMBER APPLICATIONS (R1, R1A, R8)</v>
      </c>
      <c r="G277" s="181" t="s">
        <v>34</v>
      </c>
      <c r="H277" s="167" t="s">
        <v>289</v>
      </c>
      <c r="I277" s="168" t="s">
        <v>290</v>
      </c>
      <c r="J277" s="163">
        <v>2021</v>
      </c>
      <c r="K277" s="169">
        <f>2024-Table1[[#This Row],[LATEST YEAR]]</f>
        <v>3</v>
      </c>
      <c r="L277" s="169">
        <f>VLOOKUP(Table1[[#This Row],[GRDS ITEM NO]],RETENTION1,4,0)</f>
        <v>1</v>
      </c>
      <c r="M277" s="169">
        <f>Table1[[#This Row],[RETENTION PERIOD]]-Table1[[#This Row],[NO. YEARS AS OF 2024]]</f>
        <v>-2</v>
      </c>
      <c r="N277" s="163"/>
      <c r="O277" s="145"/>
      <c r="P277" s="145" t="s">
        <v>20</v>
      </c>
    </row>
    <row r="278" spans="1:16" s="171" customFormat="1" x14ac:dyDescent="0.65">
      <c r="A278" s="178" t="s">
        <v>282</v>
      </c>
      <c r="B278" s="163">
        <v>9</v>
      </c>
      <c r="C278" s="164" t="str">
        <f t="shared" si="42"/>
        <v>H02-24-0059</v>
      </c>
      <c r="D278" s="187">
        <v>45353</v>
      </c>
      <c r="E278" s="179" t="s">
        <v>80</v>
      </c>
      <c r="F278" s="166" t="str">
        <f t="shared" si="45"/>
        <v>EMPLOYEE-MEMBER APPLICATIONS (E1, E4, NW1, OW1, RS1)</v>
      </c>
      <c r="G278" s="181" t="s">
        <v>34</v>
      </c>
      <c r="H278" s="167" t="s">
        <v>211</v>
      </c>
      <c r="I278" s="168">
        <v>2021</v>
      </c>
      <c r="J278" s="163">
        <v>2021</v>
      </c>
      <c r="K278" s="169">
        <f>2024-Table1[[#This Row],[LATEST YEAR]]</f>
        <v>3</v>
      </c>
      <c r="L278" s="169">
        <f>VLOOKUP(Table1[[#This Row],[GRDS ITEM NO]],RETENTION1,4,0)</f>
        <v>1</v>
      </c>
      <c r="M278" s="169">
        <f>Table1[[#This Row],[RETENTION PERIOD]]-Table1[[#This Row],[NO. YEARS AS OF 2024]]</f>
        <v>-2</v>
      </c>
      <c r="N278" s="163"/>
      <c r="O278" s="145"/>
      <c r="P278" s="145" t="s">
        <v>20</v>
      </c>
    </row>
    <row r="279" spans="1:16" s="223" customFormat="1" x14ac:dyDescent="0.65">
      <c r="A279" s="212" t="s">
        <v>282</v>
      </c>
      <c r="B279" s="213">
        <v>10</v>
      </c>
      <c r="C279" s="214" t="str">
        <f t="shared" si="42"/>
        <v>H02-24-00510</v>
      </c>
      <c r="D279" s="215">
        <v>45353</v>
      </c>
      <c r="E279" s="216" t="s">
        <v>80</v>
      </c>
      <c r="F279" s="217" t="str">
        <f t="shared" si="45"/>
        <v>EMPLOYEE-MEMBER APPLICATIONS (E1, E4, NW1, OW1, RS1)</v>
      </c>
      <c r="G279" s="218" t="s">
        <v>34</v>
      </c>
      <c r="H279" s="219" t="s">
        <v>211</v>
      </c>
      <c r="I279" s="220" t="s">
        <v>285</v>
      </c>
      <c r="J279" s="213">
        <v>2017</v>
      </c>
      <c r="K279" s="221">
        <f>2024-Table1[[#This Row],[LATEST YEAR]]</f>
        <v>7</v>
      </c>
      <c r="L279" s="221">
        <f>VLOOKUP(Table1[[#This Row],[GRDS ITEM NO]],RETENTION1,4,0)</f>
        <v>1</v>
      </c>
      <c r="M279" s="221">
        <f>Table1[[#This Row],[RETENTION PERIOD]]-Table1[[#This Row],[NO. YEARS AS OF 2024]]</f>
        <v>-6</v>
      </c>
      <c r="N279" s="213"/>
      <c r="O279" s="222"/>
      <c r="P279" s="145" t="s">
        <v>20</v>
      </c>
    </row>
    <row r="280" spans="1:16" s="223" customFormat="1" x14ac:dyDescent="0.65">
      <c r="A280" s="212" t="s">
        <v>282</v>
      </c>
      <c r="B280" s="213">
        <v>11</v>
      </c>
      <c r="C280" s="214" t="str">
        <f t="shared" si="42"/>
        <v>H02-24-00511</v>
      </c>
      <c r="D280" s="215">
        <v>45353</v>
      </c>
      <c r="E280" s="216" t="s">
        <v>22</v>
      </c>
      <c r="F280" s="224" t="str">
        <f t="shared" si="45"/>
        <v>APPLICATIONS (RD,RO,EC MED, RF, MAT, SO, RR, SS, PLP, ACOP)</v>
      </c>
      <c r="G280" s="218" t="s">
        <v>34</v>
      </c>
      <c r="H280" s="218" t="s">
        <v>35</v>
      </c>
      <c r="I280" s="220" t="s">
        <v>291</v>
      </c>
      <c r="J280" s="213">
        <v>1999</v>
      </c>
      <c r="K280" s="221">
        <f>2024-Table1[[#This Row],[LATEST YEAR]]</f>
        <v>25</v>
      </c>
      <c r="L280" s="221">
        <f>VLOOKUP(Table1[[#This Row],[GRDS ITEM NO]],RETENTION1,4,0)</f>
        <v>1</v>
      </c>
      <c r="M280" s="221">
        <f>Table1[[#This Row],[RETENTION PERIOD]]-Table1[[#This Row],[NO. YEARS AS OF 2024]]</f>
        <v>-24</v>
      </c>
      <c r="N280" s="213"/>
      <c r="O280" s="222"/>
      <c r="P280" s="145" t="s">
        <v>20</v>
      </c>
    </row>
    <row r="281" spans="1:16" s="223" customFormat="1" x14ac:dyDescent="0.65">
      <c r="A281" s="212" t="s">
        <v>282</v>
      </c>
      <c r="B281" s="213">
        <v>12</v>
      </c>
      <c r="C281" s="214" t="str">
        <f t="shared" si="42"/>
        <v>H02-24-00512</v>
      </c>
      <c r="D281" s="215">
        <v>45353</v>
      </c>
      <c r="E281" s="216" t="s">
        <v>22</v>
      </c>
      <c r="F281" s="224" t="str">
        <f t="shared" si="45"/>
        <v>APPLICATIONS (RD,RO,EC MED, RF, MAT, SO, RR, SS, PLP, ACOP)</v>
      </c>
      <c r="G281" s="218" t="s">
        <v>34</v>
      </c>
      <c r="H281" s="218" t="s">
        <v>35</v>
      </c>
      <c r="I281" s="220">
        <v>2018</v>
      </c>
      <c r="J281" s="213">
        <v>2018</v>
      </c>
      <c r="K281" s="221">
        <f>2024-Table1[[#This Row],[LATEST YEAR]]</f>
        <v>6</v>
      </c>
      <c r="L281" s="221">
        <f>VLOOKUP(Table1[[#This Row],[GRDS ITEM NO]],RETENTION1,4,0)</f>
        <v>1</v>
      </c>
      <c r="M281" s="221">
        <f>Table1[[#This Row],[RETENTION PERIOD]]-Table1[[#This Row],[NO. YEARS AS OF 2024]]</f>
        <v>-5</v>
      </c>
      <c r="N281" s="213"/>
      <c r="O281" s="222"/>
      <c r="P281" s="145" t="s">
        <v>20</v>
      </c>
    </row>
    <row r="282" spans="1:16" s="223" customFormat="1" x14ac:dyDescent="0.65">
      <c r="A282" s="212" t="s">
        <v>282</v>
      </c>
      <c r="B282" s="213">
        <v>13</v>
      </c>
      <c r="C282" s="214" t="str">
        <f t="shared" si="42"/>
        <v>H02-24-00513</v>
      </c>
      <c r="D282" s="225">
        <v>45353</v>
      </c>
      <c r="E282" s="216" t="s">
        <v>22</v>
      </c>
      <c r="F282" s="224" t="str">
        <f t="shared" si="45"/>
        <v>APPLICATIONS (RD,RO,EC MED, RF, MAT, SO, RR, SS, PLP, ACOP)</v>
      </c>
      <c r="G282" s="218" t="s">
        <v>34</v>
      </c>
      <c r="H282" s="218" t="s">
        <v>35</v>
      </c>
      <c r="I282" s="220">
        <v>2016</v>
      </c>
      <c r="J282" s="213">
        <v>2016</v>
      </c>
      <c r="K282" s="221">
        <f>2024-Table1[[#This Row],[LATEST YEAR]]</f>
        <v>8</v>
      </c>
      <c r="L282" s="221">
        <f>VLOOKUP(Table1[[#This Row],[GRDS ITEM NO]],RETENTION1,4,0)</f>
        <v>1</v>
      </c>
      <c r="M282" s="221">
        <f>Table1[[#This Row],[RETENTION PERIOD]]-Table1[[#This Row],[NO. YEARS AS OF 2024]]</f>
        <v>-7</v>
      </c>
      <c r="N282" s="213"/>
      <c r="O282" s="222"/>
      <c r="P282" s="145" t="s">
        <v>20</v>
      </c>
    </row>
    <row r="283" spans="1:16" s="223" customFormat="1" x14ac:dyDescent="0.65">
      <c r="A283" s="222" t="s">
        <v>282</v>
      </c>
      <c r="B283" s="213">
        <v>14</v>
      </c>
      <c r="C283" s="214" t="str">
        <f t="shared" ref="C283:C321" si="46">_xlfn.CONCAT(A283,B283)</f>
        <v>H02-24-00514</v>
      </c>
      <c r="D283" s="215">
        <v>45353</v>
      </c>
      <c r="E283" s="216" t="s">
        <v>22</v>
      </c>
      <c r="F283" s="224" t="str">
        <f t="shared" si="45"/>
        <v>APPLICATIONS (RD,RO,EC MED, RF, MAT, SO, RR, SS, PLP, ACOP)</v>
      </c>
      <c r="G283" s="218" t="s">
        <v>34</v>
      </c>
      <c r="H283" s="218" t="s">
        <v>35</v>
      </c>
      <c r="I283" s="220" t="s">
        <v>292</v>
      </c>
      <c r="J283" s="213">
        <v>2015</v>
      </c>
      <c r="K283" s="221">
        <f>2024-Table1[[#This Row],[LATEST YEAR]]</f>
        <v>9</v>
      </c>
      <c r="L283" s="221">
        <f>VLOOKUP(Table1[[#This Row],[GRDS ITEM NO]],RETENTION1,4,0)</f>
        <v>1</v>
      </c>
      <c r="M283" s="221">
        <f>Table1[[#This Row],[RETENTION PERIOD]]-Table1[[#This Row],[NO. YEARS AS OF 2024]]</f>
        <v>-8</v>
      </c>
      <c r="N283" s="213"/>
      <c r="O283" s="222"/>
      <c r="P283" s="145" t="s">
        <v>20</v>
      </c>
    </row>
    <row r="284" spans="1:16" s="223" customFormat="1" x14ac:dyDescent="0.65">
      <c r="A284" s="222" t="s">
        <v>282</v>
      </c>
      <c r="B284" s="213">
        <v>15</v>
      </c>
      <c r="C284" s="214" t="str">
        <f t="shared" si="46"/>
        <v>H02-24-00515</v>
      </c>
      <c r="D284" s="215">
        <v>45353</v>
      </c>
      <c r="E284" s="216" t="s">
        <v>22</v>
      </c>
      <c r="F284" s="224" t="str">
        <f t="shared" si="45"/>
        <v>APPLICATIONS (RD,RO,EC MED, RF, MAT, SO, RR, SS, PLP, ACOP)</v>
      </c>
      <c r="G284" s="218" t="s">
        <v>34</v>
      </c>
      <c r="H284" s="218" t="s">
        <v>35</v>
      </c>
      <c r="I284" s="220" t="s">
        <v>293</v>
      </c>
      <c r="J284" s="213">
        <v>2013</v>
      </c>
      <c r="K284" s="221">
        <f>2024-Table1[[#This Row],[LATEST YEAR]]</f>
        <v>11</v>
      </c>
      <c r="L284" s="221">
        <f>VLOOKUP(Table1[[#This Row],[GRDS ITEM NO]],RETENTION1,4,0)</f>
        <v>1</v>
      </c>
      <c r="M284" s="221">
        <f>Table1[[#This Row],[RETENTION PERIOD]]-Table1[[#This Row],[NO. YEARS AS OF 2024]]</f>
        <v>-10</v>
      </c>
      <c r="N284" s="213"/>
      <c r="O284" s="222"/>
      <c r="P284" s="145" t="s">
        <v>20</v>
      </c>
    </row>
    <row r="285" spans="1:16" s="223" customFormat="1" x14ac:dyDescent="0.65">
      <c r="A285" s="222" t="s">
        <v>282</v>
      </c>
      <c r="B285" s="213">
        <v>16</v>
      </c>
      <c r="C285" s="214" t="str">
        <f t="shared" si="46"/>
        <v>H02-24-00516</v>
      </c>
      <c r="D285" s="225">
        <v>45353</v>
      </c>
      <c r="E285" s="216" t="s">
        <v>22</v>
      </c>
      <c r="F285" s="224" t="str">
        <f t="shared" si="45"/>
        <v>APPLICATIONS (RD,RO,EC MED, RF, MAT, SO, RR, SS, PLP, ACOP)</v>
      </c>
      <c r="G285" s="218" t="s">
        <v>34</v>
      </c>
      <c r="H285" s="218" t="s">
        <v>35</v>
      </c>
      <c r="I285" s="220" t="s">
        <v>294</v>
      </c>
      <c r="J285" s="213">
        <v>2012</v>
      </c>
      <c r="K285" s="221">
        <f>2024-Table1[[#This Row],[LATEST YEAR]]</f>
        <v>12</v>
      </c>
      <c r="L285" s="221">
        <f>VLOOKUP(Table1[[#This Row],[GRDS ITEM NO]],RETENTION1,4,0)</f>
        <v>1</v>
      </c>
      <c r="M285" s="221">
        <f>Table1[[#This Row],[RETENTION PERIOD]]-Table1[[#This Row],[NO. YEARS AS OF 2024]]</f>
        <v>-11</v>
      </c>
      <c r="N285" s="213"/>
      <c r="O285" s="222"/>
      <c r="P285" s="145" t="s">
        <v>20</v>
      </c>
    </row>
    <row r="286" spans="1:16" s="223" customFormat="1" x14ac:dyDescent="0.65">
      <c r="A286" s="222" t="s">
        <v>282</v>
      </c>
      <c r="B286" s="213">
        <v>17</v>
      </c>
      <c r="C286" s="214" t="str">
        <f t="shared" si="46"/>
        <v>H02-24-00517</v>
      </c>
      <c r="D286" s="215">
        <v>45353</v>
      </c>
      <c r="E286" s="216" t="s">
        <v>22</v>
      </c>
      <c r="F286" s="224" t="str">
        <f t="shared" si="45"/>
        <v>APPLICATIONS (RD,RO,EC MED, RF, MAT, SO, RR, SS, PLP, ACOP)</v>
      </c>
      <c r="G286" s="218" t="s">
        <v>34</v>
      </c>
      <c r="H286" s="218" t="s">
        <v>35</v>
      </c>
      <c r="I286" s="220" t="s">
        <v>295</v>
      </c>
      <c r="J286" s="213">
        <v>2017</v>
      </c>
      <c r="K286" s="221">
        <f>2024-Table1[[#This Row],[LATEST YEAR]]</f>
        <v>7</v>
      </c>
      <c r="L286" s="221">
        <f>VLOOKUP(Table1[[#This Row],[GRDS ITEM NO]],RETENTION1,4,0)</f>
        <v>1</v>
      </c>
      <c r="M286" s="221">
        <f>Table1[[#This Row],[RETENTION PERIOD]]-Table1[[#This Row],[NO. YEARS AS OF 2024]]</f>
        <v>-6</v>
      </c>
      <c r="N286" s="213"/>
      <c r="O286" s="222"/>
      <c r="P286" s="145" t="s">
        <v>20</v>
      </c>
    </row>
    <row r="287" spans="1:16" s="223" customFormat="1" x14ac:dyDescent="0.65">
      <c r="A287" s="222" t="s">
        <v>282</v>
      </c>
      <c r="B287" s="213">
        <v>18</v>
      </c>
      <c r="C287" s="214" t="str">
        <f t="shared" si="46"/>
        <v>H02-24-00518</v>
      </c>
      <c r="D287" s="215">
        <v>45353</v>
      </c>
      <c r="E287" s="216" t="s">
        <v>80</v>
      </c>
      <c r="F287" s="217" t="str">
        <f t="shared" si="45"/>
        <v>EMPLOYEE-MEMBER APPLICATIONS (E1, E4, NW1, OW1, RS1)</v>
      </c>
      <c r="G287" s="218" t="s">
        <v>34</v>
      </c>
      <c r="H287" s="219" t="s">
        <v>211</v>
      </c>
      <c r="I287" s="220" t="s">
        <v>296</v>
      </c>
      <c r="J287" s="213">
        <v>2015</v>
      </c>
      <c r="K287" s="221">
        <f>2024-Table1[[#This Row],[LATEST YEAR]]</f>
        <v>9</v>
      </c>
      <c r="L287" s="221">
        <f>VLOOKUP(Table1[[#This Row],[GRDS ITEM NO]],RETENTION1,4,0)</f>
        <v>1</v>
      </c>
      <c r="M287" s="221">
        <f>Table1[[#This Row],[RETENTION PERIOD]]-Table1[[#This Row],[NO. YEARS AS OF 2024]]</f>
        <v>-8</v>
      </c>
      <c r="N287" s="213"/>
      <c r="O287" s="222"/>
      <c r="P287" s="145" t="s">
        <v>20</v>
      </c>
    </row>
    <row r="288" spans="1:16" s="223" customFormat="1" x14ac:dyDescent="0.65">
      <c r="A288" s="222" t="s">
        <v>282</v>
      </c>
      <c r="B288" s="213">
        <v>19</v>
      </c>
      <c r="C288" s="214" t="str">
        <f t="shared" si="46"/>
        <v>H02-24-00519</v>
      </c>
      <c r="D288" s="225">
        <v>45353</v>
      </c>
      <c r="E288" s="216" t="s">
        <v>80</v>
      </c>
      <c r="F288" s="217" t="str">
        <f t="shared" si="45"/>
        <v>EMPLOYEE-MEMBER APPLICATIONS (E1, E4, NW1, OW1, RS1)</v>
      </c>
      <c r="G288" s="218" t="s">
        <v>34</v>
      </c>
      <c r="H288" s="219" t="s">
        <v>211</v>
      </c>
      <c r="I288" s="220">
        <v>2022</v>
      </c>
      <c r="J288" s="213">
        <v>2022</v>
      </c>
      <c r="K288" s="221">
        <f>2024-Table1[[#This Row],[LATEST YEAR]]</f>
        <v>2</v>
      </c>
      <c r="L288" s="221">
        <f>VLOOKUP(Table1[[#This Row],[GRDS ITEM NO]],RETENTION1,4,0)</f>
        <v>1</v>
      </c>
      <c r="M288" s="221">
        <f>Table1[[#This Row],[RETENTION PERIOD]]-Table1[[#This Row],[NO. YEARS AS OF 2024]]</f>
        <v>-1</v>
      </c>
      <c r="N288" s="213"/>
      <c r="O288" s="222"/>
      <c r="P288" s="145" t="s">
        <v>20</v>
      </c>
    </row>
    <row r="289" spans="1:16" s="223" customFormat="1" x14ac:dyDescent="0.65">
      <c r="A289" s="222" t="s">
        <v>282</v>
      </c>
      <c r="B289" s="213">
        <v>20</v>
      </c>
      <c r="C289" s="214" t="str">
        <f t="shared" si="46"/>
        <v>H02-24-00520</v>
      </c>
      <c r="D289" s="215">
        <v>45353</v>
      </c>
      <c r="E289" s="216" t="s">
        <v>80</v>
      </c>
      <c r="F289" s="217" t="str">
        <f t="shared" si="45"/>
        <v>EMPLOYEE-MEMBER APPLICATIONS (E1, E4, NW1, OW1, RS1)</v>
      </c>
      <c r="G289" s="218" t="s">
        <v>34</v>
      </c>
      <c r="H289" s="219" t="s">
        <v>211</v>
      </c>
      <c r="I289" s="220">
        <v>2021</v>
      </c>
      <c r="J289" s="213">
        <v>2021</v>
      </c>
      <c r="K289" s="221">
        <f>2024-Table1[[#This Row],[LATEST YEAR]]</f>
        <v>3</v>
      </c>
      <c r="L289" s="221">
        <f>VLOOKUP(Table1[[#This Row],[GRDS ITEM NO]],RETENTION1,4,0)</f>
        <v>1</v>
      </c>
      <c r="M289" s="221">
        <f>Table1[[#This Row],[RETENTION PERIOD]]-Table1[[#This Row],[NO. YEARS AS OF 2024]]</f>
        <v>-2</v>
      </c>
      <c r="N289" s="213"/>
      <c r="O289" s="222"/>
      <c r="P289" s="145" t="s">
        <v>20</v>
      </c>
    </row>
    <row r="290" spans="1:16" s="223" customFormat="1" x14ac:dyDescent="0.65">
      <c r="A290" s="222" t="s">
        <v>282</v>
      </c>
      <c r="B290" s="213">
        <v>21</v>
      </c>
      <c r="C290" s="214" t="str">
        <f t="shared" si="46"/>
        <v>H02-24-00521</v>
      </c>
      <c r="D290" s="215">
        <v>45353</v>
      </c>
      <c r="E290" s="216" t="s">
        <v>80</v>
      </c>
      <c r="F290" s="217" t="str">
        <f t="shared" si="45"/>
        <v>EMPLOYEE-MEMBER APPLICATIONS (E1, E4, NW1, OW1, RS1)</v>
      </c>
      <c r="G290" s="218" t="s">
        <v>34</v>
      </c>
      <c r="H290" s="219" t="s">
        <v>211</v>
      </c>
      <c r="I290" s="220" t="s">
        <v>297</v>
      </c>
      <c r="J290" s="213">
        <v>2014</v>
      </c>
      <c r="K290" s="221">
        <f>2024-Table1[[#This Row],[LATEST YEAR]]</f>
        <v>10</v>
      </c>
      <c r="L290" s="221">
        <f>VLOOKUP(Table1[[#This Row],[GRDS ITEM NO]],RETENTION1,4,0)</f>
        <v>1</v>
      </c>
      <c r="M290" s="221">
        <f>Table1[[#This Row],[RETENTION PERIOD]]-Table1[[#This Row],[NO. YEARS AS OF 2024]]</f>
        <v>-9</v>
      </c>
      <c r="N290" s="213"/>
      <c r="O290" s="222"/>
      <c r="P290" s="145" t="s">
        <v>20</v>
      </c>
    </row>
    <row r="291" spans="1:16" s="223" customFormat="1" x14ac:dyDescent="0.65">
      <c r="A291" s="222" t="s">
        <v>282</v>
      </c>
      <c r="B291" s="213">
        <v>22</v>
      </c>
      <c r="C291" s="214" t="str">
        <f t="shared" si="46"/>
        <v>H02-24-00522</v>
      </c>
      <c r="D291" s="225">
        <v>45353</v>
      </c>
      <c r="E291" s="216" t="s">
        <v>80</v>
      </c>
      <c r="F291" s="217" t="str">
        <f t="shared" si="45"/>
        <v>EMPLOYEE-MEMBER APPLICATIONS (E1, E4, NW1, OW1, RS1)</v>
      </c>
      <c r="G291" s="218" t="s">
        <v>34</v>
      </c>
      <c r="H291" s="219" t="s">
        <v>298</v>
      </c>
      <c r="I291" s="220" t="s">
        <v>299</v>
      </c>
      <c r="J291" s="213">
        <v>2016</v>
      </c>
      <c r="K291" s="221">
        <f>2024-Table1[[#This Row],[LATEST YEAR]]</f>
        <v>8</v>
      </c>
      <c r="L291" s="221">
        <f>VLOOKUP(Table1[[#This Row],[GRDS ITEM NO]],RETENTION1,4,0)</f>
        <v>1</v>
      </c>
      <c r="M291" s="221">
        <f>Table1[[#This Row],[RETENTION PERIOD]]-Table1[[#This Row],[NO. YEARS AS OF 2024]]</f>
        <v>-7</v>
      </c>
      <c r="N291" s="213"/>
      <c r="O291" s="222"/>
      <c r="P291" s="145" t="s">
        <v>20</v>
      </c>
    </row>
    <row r="292" spans="1:16" s="223" customFormat="1" x14ac:dyDescent="0.65">
      <c r="A292" s="222" t="s">
        <v>282</v>
      </c>
      <c r="B292" s="213">
        <v>23</v>
      </c>
      <c r="C292" s="214" t="str">
        <f t="shared" si="46"/>
        <v>H02-24-00523</v>
      </c>
      <c r="D292" s="215">
        <v>45353</v>
      </c>
      <c r="E292" s="216" t="s">
        <v>80</v>
      </c>
      <c r="F292" s="217" t="str">
        <f t="shared" si="45"/>
        <v>EMPLOYEE-MEMBER APPLICATIONS (E1, E4, NW1, OW1, RS1)</v>
      </c>
      <c r="G292" s="218" t="s">
        <v>34</v>
      </c>
      <c r="H292" s="219" t="s">
        <v>211</v>
      </c>
      <c r="I292" s="220" t="s">
        <v>300</v>
      </c>
      <c r="J292" s="213">
        <v>2014</v>
      </c>
      <c r="K292" s="221">
        <f>2024-Table1[[#This Row],[LATEST YEAR]]</f>
        <v>10</v>
      </c>
      <c r="L292" s="221">
        <f>VLOOKUP(Table1[[#This Row],[GRDS ITEM NO]],RETENTION1,4,0)</f>
        <v>1</v>
      </c>
      <c r="M292" s="221">
        <f>Table1[[#This Row],[RETENTION PERIOD]]-Table1[[#This Row],[NO. YEARS AS OF 2024]]</f>
        <v>-9</v>
      </c>
      <c r="N292" s="213"/>
      <c r="O292" s="222"/>
      <c r="P292" s="145" t="s">
        <v>20</v>
      </c>
    </row>
    <row r="293" spans="1:16" s="223" customFormat="1" x14ac:dyDescent="0.65">
      <c r="A293" s="222" t="s">
        <v>282</v>
      </c>
      <c r="B293" s="213">
        <v>24</v>
      </c>
      <c r="C293" s="214" t="str">
        <f t="shared" si="46"/>
        <v>H02-24-00524</v>
      </c>
      <c r="D293" s="215">
        <v>45353</v>
      </c>
      <c r="E293" s="216" t="s">
        <v>80</v>
      </c>
      <c r="F293" s="217" t="str">
        <f t="shared" si="45"/>
        <v>EMPLOYEE-MEMBER APPLICATIONS (E1, E4, NW1, OW1, RS1)</v>
      </c>
      <c r="G293" s="218" t="s">
        <v>34</v>
      </c>
      <c r="H293" s="219" t="s">
        <v>211</v>
      </c>
      <c r="I293" s="220">
        <v>2016</v>
      </c>
      <c r="J293" s="213">
        <v>2016</v>
      </c>
      <c r="K293" s="221">
        <f>2024-Table1[[#This Row],[LATEST YEAR]]</f>
        <v>8</v>
      </c>
      <c r="L293" s="221">
        <f>VLOOKUP(Table1[[#This Row],[GRDS ITEM NO]],RETENTION1,4,0)</f>
        <v>1</v>
      </c>
      <c r="M293" s="221">
        <f>Table1[[#This Row],[RETENTION PERIOD]]-Table1[[#This Row],[NO. YEARS AS OF 2024]]</f>
        <v>-7</v>
      </c>
      <c r="N293" s="213"/>
      <c r="O293" s="222"/>
      <c r="P293" s="145" t="s">
        <v>20</v>
      </c>
    </row>
    <row r="294" spans="1:16" s="227" customFormat="1" x14ac:dyDescent="0.65">
      <c r="A294" s="222" t="s">
        <v>282</v>
      </c>
      <c r="B294" s="222">
        <v>25</v>
      </c>
      <c r="C294" s="219" t="str">
        <f t="shared" si="46"/>
        <v>H02-24-00525</v>
      </c>
      <c r="D294" s="225">
        <v>45353</v>
      </c>
      <c r="E294" s="216" t="s">
        <v>22</v>
      </c>
      <c r="F294" s="226" t="str">
        <f t="shared" si="45"/>
        <v>APPLICATIONS (RD,RO,EC MED, RF, MAT, SO, RR, SS, PLP, ACOP)</v>
      </c>
      <c r="G294" s="218" t="s">
        <v>34</v>
      </c>
      <c r="H294" s="218" t="s">
        <v>35</v>
      </c>
      <c r="I294" s="220">
        <v>2016</v>
      </c>
      <c r="J294" s="222">
        <v>2017</v>
      </c>
      <c r="K294" s="221">
        <f>2024-Table1[[#This Row],[LATEST YEAR]]</f>
        <v>7</v>
      </c>
      <c r="L294" s="221">
        <f>VLOOKUP(Table1[[#This Row],[GRDS ITEM NO]],RETENTION1,4,0)</f>
        <v>1</v>
      </c>
      <c r="M294" s="221">
        <f>Table1[[#This Row],[RETENTION PERIOD]]-Table1[[#This Row],[NO. YEARS AS OF 2024]]</f>
        <v>-6</v>
      </c>
      <c r="N294" s="213"/>
      <c r="O294" s="222"/>
      <c r="P294" s="145" t="s">
        <v>20</v>
      </c>
    </row>
    <row r="295" spans="1:16" s="227" customFormat="1" x14ac:dyDescent="0.65">
      <c r="A295" s="222" t="s">
        <v>282</v>
      </c>
      <c r="B295" s="222">
        <v>26</v>
      </c>
      <c r="C295" s="219" t="str">
        <f t="shared" si="46"/>
        <v>H02-24-00526</v>
      </c>
      <c r="D295" s="215">
        <v>45353</v>
      </c>
      <c r="E295" s="216" t="s">
        <v>22</v>
      </c>
      <c r="F295" s="226" t="str">
        <f t="shared" si="45"/>
        <v>APPLICATIONS (RD,RO,EC MED, RF, MAT, SO, RR, SS, PLP, ACOP)</v>
      </c>
      <c r="G295" s="218" t="s">
        <v>34</v>
      </c>
      <c r="H295" s="218" t="s">
        <v>35</v>
      </c>
      <c r="I295" s="220">
        <v>1999</v>
      </c>
      <c r="J295" s="222">
        <v>1998</v>
      </c>
      <c r="K295" s="221">
        <f>2024-Table1[[#This Row],[LATEST YEAR]]</f>
        <v>26</v>
      </c>
      <c r="L295" s="221">
        <f>VLOOKUP(Table1[[#This Row],[GRDS ITEM NO]],RETENTION1,4,0)</f>
        <v>1</v>
      </c>
      <c r="M295" s="221">
        <f>Table1[[#This Row],[RETENTION PERIOD]]-Table1[[#This Row],[NO. YEARS AS OF 2024]]</f>
        <v>-25</v>
      </c>
      <c r="N295" s="213"/>
      <c r="O295" s="222"/>
      <c r="P295" s="145" t="s">
        <v>20</v>
      </c>
    </row>
    <row r="296" spans="1:16" s="223" customFormat="1" x14ac:dyDescent="0.65">
      <c r="A296" s="222" t="s">
        <v>282</v>
      </c>
      <c r="B296" s="213">
        <v>27</v>
      </c>
      <c r="C296" s="214" t="str">
        <f t="shared" si="46"/>
        <v>H02-24-00527</v>
      </c>
      <c r="D296" s="215">
        <v>45353</v>
      </c>
      <c r="E296" s="216" t="s">
        <v>22</v>
      </c>
      <c r="F296" s="224" t="str">
        <f t="shared" si="45"/>
        <v>APPLICATIONS (RD,RO,EC MED, RF, MAT, SO, RR, SS, PLP, ACOP)</v>
      </c>
      <c r="G296" s="218" t="s">
        <v>34</v>
      </c>
      <c r="H296" s="218" t="s">
        <v>35</v>
      </c>
      <c r="I296" s="220" t="s">
        <v>300</v>
      </c>
      <c r="J296" s="213">
        <v>2014</v>
      </c>
      <c r="K296" s="221">
        <f>2024-Table1[[#This Row],[LATEST YEAR]]</f>
        <v>10</v>
      </c>
      <c r="L296" s="221">
        <f>VLOOKUP(Table1[[#This Row],[GRDS ITEM NO]],RETENTION1,4,0)</f>
        <v>1</v>
      </c>
      <c r="M296" s="221">
        <f>Table1[[#This Row],[RETENTION PERIOD]]-Table1[[#This Row],[NO. YEARS AS OF 2024]]</f>
        <v>-9</v>
      </c>
      <c r="N296" s="213"/>
      <c r="O296" s="222"/>
      <c r="P296" s="145" t="s">
        <v>20</v>
      </c>
    </row>
    <row r="297" spans="1:16" s="223" customFormat="1" x14ac:dyDescent="0.65">
      <c r="A297" s="222" t="s">
        <v>282</v>
      </c>
      <c r="B297" s="213">
        <v>28</v>
      </c>
      <c r="C297" s="214" t="str">
        <f t="shared" si="46"/>
        <v>H02-24-00528</v>
      </c>
      <c r="D297" s="225">
        <v>45353</v>
      </c>
      <c r="E297" s="216" t="s">
        <v>22</v>
      </c>
      <c r="F297" s="224" t="str">
        <f t="shared" si="45"/>
        <v>APPLICATIONS (RD,RO,EC MED, RF, MAT, SO, RR, SS, PLP, ACOP)</v>
      </c>
      <c r="G297" s="218" t="s">
        <v>34</v>
      </c>
      <c r="H297" s="218" t="s">
        <v>35</v>
      </c>
      <c r="I297" s="220" t="s">
        <v>301</v>
      </c>
      <c r="J297" s="213">
        <v>2014</v>
      </c>
      <c r="K297" s="221">
        <f>2024-Table1[[#This Row],[LATEST YEAR]]</f>
        <v>10</v>
      </c>
      <c r="L297" s="221">
        <f>VLOOKUP(Table1[[#This Row],[GRDS ITEM NO]],RETENTION1,4,0)</f>
        <v>1</v>
      </c>
      <c r="M297" s="221">
        <f>Table1[[#This Row],[RETENTION PERIOD]]-Table1[[#This Row],[NO. YEARS AS OF 2024]]</f>
        <v>-9</v>
      </c>
      <c r="N297" s="213"/>
      <c r="O297" s="222"/>
      <c r="P297" s="145" t="s">
        <v>20</v>
      </c>
    </row>
    <row r="298" spans="1:16" s="223" customFormat="1" x14ac:dyDescent="0.65">
      <c r="A298" s="222" t="s">
        <v>282</v>
      </c>
      <c r="B298" s="213">
        <v>29</v>
      </c>
      <c r="C298" s="214" t="str">
        <f t="shared" si="46"/>
        <v>H02-24-00529</v>
      </c>
      <c r="D298" s="215">
        <v>45353</v>
      </c>
      <c r="E298" s="216" t="s">
        <v>22</v>
      </c>
      <c r="F298" s="224" t="str">
        <f t="shared" si="45"/>
        <v>APPLICATIONS (RD,RO,EC MED, RF, MAT, SO, RR, SS, PLP, ACOP)</v>
      </c>
      <c r="G298" s="218" t="s">
        <v>34</v>
      </c>
      <c r="H298" s="218" t="s">
        <v>35</v>
      </c>
      <c r="I298" s="220" t="s">
        <v>302</v>
      </c>
      <c r="J298" s="213">
        <v>2014</v>
      </c>
      <c r="K298" s="221">
        <f>2024-Table1[[#This Row],[LATEST YEAR]]</f>
        <v>10</v>
      </c>
      <c r="L298" s="221">
        <f>VLOOKUP(Table1[[#This Row],[GRDS ITEM NO]],RETENTION1,4,0)</f>
        <v>1</v>
      </c>
      <c r="M298" s="221">
        <f>Table1[[#This Row],[RETENTION PERIOD]]-Table1[[#This Row],[NO. YEARS AS OF 2024]]</f>
        <v>-9</v>
      </c>
      <c r="N298" s="213"/>
      <c r="O298" s="222"/>
      <c r="P298" s="145" t="s">
        <v>20</v>
      </c>
    </row>
    <row r="299" spans="1:16" s="223" customFormat="1" x14ac:dyDescent="0.65">
      <c r="A299" s="222" t="s">
        <v>282</v>
      </c>
      <c r="B299" s="213">
        <v>30</v>
      </c>
      <c r="C299" s="214" t="str">
        <f t="shared" si="46"/>
        <v>H02-24-00530</v>
      </c>
      <c r="D299" s="215">
        <v>45353</v>
      </c>
      <c r="E299" s="216" t="s">
        <v>22</v>
      </c>
      <c r="F299" s="224" t="str">
        <f t="shared" si="45"/>
        <v>APPLICATIONS (RD,RO,EC MED, RF, MAT, SO, RR, SS, PLP, ACOP)</v>
      </c>
      <c r="G299" s="218" t="s">
        <v>34</v>
      </c>
      <c r="H299" s="218" t="s">
        <v>35</v>
      </c>
      <c r="I299" s="220" t="s">
        <v>303</v>
      </c>
      <c r="J299" s="213">
        <v>2012</v>
      </c>
      <c r="K299" s="221">
        <f>2024-Table1[[#This Row],[LATEST YEAR]]</f>
        <v>12</v>
      </c>
      <c r="L299" s="221">
        <f>VLOOKUP(Table1[[#This Row],[GRDS ITEM NO]],RETENTION1,4,0)</f>
        <v>1</v>
      </c>
      <c r="M299" s="221">
        <f>Table1[[#This Row],[RETENTION PERIOD]]-Table1[[#This Row],[NO. YEARS AS OF 2024]]</f>
        <v>-11</v>
      </c>
      <c r="N299" s="213"/>
      <c r="O299" s="222"/>
      <c r="P299" s="145" t="s">
        <v>20</v>
      </c>
    </row>
    <row r="300" spans="1:16" s="223" customFormat="1" x14ac:dyDescent="0.65">
      <c r="A300" s="222" t="s">
        <v>282</v>
      </c>
      <c r="B300" s="213">
        <v>31</v>
      </c>
      <c r="C300" s="214" t="str">
        <f t="shared" si="46"/>
        <v>H02-24-00531</v>
      </c>
      <c r="D300" s="225">
        <v>45353</v>
      </c>
      <c r="E300" s="216" t="s">
        <v>22</v>
      </c>
      <c r="F300" s="224" t="str">
        <f t="shared" si="45"/>
        <v>APPLICATIONS (RD,RO,EC MED, RF, MAT, SO, RR, SS, PLP, ACOP)</v>
      </c>
      <c r="G300" s="218" t="s">
        <v>34</v>
      </c>
      <c r="H300" s="218" t="s">
        <v>35</v>
      </c>
      <c r="I300" s="220" t="s">
        <v>304</v>
      </c>
      <c r="J300" s="213">
        <v>2013</v>
      </c>
      <c r="K300" s="221">
        <f>2024-Table1[[#This Row],[LATEST YEAR]]</f>
        <v>11</v>
      </c>
      <c r="L300" s="221">
        <f>VLOOKUP(Table1[[#This Row],[GRDS ITEM NO]],RETENTION1,4,0)</f>
        <v>1</v>
      </c>
      <c r="M300" s="221">
        <f>Table1[[#This Row],[RETENTION PERIOD]]-Table1[[#This Row],[NO. YEARS AS OF 2024]]</f>
        <v>-10</v>
      </c>
      <c r="N300" s="213"/>
      <c r="O300" s="222"/>
      <c r="P300" s="145" t="s">
        <v>20</v>
      </c>
    </row>
    <row r="301" spans="1:16" s="223" customFormat="1" x14ac:dyDescent="0.65">
      <c r="A301" s="222" t="s">
        <v>282</v>
      </c>
      <c r="B301" s="213">
        <v>32</v>
      </c>
      <c r="C301" s="214" t="str">
        <f t="shared" si="46"/>
        <v>H02-24-00532</v>
      </c>
      <c r="D301" s="215">
        <v>45353</v>
      </c>
      <c r="E301" s="216" t="s">
        <v>22</v>
      </c>
      <c r="F301" s="224" t="str">
        <f t="shared" si="45"/>
        <v>APPLICATIONS (RD,RO,EC MED, RF, MAT, SO, RR, SS, PLP, ACOP)</v>
      </c>
      <c r="G301" s="218" t="s">
        <v>34</v>
      </c>
      <c r="H301" s="218" t="s">
        <v>35</v>
      </c>
      <c r="I301" s="220" t="s">
        <v>305</v>
      </c>
      <c r="J301" s="213">
        <v>2015</v>
      </c>
      <c r="K301" s="221">
        <f>2024-Table1[[#This Row],[LATEST YEAR]]</f>
        <v>9</v>
      </c>
      <c r="L301" s="221">
        <f>VLOOKUP(Table1[[#This Row],[GRDS ITEM NO]],RETENTION1,4,0)</f>
        <v>1</v>
      </c>
      <c r="M301" s="221">
        <f>Table1[[#This Row],[RETENTION PERIOD]]-Table1[[#This Row],[NO. YEARS AS OF 2024]]</f>
        <v>-8</v>
      </c>
      <c r="N301" s="213"/>
      <c r="O301" s="222"/>
      <c r="P301" s="145" t="s">
        <v>20</v>
      </c>
    </row>
    <row r="302" spans="1:16" s="223" customFormat="1" x14ac:dyDescent="0.65">
      <c r="A302" s="222" t="s">
        <v>282</v>
      </c>
      <c r="B302" s="213">
        <v>33</v>
      </c>
      <c r="C302" s="214" t="str">
        <f t="shared" si="46"/>
        <v>H02-24-00533</v>
      </c>
      <c r="D302" s="215">
        <v>45353</v>
      </c>
      <c r="E302" s="216" t="s">
        <v>22</v>
      </c>
      <c r="F302" s="224" t="str">
        <f t="shared" si="45"/>
        <v>APPLICATIONS (RD,RO,EC MED, RF, MAT, SO, RR, SS, PLP, ACOP)</v>
      </c>
      <c r="G302" s="218" t="s">
        <v>34</v>
      </c>
      <c r="H302" s="218" t="s">
        <v>35</v>
      </c>
      <c r="I302" s="220" t="s">
        <v>306</v>
      </c>
      <c r="J302" s="213">
        <v>2012</v>
      </c>
      <c r="K302" s="221">
        <f>2024-Table1[[#This Row],[LATEST YEAR]]</f>
        <v>12</v>
      </c>
      <c r="L302" s="221">
        <f>VLOOKUP(Table1[[#This Row],[GRDS ITEM NO]],RETENTION1,4,0)</f>
        <v>1</v>
      </c>
      <c r="M302" s="221">
        <f>Table1[[#This Row],[RETENTION PERIOD]]-Table1[[#This Row],[NO. YEARS AS OF 2024]]</f>
        <v>-11</v>
      </c>
      <c r="N302" s="213"/>
      <c r="O302" s="222"/>
      <c r="P302" s="145" t="s">
        <v>20</v>
      </c>
    </row>
    <row r="303" spans="1:16" s="223" customFormat="1" x14ac:dyDescent="0.65">
      <c r="A303" s="222" t="s">
        <v>282</v>
      </c>
      <c r="B303" s="213">
        <v>34</v>
      </c>
      <c r="C303" s="214" t="str">
        <f t="shared" si="46"/>
        <v>H02-24-00534</v>
      </c>
      <c r="D303" s="225">
        <v>45353</v>
      </c>
      <c r="E303" s="216" t="s">
        <v>22</v>
      </c>
      <c r="F303" s="224" t="str">
        <f t="shared" si="45"/>
        <v>APPLICATIONS (RD,RO,EC MED, RF, MAT, SO, RR, SS, PLP, ACOP)</v>
      </c>
      <c r="G303" s="218" t="s">
        <v>34</v>
      </c>
      <c r="H303" s="218" t="s">
        <v>35</v>
      </c>
      <c r="I303" s="220" t="s">
        <v>307</v>
      </c>
      <c r="J303" s="213">
        <v>2013</v>
      </c>
      <c r="K303" s="221">
        <f>2024-Table1[[#This Row],[LATEST YEAR]]</f>
        <v>11</v>
      </c>
      <c r="L303" s="221">
        <f>VLOOKUP(Table1[[#This Row],[GRDS ITEM NO]],RETENTION1,4,0)</f>
        <v>1</v>
      </c>
      <c r="M303" s="221">
        <f>Table1[[#This Row],[RETENTION PERIOD]]-Table1[[#This Row],[NO. YEARS AS OF 2024]]</f>
        <v>-10</v>
      </c>
      <c r="N303" s="213"/>
      <c r="O303" s="222"/>
      <c r="P303" s="145" t="s">
        <v>20</v>
      </c>
    </row>
    <row r="304" spans="1:16" s="223" customFormat="1" x14ac:dyDescent="0.65">
      <c r="A304" s="222" t="s">
        <v>282</v>
      </c>
      <c r="B304" s="213">
        <v>35</v>
      </c>
      <c r="C304" s="214" t="str">
        <f t="shared" si="46"/>
        <v>H02-24-00535</v>
      </c>
      <c r="D304" s="225">
        <v>45353</v>
      </c>
      <c r="E304" s="216" t="s">
        <v>22</v>
      </c>
      <c r="F304" s="224" t="str">
        <f t="shared" si="45"/>
        <v>APPLICATIONS (RD,RO,EC MED, RF, MAT, SO, RR, SS, PLP, ACOP)</v>
      </c>
      <c r="G304" s="218" t="s">
        <v>34</v>
      </c>
      <c r="H304" s="218" t="s">
        <v>35</v>
      </c>
      <c r="I304" s="220" t="s">
        <v>308</v>
      </c>
      <c r="J304" s="213">
        <v>2013</v>
      </c>
      <c r="K304" s="221">
        <f>2024-Table1[[#This Row],[LATEST YEAR]]</f>
        <v>11</v>
      </c>
      <c r="L304" s="221">
        <f>VLOOKUP(Table1[[#This Row],[GRDS ITEM NO]],RETENTION1,4,0)</f>
        <v>1</v>
      </c>
      <c r="M304" s="221">
        <f>Table1[[#This Row],[RETENTION PERIOD]]-Table1[[#This Row],[NO. YEARS AS OF 2024]]</f>
        <v>-10</v>
      </c>
      <c r="N304" s="213"/>
      <c r="O304" s="222"/>
      <c r="P304" s="145" t="s">
        <v>20</v>
      </c>
    </row>
    <row r="305" spans="1:16" s="223" customFormat="1" x14ac:dyDescent="0.65">
      <c r="A305" s="222" t="s">
        <v>282</v>
      </c>
      <c r="B305" s="213">
        <v>36</v>
      </c>
      <c r="C305" s="214" t="str">
        <f t="shared" si="46"/>
        <v>H02-24-00536</v>
      </c>
      <c r="D305" s="225">
        <v>45353</v>
      </c>
      <c r="E305" s="216" t="s">
        <v>22</v>
      </c>
      <c r="F305" s="224" t="str">
        <f t="shared" si="45"/>
        <v>APPLICATIONS (RD,RO,EC MED, RF, MAT, SO, RR, SS, PLP, ACOP)</v>
      </c>
      <c r="G305" s="218" t="s">
        <v>34</v>
      </c>
      <c r="H305" s="218" t="s">
        <v>35</v>
      </c>
      <c r="I305" s="220" t="s">
        <v>309</v>
      </c>
      <c r="J305" s="213">
        <v>2014</v>
      </c>
      <c r="K305" s="221">
        <f>2024-Table1[[#This Row],[LATEST YEAR]]</f>
        <v>10</v>
      </c>
      <c r="L305" s="221">
        <f>VLOOKUP(Table1[[#This Row],[GRDS ITEM NO]],RETENTION1,4,0)</f>
        <v>1</v>
      </c>
      <c r="M305" s="221">
        <f>Table1[[#This Row],[RETENTION PERIOD]]-Table1[[#This Row],[NO. YEARS AS OF 2024]]</f>
        <v>-9</v>
      </c>
      <c r="N305" s="213"/>
      <c r="O305" s="222"/>
      <c r="P305" s="145" t="s">
        <v>20</v>
      </c>
    </row>
    <row r="306" spans="1:16" s="223" customFormat="1" x14ac:dyDescent="0.65">
      <c r="A306" s="222" t="s">
        <v>282</v>
      </c>
      <c r="B306" s="213">
        <v>37</v>
      </c>
      <c r="C306" s="214" t="str">
        <f t="shared" si="46"/>
        <v>H02-24-00537</v>
      </c>
      <c r="D306" s="225">
        <v>45353</v>
      </c>
      <c r="E306" s="216" t="s">
        <v>80</v>
      </c>
      <c r="F306" s="217" t="str">
        <f t="shared" ref="F306:F321" si="47">VLOOKUP(E306,DESCRIP,2,0)</f>
        <v>EMPLOYEE-MEMBER APPLICATIONS (E1, E4, NW1, OW1, RS1)</v>
      </c>
      <c r="G306" s="218" t="s">
        <v>34</v>
      </c>
      <c r="H306" s="219" t="s">
        <v>211</v>
      </c>
      <c r="I306" s="220" t="s">
        <v>269</v>
      </c>
      <c r="J306" s="213">
        <v>2015</v>
      </c>
      <c r="K306" s="221">
        <f>2024-Table1[[#This Row],[LATEST YEAR]]</f>
        <v>9</v>
      </c>
      <c r="L306" s="221">
        <f>VLOOKUP(Table1[[#This Row],[GRDS ITEM NO]],RETENTION1,4,0)</f>
        <v>1</v>
      </c>
      <c r="M306" s="221">
        <f>Table1[[#This Row],[RETENTION PERIOD]]-Table1[[#This Row],[NO. YEARS AS OF 2024]]</f>
        <v>-8</v>
      </c>
      <c r="N306" s="213" t="s">
        <v>310</v>
      </c>
      <c r="O306" s="222"/>
      <c r="P306" s="145" t="s">
        <v>20</v>
      </c>
    </row>
    <row r="307" spans="1:16" s="223" customFormat="1" x14ac:dyDescent="0.65">
      <c r="A307" s="222" t="s">
        <v>282</v>
      </c>
      <c r="B307" s="213">
        <v>38</v>
      </c>
      <c r="C307" s="214" t="str">
        <f t="shared" si="46"/>
        <v>H02-24-00538</v>
      </c>
      <c r="D307" s="225">
        <v>45353</v>
      </c>
      <c r="E307" s="216" t="s">
        <v>80</v>
      </c>
      <c r="F307" s="217" t="str">
        <f t="shared" si="47"/>
        <v>EMPLOYEE-MEMBER APPLICATIONS (E1, E4, NW1, OW1, RS1)</v>
      </c>
      <c r="G307" s="218" t="s">
        <v>34</v>
      </c>
      <c r="H307" s="219" t="s">
        <v>211</v>
      </c>
      <c r="I307" s="220">
        <v>2014</v>
      </c>
      <c r="J307" s="213">
        <v>2014</v>
      </c>
      <c r="K307" s="221">
        <f>2024-Table1[[#This Row],[LATEST YEAR]]</f>
        <v>10</v>
      </c>
      <c r="L307" s="221">
        <f>VLOOKUP(Table1[[#This Row],[GRDS ITEM NO]],RETENTION1,4,0)</f>
        <v>1</v>
      </c>
      <c r="M307" s="221">
        <f>Table1[[#This Row],[RETENTION PERIOD]]-Table1[[#This Row],[NO. YEARS AS OF 2024]]</f>
        <v>-9</v>
      </c>
      <c r="N307" s="213" t="s">
        <v>310</v>
      </c>
      <c r="O307" s="222"/>
      <c r="P307" s="145" t="s">
        <v>20</v>
      </c>
    </row>
    <row r="308" spans="1:16" s="223" customFormat="1" x14ac:dyDescent="0.65">
      <c r="A308" s="222" t="s">
        <v>311</v>
      </c>
      <c r="B308" s="213">
        <v>1</v>
      </c>
      <c r="C308" s="214" t="str">
        <f t="shared" si="46"/>
        <v>H02-24-0061</v>
      </c>
      <c r="D308" s="228">
        <v>45415</v>
      </c>
      <c r="E308" s="222" t="s">
        <v>22</v>
      </c>
      <c r="F308" s="217" t="str">
        <f t="shared" si="47"/>
        <v>APPLICATIONS (RD,RO,EC MED, RF, MAT, SO, RR, SS, PLP, ACOP)</v>
      </c>
      <c r="G308" s="219" t="s">
        <v>34</v>
      </c>
      <c r="H308" s="219" t="s">
        <v>131</v>
      </c>
      <c r="I308" s="220" t="s">
        <v>312</v>
      </c>
      <c r="J308" s="213">
        <v>2019</v>
      </c>
      <c r="K308" s="221">
        <f>2024-Table1[[#This Row],[LATEST YEAR]]</f>
        <v>5</v>
      </c>
      <c r="L308" s="221">
        <f>VLOOKUP(Table1[[#This Row],[GRDS ITEM NO]],RETENTION1,4,0)</f>
        <v>1</v>
      </c>
      <c r="M308" s="221">
        <f>Table1[[#This Row],[RETENTION PERIOD]]-Table1[[#This Row],[NO. YEARS AS OF 2024]]</f>
        <v>-4</v>
      </c>
      <c r="N308" s="213" t="s">
        <v>313</v>
      </c>
      <c r="O308" s="222"/>
      <c r="P308" s="145" t="s">
        <v>20</v>
      </c>
    </row>
    <row r="309" spans="1:16" s="223" customFormat="1" x14ac:dyDescent="0.65">
      <c r="A309" s="222" t="s">
        <v>311</v>
      </c>
      <c r="B309" s="213">
        <v>2</v>
      </c>
      <c r="C309" s="214" t="str">
        <f t="shared" si="46"/>
        <v>H02-24-0062</v>
      </c>
      <c r="D309" s="228">
        <v>45418</v>
      </c>
      <c r="E309" s="222" t="s">
        <v>22</v>
      </c>
      <c r="F309" s="217" t="str">
        <f t="shared" si="47"/>
        <v>APPLICATIONS (RD,RO,EC MED, RF, MAT, SO, RR, SS, PLP, ACOP)</v>
      </c>
      <c r="G309" s="219" t="s">
        <v>34</v>
      </c>
      <c r="H309" s="219" t="s">
        <v>131</v>
      </c>
      <c r="I309" s="220" t="s">
        <v>314</v>
      </c>
      <c r="J309" s="213">
        <v>2023</v>
      </c>
      <c r="K309" s="221">
        <f>2024-Table1[[#This Row],[LATEST YEAR]]</f>
        <v>1</v>
      </c>
      <c r="L309" s="221">
        <f>VLOOKUP(Table1[[#This Row],[GRDS ITEM NO]],RETENTION1,4,0)</f>
        <v>1</v>
      </c>
      <c r="M309" s="221">
        <f>Table1[[#This Row],[RETENTION PERIOD]]-Table1[[#This Row],[NO. YEARS AS OF 2024]]</f>
        <v>0</v>
      </c>
      <c r="N309" s="213" t="s">
        <v>310</v>
      </c>
      <c r="O309" s="222"/>
      <c r="P309" s="145" t="s">
        <v>20</v>
      </c>
    </row>
    <row r="310" spans="1:16" s="223" customFormat="1" x14ac:dyDescent="0.65">
      <c r="A310" s="222" t="s">
        <v>311</v>
      </c>
      <c r="B310" s="213">
        <v>3</v>
      </c>
      <c r="C310" s="214" t="str">
        <f t="shared" si="46"/>
        <v>H02-24-0063</v>
      </c>
      <c r="D310" s="228">
        <v>45419</v>
      </c>
      <c r="E310" s="222" t="s">
        <v>22</v>
      </c>
      <c r="F310" s="217" t="str">
        <f t="shared" si="47"/>
        <v>APPLICATIONS (RD,RO,EC MED, RF, MAT, SO, RR, SS, PLP, ACOP)</v>
      </c>
      <c r="G310" s="219" t="s">
        <v>34</v>
      </c>
      <c r="H310" s="219" t="s">
        <v>131</v>
      </c>
      <c r="I310" s="220" t="s">
        <v>315</v>
      </c>
      <c r="J310" s="213">
        <v>2022</v>
      </c>
      <c r="K310" s="221">
        <f>2024-Table1[[#This Row],[LATEST YEAR]]</f>
        <v>2</v>
      </c>
      <c r="L310" s="221">
        <f>VLOOKUP(Table1[[#This Row],[GRDS ITEM NO]],RETENTION1,4,0)</f>
        <v>1</v>
      </c>
      <c r="M310" s="221">
        <f>Table1[[#This Row],[RETENTION PERIOD]]-Table1[[#This Row],[NO. YEARS AS OF 2024]]</f>
        <v>-1</v>
      </c>
      <c r="N310" s="213" t="s">
        <v>310</v>
      </c>
      <c r="O310" s="222"/>
      <c r="P310" s="145" t="s">
        <v>20</v>
      </c>
    </row>
    <row r="311" spans="1:16" s="231" customFormat="1" x14ac:dyDescent="0.65">
      <c r="A311" s="145" t="s">
        <v>311</v>
      </c>
      <c r="B311" s="145">
        <v>4</v>
      </c>
      <c r="C311" s="150" t="str">
        <f t="shared" si="46"/>
        <v>H02-24-0064</v>
      </c>
      <c r="D311" s="229">
        <v>45419</v>
      </c>
      <c r="E311" s="145" t="s">
        <v>22</v>
      </c>
      <c r="F311" s="230" t="str">
        <f t="shared" si="47"/>
        <v>APPLICATIONS (RD,RO,EC MED, RF, MAT, SO, RR, SS, PLP, ACOP)</v>
      </c>
      <c r="G311" s="150" t="s">
        <v>34</v>
      </c>
      <c r="H311" s="150" t="s">
        <v>131</v>
      </c>
      <c r="I311" s="151" t="s">
        <v>316</v>
      </c>
      <c r="J311" s="145">
        <v>2022</v>
      </c>
      <c r="K311" s="25">
        <f>2024-Table1[[#This Row],[LATEST YEAR]]</f>
        <v>2</v>
      </c>
      <c r="L311" s="25">
        <f>VLOOKUP(Table1[[#This Row],[GRDS ITEM NO]],RETENTION1,4,0)</f>
        <v>1</v>
      </c>
      <c r="M311" s="25">
        <f>Table1[[#This Row],[RETENTION PERIOD]]-Table1[[#This Row],[NO. YEARS AS OF 2024]]</f>
        <v>-1</v>
      </c>
      <c r="N311" s="145" t="s">
        <v>310</v>
      </c>
      <c r="O311" s="145"/>
      <c r="P311" s="232" t="s">
        <v>98</v>
      </c>
    </row>
    <row r="312" spans="1:16" s="223" customFormat="1" x14ac:dyDescent="0.65">
      <c r="A312" s="222" t="s">
        <v>311</v>
      </c>
      <c r="B312" s="213">
        <v>5</v>
      </c>
      <c r="C312" s="214" t="str">
        <f t="shared" si="46"/>
        <v>H02-24-0065</v>
      </c>
      <c r="D312" s="228">
        <v>45422</v>
      </c>
      <c r="E312" s="222" t="s">
        <v>22</v>
      </c>
      <c r="F312" s="217" t="str">
        <f t="shared" si="47"/>
        <v>APPLICATIONS (RD,RO,EC MED, RF, MAT, SO, RR, SS, PLP, ACOP)</v>
      </c>
      <c r="G312" s="219" t="s">
        <v>34</v>
      </c>
      <c r="H312" s="219" t="s">
        <v>131</v>
      </c>
      <c r="I312" s="220" t="s">
        <v>317</v>
      </c>
      <c r="J312" s="213">
        <v>2023</v>
      </c>
      <c r="K312" s="221">
        <f>2024-Table1[[#This Row],[LATEST YEAR]]</f>
        <v>1</v>
      </c>
      <c r="L312" s="221">
        <f>VLOOKUP(Table1[[#This Row],[GRDS ITEM NO]],RETENTION1,4,0)</f>
        <v>1</v>
      </c>
      <c r="M312" s="221">
        <f>Table1[[#This Row],[RETENTION PERIOD]]-Table1[[#This Row],[NO. YEARS AS OF 2024]]</f>
        <v>0</v>
      </c>
      <c r="N312" s="213" t="s">
        <v>310</v>
      </c>
      <c r="O312" s="222"/>
      <c r="P312" s="145" t="s">
        <v>20</v>
      </c>
    </row>
    <row r="313" spans="1:16" s="223" customFormat="1" x14ac:dyDescent="0.65">
      <c r="A313" s="222" t="s">
        <v>311</v>
      </c>
      <c r="B313" s="213">
        <v>6</v>
      </c>
      <c r="C313" s="214" t="str">
        <f t="shared" si="46"/>
        <v>H02-24-0066</v>
      </c>
      <c r="D313" s="228">
        <v>45432</v>
      </c>
      <c r="E313" s="222" t="s">
        <v>22</v>
      </c>
      <c r="F313" s="217" t="str">
        <f t="shared" si="47"/>
        <v>APPLICATIONS (RD,RO,EC MED, RF, MAT, SO, RR, SS, PLP, ACOP)</v>
      </c>
      <c r="G313" s="219" t="s">
        <v>34</v>
      </c>
      <c r="H313" s="219" t="s">
        <v>131</v>
      </c>
      <c r="I313" s="220" t="s">
        <v>318</v>
      </c>
      <c r="J313" s="213">
        <v>2023</v>
      </c>
      <c r="K313" s="221">
        <f>2024-Table1[[#This Row],[LATEST YEAR]]</f>
        <v>1</v>
      </c>
      <c r="L313" s="221">
        <f>VLOOKUP(Table1[[#This Row],[GRDS ITEM NO]],RETENTION1,4,0)</f>
        <v>1</v>
      </c>
      <c r="M313" s="221">
        <f>Table1[[#This Row],[RETENTION PERIOD]]-Table1[[#This Row],[NO. YEARS AS OF 2024]]</f>
        <v>0</v>
      </c>
      <c r="N313" s="213" t="s">
        <v>310</v>
      </c>
      <c r="O313" s="222"/>
      <c r="P313" s="145" t="s">
        <v>20</v>
      </c>
    </row>
    <row r="314" spans="1:16" s="223" customFormat="1" x14ac:dyDescent="0.65">
      <c r="A314" s="222" t="s">
        <v>311</v>
      </c>
      <c r="B314" s="213">
        <v>7</v>
      </c>
      <c r="C314" s="214" t="str">
        <f t="shared" si="46"/>
        <v>H02-24-0067</v>
      </c>
      <c r="D314" s="228">
        <v>45434</v>
      </c>
      <c r="E314" s="222" t="s">
        <v>22</v>
      </c>
      <c r="F314" s="217" t="str">
        <f t="shared" si="47"/>
        <v>APPLICATIONS (RD,RO,EC MED, RF, MAT, SO, RR, SS, PLP, ACOP)</v>
      </c>
      <c r="G314" s="219" t="s">
        <v>34</v>
      </c>
      <c r="H314" s="219" t="s">
        <v>131</v>
      </c>
      <c r="I314" s="220" t="s">
        <v>319</v>
      </c>
      <c r="J314" s="213">
        <v>2023</v>
      </c>
      <c r="K314" s="221">
        <f>2024-Table1[[#This Row],[LATEST YEAR]]</f>
        <v>1</v>
      </c>
      <c r="L314" s="221">
        <f>VLOOKUP(Table1[[#This Row],[GRDS ITEM NO]],RETENTION1,4,0)</f>
        <v>1</v>
      </c>
      <c r="M314" s="221">
        <f>Table1[[#This Row],[RETENTION PERIOD]]-Table1[[#This Row],[NO. YEARS AS OF 2024]]</f>
        <v>0</v>
      </c>
      <c r="N314" s="213" t="s">
        <v>310</v>
      </c>
      <c r="O314" s="222"/>
      <c r="P314" s="145" t="s">
        <v>20</v>
      </c>
    </row>
    <row r="315" spans="1:16" s="223" customFormat="1" x14ac:dyDescent="0.65">
      <c r="A315" s="222" t="s">
        <v>311</v>
      </c>
      <c r="B315" s="213">
        <v>8</v>
      </c>
      <c r="C315" s="214" t="str">
        <f t="shared" si="46"/>
        <v>H02-24-0068</v>
      </c>
      <c r="D315" s="228">
        <v>45436</v>
      </c>
      <c r="E315" s="222" t="s">
        <v>22</v>
      </c>
      <c r="F315" s="217" t="str">
        <f t="shared" si="47"/>
        <v>APPLICATIONS (RD,RO,EC MED, RF, MAT, SO, RR, SS, PLP, ACOP)</v>
      </c>
      <c r="G315" s="219" t="s">
        <v>34</v>
      </c>
      <c r="H315" s="219" t="s">
        <v>131</v>
      </c>
      <c r="I315" s="220" t="s">
        <v>320</v>
      </c>
      <c r="J315" s="213">
        <v>2023</v>
      </c>
      <c r="K315" s="221">
        <f>2024-Table1[[#This Row],[LATEST YEAR]]</f>
        <v>1</v>
      </c>
      <c r="L315" s="221">
        <f>VLOOKUP(Table1[[#This Row],[GRDS ITEM NO]],RETENTION1,4,0)</f>
        <v>1</v>
      </c>
      <c r="M315" s="221">
        <f>Table1[[#This Row],[RETENTION PERIOD]]-Table1[[#This Row],[NO. YEARS AS OF 2024]]</f>
        <v>0</v>
      </c>
      <c r="N315" s="213" t="s">
        <v>310</v>
      </c>
      <c r="O315" s="222"/>
      <c r="P315" s="145" t="s">
        <v>20</v>
      </c>
    </row>
    <row r="316" spans="1:16" s="223" customFormat="1" x14ac:dyDescent="0.65">
      <c r="A316" s="222" t="s">
        <v>311</v>
      </c>
      <c r="B316" s="213">
        <v>9</v>
      </c>
      <c r="C316" s="214" t="str">
        <f t="shared" si="46"/>
        <v>H02-24-0069</v>
      </c>
      <c r="D316" s="228">
        <v>45453</v>
      </c>
      <c r="E316" s="222" t="s">
        <v>22</v>
      </c>
      <c r="F316" s="217" t="str">
        <f t="shared" si="47"/>
        <v>APPLICATIONS (RD,RO,EC MED, RF, MAT, SO, RR, SS, PLP, ACOP)</v>
      </c>
      <c r="G316" s="219" t="s">
        <v>34</v>
      </c>
      <c r="H316" s="219" t="s">
        <v>131</v>
      </c>
      <c r="I316" s="220" t="s">
        <v>321</v>
      </c>
      <c r="J316" s="213">
        <v>2023</v>
      </c>
      <c r="K316" s="221">
        <f>2024-Table1[[#This Row],[LATEST YEAR]]</f>
        <v>1</v>
      </c>
      <c r="L316" s="221">
        <f>VLOOKUP(Table1[[#This Row],[GRDS ITEM NO]],RETENTION1,4,0)</f>
        <v>1</v>
      </c>
      <c r="M316" s="221">
        <f>Table1[[#This Row],[RETENTION PERIOD]]-Table1[[#This Row],[NO. YEARS AS OF 2024]]</f>
        <v>0</v>
      </c>
      <c r="N316" s="213" t="s">
        <v>310</v>
      </c>
      <c r="O316" s="222"/>
      <c r="P316" s="145" t="s">
        <v>20</v>
      </c>
    </row>
    <row r="317" spans="1:16" s="223" customFormat="1" x14ac:dyDescent="0.65">
      <c r="A317" s="222" t="s">
        <v>322</v>
      </c>
      <c r="B317" s="213">
        <v>1</v>
      </c>
      <c r="C317" s="214" t="str">
        <f t="shared" si="46"/>
        <v>H02-24-0071</v>
      </c>
      <c r="D317" s="228">
        <v>45509</v>
      </c>
      <c r="E317" s="222" t="s">
        <v>22</v>
      </c>
      <c r="F317" s="217" t="str">
        <f t="shared" si="47"/>
        <v>APPLICATIONS (RD,RO,EC MED, RF, MAT, SO, RR, SS, PLP, ACOP)</v>
      </c>
      <c r="G317" s="219" t="s">
        <v>34</v>
      </c>
      <c r="H317" s="219" t="s">
        <v>131</v>
      </c>
      <c r="I317" s="220" t="s">
        <v>323</v>
      </c>
      <c r="J317" s="213">
        <v>2023</v>
      </c>
      <c r="K317" s="221">
        <f>2024-Table1[[#This Row],[LATEST YEAR]]</f>
        <v>1</v>
      </c>
      <c r="L317" s="221">
        <f>VLOOKUP(Table1[[#This Row],[GRDS ITEM NO]],RETENTION1,4,0)</f>
        <v>1</v>
      </c>
      <c r="M317" s="221">
        <f>Table1[[#This Row],[RETENTION PERIOD]]-Table1[[#This Row],[NO. YEARS AS OF 2024]]</f>
        <v>0</v>
      </c>
      <c r="N317" s="213" t="s">
        <v>310</v>
      </c>
      <c r="O317" s="222"/>
      <c r="P317" s="145" t="s">
        <v>20</v>
      </c>
    </row>
    <row r="318" spans="1:16" s="171" customFormat="1" x14ac:dyDescent="0.65">
      <c r="A318" s="162" t="s">
        <v>324</v>
      </c>
      <c r="B318" s="163">
        <v>1</v>
      </c>
      <c r="C318" s="164" t="str">
        <f t="shared" si="46"/>
        <v>H02-24-0081</v>
      </c>
      <c r="D318" s="165">
        <v>45511</v>
      </c>
      <c r="E318" s="162" t="s">
        <v>22</v>
      </c>
      <c r="F318" s="166" t="str">
        <f t="shared" si="47"/>
        <v>APPLICATIONS (RD,RO,EC MED, RF, MAT, SO, RR, SS, PLP, ACOP)</v>
      </c>
      <c r="G318" s="167" t="s">
        <v>34</v>
      </c>
      <c r="H318" s="167" t="s">
        <v>131</v>
      </c>
      <c r="I318" s="168" t="s">
        <v>325</v>
      </c>
      <c r="J318" s="163">
        <v>2023</v>
      </c>
      <c r="K318" s="169">
        <f>2024-Table1[[#This Row],[LATEST YEAR]]</f>
        <v>1</v>
      </c>
      <c r="L318" s="169">
        <f>VLOOKUP(Table1[[#This Row],[GRDS ITEM NO]],RETENTION1,4,0)</f>
        <v>1</v>
      </c>
      <c r="M318" s="169">
        <f>Table1[[#This Row],[RETENTION PERIOD]]-Table1[[#This Row],[NO. YEARS AS OF 2024]]</f>
        <v>0</v>
      </c>
      <c r="N318" s="163" t="s">
        <v>310</v>
      </c>
      <c r="O318" s="145"/>
      <c r="P318" s="145" t="s">
        <v>20</v>
      </c>
    </row>
    <row r="319" spans="1:16" s="171" customFormat="1" x14ac:dyDescent="0.65">
      <c r="A319" s="162" t="s">
        <v>326</v>
      </c>
      <c r="B319" s="163">
        <v>1</v>
      </c>
      <c r="C319" s="164" t="str">
        <f t="shared" si="46"/>
        <v>H02-24-0091</v>
      </c>
      <c r="D319" s="175">
        <v>45518</v>
      </c>
      <c r="E319" s="162" t="s">
        <v>22</v>
      </c>
      <c r="F319" s="166" t="str">
        <f t="shared" si="47"/>
        <v>APPLICATIONS (RD,RO,EC MED, RF, MAT, SO, RR, SS, PLP, ACOP)</v>
      </c>
      <c r="G319" s="167" t="s">
        <v>34</v>
      </c>
      <c r="H319" s="167" t="s">
        <v>131</v>
      </c>
      <c r="I319" s="168" t="s">
        <v>327</v>
      </c>
      <c r="J319" s="163">
        <v>2023</v>
      </c>
      <c r="K319" s="169">
        <f>2024-Table1[[#This Row],[LATEST YEAR]]</f>
        <v>1</v>
      </c>
      <c r="L319" s="169">
        <f>VLOOKUP(Table1[[#This Row],[GRDS ITEM NO]],RETENTION1,4,0)</f>
        <v>1</v>
      </c>
      <c r="M319" s="169">
        <f>Table1[[#This Row],[RETENTION PERIOD]]-Table1[[#This Row],[NO. YEARS AS OF 2024]]</f>
        <v>0</v>
      </c>
      <c r="N319" s="163" t="s">
        <v>310</v>
      </c>
      <c r="O319" s="145"/>
      <c r="P319" s="145" t="s">
        <v>20</v>
      </c>
    </row>
    <row r="320" spans="1:16" s="171" customFormat="1" x14ac:dyDescent="0.65">
      <c r="A320" s="162" t="s">
        <v>328</v>
      </c>
      <c r="B320" s="163">
        <v>1</v>
      </c>
      <c r="C320" s="164" t="str">
        <f t="shared" si="46"/>
        <v>H02-24-0101</v>
      </c>
      <c r="D320" s="165">
        <v>45573</v>
      </c>
      <c r="E320" s="162" t="s">
        <v>22</v>
      </c>
      <c r="F320" s="166" t="str">
        <f t="shared" si="47"/>
        <v>APPLICATIONS (RD,RO,EC MED, RF, MAT, SO, RR, SS, PLP, ACOP)</v>
      </c>
      <c r="G320" s="167" t="s">
        <v>34</v>
      </c>
      <c r="H320" s="167" t="s">
        <v>141</v>
      </c>
      <c r="I320" s="168" t="s">
        <v>329</v>
      </c>
      <c r="J320" s="163">
        <v>2023</v>
      </c>
      <c r="K320" s="169">
        <f>2024-Table1[[#This Row],[LATEST YEAR]]</f>
        <v>1</v>
      </c>
      <c r="L320" s="169">
        <f>VLOOKUP(Table1[[#This Row],[GRDS ITEM NO]],RETENTION1,4,0)</f>
        <v>1</v>
      </c>
      <c r="M320" s="169">
        <f>Table1[[#This Row],[RETENTION PERIOD]]-Table1[[#This Row],[NO. YEARS AS OF 2024]]</f>
        <v>0</v>
      </c>
      <c r="N320" s="163" t="s">
        <v>310</v>
      </c>
      <c r="O320" s="145"/>
      <c r="P320" s="145" t="s">
        <v>20</v>
      </c>
    </row>
    <row r="321" spans="1:16" s="171" customFormat="1" x14ac:dyDescent="0.65">
      <c r="A321" s="162" t="s">
        <v>330</v>
      </c>
      <c r="B321" s="163">
        <v>1</v>
      </c>
      <c r="C321" s="164" t="str">
        <f t="shared" si="46"/>
        <v>H02-24-0111</v>
      </c>
      <c r="D321" s="165">
        <v>45588</v>
      </c>
      <c r="E321" s="162" t="s">
        <v>22</v>
      </c>
      <c r="F321" s="166" t="str">
        <f t="shared" si="47"/>
        <v>APPLICATIONS (RD,RO,EC MED, RF, MAT, SO, RR, SS, PLP, ACOP)</v>
      </c>
      <c r="G321" s="167" t="s">
        <v>34</v>
      </c>
      <c r="H321" s="167" t="s">
        <v>131</v>
      </c>
      <c r="I321" s="168" t="s">
        <v>331</v>
      </c>
      <c r="J321" s="163">
        <v>2023</v>
      </c>
      <c r="K321" s="169">
        <f>2024-Table1[[#This Row],[LATEST YEAR]]</f>
        <v>1</v>
      </c>
      <c r="L321" s="169">
        <f>VLOOKUP(Table1[[#This Row],[GRDS ITEM NO]],RETENTION1,4,0)</f>
        <v>1</v>
      </c>
      <c r="M321" s="169">
        <f>Table1[[#This Row],[RETENTION PERIOD]]-Table1[[#This Row],[NO. YEARS AS OF 2024]]</f>
        <v>0</v>
      </c>
      <c r="N321" s="163" t="s">
        <v>310</v>
      </c>
      <c r="O321" s="145"/>
      <c r="P321" s="145" t="s">
        <v>20</v>
      </c>
    </row>
    <row r="322" spans="1:16" x14ac:dyDescent="0.65">
      <c r="A322" s="145" t="s">
        <v>332</v>
      </c>
      <c r="B322" s="146">
        <v>1</v>
      </c>
      <c r="C322" s="147" t="str">
        <f t="shared" ref="C322:C350" si="48">_xlfn.CONCAT(A322,B322)</f>
        <v>H02-25-011</v>
      </c>
      <c r="D322" s="148">
        <v>45798</v>
      </c>
      <c r="E322" s="145">
        <v>26</v>
      </c>
      <c r="F322" s="149" t="str">
        <f t="shared" ref="F322:F351" si="49">VLOOKUP(E322,DESCRIP,2,0)</f>
        <v>REPORTS
-OTHERS (Batch Balance Sheet)</v>
      </c>
      <c r="G322" s="150" t="s">
        <v>17</v>
      </c>
      <c r="H322" s="150" t="s">
        <v>333</v>
      </c>
      <c r="I322" s="151" t="s">
        <v>334</v>
      </c>
      <c r="J322" s="146">
        <v>2021</v>
      </c>
      <c r="K322" s="25">
        <f>2024-Table1[[#This Row],[LATEST YEAR]]</f>
        <v>3</v>
      </c>
      <c r="L322" s="25">
        <f>VLOOKUP(Table1[[#This Row],[GRDS ITEM NO]],RETENTION1,4,0)</f>
        <v>2</v>
      </c>
      <c r="M322" s="25">
        <f>Table1[[#This Row],[RETENTION PERIOD]]-Table1[[#This Row],[NO. YEARS AS OF 2024]]</f>
        <v>-1</v>
      </c>
      <c r="N322" s="146"/>
      <c r="O322" s="145"/>
      <c r="P322" s="232" t="s">
        <v>98</v>
      </c>
    </row>
    <row r="323" spans="1:16" x14ac:dyDescent="0.65">
      <c r="A323" s="145" t="s">
        <v>332</v>
      </c>
      <c r="B323" s="146">
        <v>2</v>
      </c>
      <c r="C323" s="147" t="str">
        <f t="shared" si="48"/>
        <v>H02-25-012</v>
      </c>
      <c r="D323" s="148">
        <v>45798</v>
      </c>
      <c r="E323" s="145">
        <v>26</v>
      </c>
      <c r="F323" s="149" t="str">
        <f t="shared" si="49"/>
        <v>REPORTS
-OTHERS (Batch Balance Sheet)</v>
      </c>
      <c r="G323" s="150" t="s">
        <v>17</v>
      </c>
      <c r="H323" s="150" t="s">
        <v>333</v>
      </c>
      <c r="I323" s="188" t="s">
        <v>335</v>
      </c>
      <c r="J323" s="146">
        <v>2015</v>
      </c>
      <c r="K323" s="25">
        <f>2024-Table1[[#This Row],[LATEST YEAR]]</f>
        <v>9</v>
      </c>
      <c r="L323" s="25">
        <f>VLOOKUP(Table1[[#This Row],[GRDS ITEM NO]],RETENTION1,4,0)</f>
        <v>2</v>
      </c>
      <c r="M323" s="25">
        <f>Table1[[#This Row],[RETENTION PERIOD]]-Table1[[#This Row],[NO. YEARS AS OF 2024]]</f>
        <v>-7</v>
      </c>
      <c r="N323" s="146"/>
      <c r="O323" s="145"/>
      <c r="P323" s="232" t="s">
        <v>98</v>
      </c>
    </row>
    <row r="324" spans="1:16" x14ac:dyDescent="0.65">
      <c r="A324" s="145" t="s">
        <v>332</v>
      </c>
      <c r="B324" s="146">
        <v>3</v>
      </c>
      <c r="C324" s="147" t="str">
        <f t="shared" si="48"/>
        <v>H02-25-013</v>
      </c>
      <c r="D324" s="148">
        <v>45798</v>
      </c>
      <c r="E324" s="145">
        <v>26</v>
      </c>
      <c r="F324" s="149" t="str">
        <f t="shared" si="49"/>
        <v>REPORTS
-OTHERS (Batch Balance Sheet)</v>
      </c>
      <c r="G324" s="150" t="s">
        <v>17</v>
      </c>
      <c r="H324" s="150" t="s">
        <v>333</v>
      </c>
      <c r="I324" s="188" t="s">
        <v>336</v>
      </c>
      <c r="J324" s="146">
        <v>2022</v>
      </c>
      <c r="K324" s="25">
        <f>2024-Table1[[#This Row],[LATEST YEAR]]</f>
        <v>2</v>
      </c>
      <c r="L324" s="25">
        <f>VLOOKUP(Table1[[#This Row],[GRDS ITEM NO]],RETENTION1,4,0)</f>
        <v>2</v>
      </c>
      <c r="M324" s="25">
        <f>Table1[[#This Row],[RETENTION PERIOD]]-Table1[[#This Row],[NO. YEARS AS OF 2024]]</f>
        <v>0</v>
      </c>
      <c r="N324" s="146"/>
      <c r="O324" s="145"/>
      <c r="P324" s="232" t="s">
        <v>98</v>
      </c>
    </row>
    <row r="325" spans="1:16" x14ac:dyDescent="0.65">
      <c r="A325" s="145" t="s">
        <v>332</v>
      </c>
      <c r="B325" s="146">
        <v>4</v>
      </c>
      <c r="C325" s="147" t="str">
        <f t="shared" si="48"/>
        <v>H02-25-014</v>
      </c>
      <c r="D325" s="148">
        <v>45798</v>
      </c>
      <c r="E325" s="145">
        <v>26</v>
      </c>
      <c r="F325" s="149" t="str">
        <f t="shared" si="49"/>
        <v>REPORTS
-OTHERS (Batch Balance Sheet)</v>
      </c>
      <c r="G325" s="150" t="s">
        <v>17</v>
      </c>
      <c r="H325" s="150" t="s">
        <v>333</v>
      </c>
      <c r="I325" s="151">
        <v>2017</v>
      </c>
      <c r="J325" s="146">
        <v>2017</v>
      </c>
      <c r="K325" s="25">
        <f>2024-Table1[[#This Row],[LATEST YEAR]]</f>
        <v>7</v>
      </c>
      <c r="L325" s="25">
        <f>VLOOKUP(Table1[[#This Row],[GRDS ITEM NO]],RETENTION1,4,0)</f>
        <v>2</v>
      </c>
      <c r="M325" s="25">
        <f>Table1[[#This Row],[RETENTION PERIOD]]-Table1[[#This Row],[NO. YEARS AS OF 2024]]</f>
        <v>-5</v>
      </c>
      <c r="N325" s="146"/>
      <c r="O325" s="145"/>
      <c r="P325" s="232" t="s">
        <v>98</v>
      </c>
    </row>
    <row r="326" spans="1:16" x14ac:dyDescent="0.65">
      <c r="A326" s="145" t="s">
        <v>332</v>
      </c>
      <c r="B326" s="146">
        <v>5</v>
      </c>
      <c r="C326" s="147" t="str">
        <f t="shared" si="48"/>
        <v>H02-25-015</v>
      </c>
      <c r="D326" s="148">
        <v>45798</v>
      </c>
      <c r="E326" s="145">
        <v>26</v>
      </c>
      <c r="F326" s="149" t="str">
        <f t="shared" si="49"/>
        <v>REPORTS
-OTHERS (Batch Balance Sheet)</v>
      </c>
      <c r="G326" s="150" t="s">
        <v>17</v>
      </c>
      <c r="H326" s="150" t="s">
        <v>333</v>
      </c>
      <c r="I326" s="151" t="s">
        <v>337</v>
      </c>
      <c r="J326" s="146">
        <v>2011</v>
      </c>
      <c r="K326" s="25">
        <f>2024-Table1[[#This Row],[LATEST YEAR]]</f>
        <v>13</v>
      </c>
      <c r="L326" s="25">
        <f>VLOOKUP(Table1[[#This Row],[GRDS ITEM NO]],RETENTION1,4,0)</f>
        <v>2</v>
      </c>
      <c r="M326" s="25">
        <f>Table1[[#This Row],[RETENTION PERIOD]]-Table1[[#This Row],[NO. YEARS AS OF 2024]]</f>
        <v>-11</v>
      </c>
      <c r="N326" s="146"/>
      <c r="O326" s="145"/>
      <c r="P326" s="232" t="s">
        <v>98</v>
      </c>
    </row>
    <row r="327" spans="1:16" x14ac:dyDescent="0.65">
      <c r="A327" s="145" t="s">
        <v>332</v>
      </c>
      <c r="B327" s="146">
        <v>6</v>
      </c>
      <c r="C327" s="147" t="str">
        <f t="shared" si="48"/>
        <v>H02-25-016</v>
      </c>
      <c r="D327" s="148">
        <v>45798</v>
      </c>
      <c r="E327" s="145">
        <v>26</v>
      </c>
      <c r="F327" s="149" t="str">
        <f t="shared" si="49"/>
        <v>REPORTS
-OTHERS (Batch Balance Sheet)</v>
      </c>
      <c r="G327" s="150" t="s">
        <v>17</v>
      </c>
      <c r="H327" s="150" t="s">
        <v>333</v>
      </c>
      <c r="I327" s="151">
        <v>2019</v>
      </c>
      <c r="J327" s="146">
        <v>2019</v>
      </c>
      <c r="K327" s="25">
        <f>2024-Table1[[#This Row],[LATEST YEAR]]</f>
        <v>5</v>
      </c>
      <c r="L327" s="25">
        <f>VLOOKUP(Table1[[#This Row],[GRDS ITEM NO]],RETENTION1,4,0)</f>
        <v>2</v>
      </c>
      <c r="M327" s="25">
        <f>Table1[[#This Row],[RETENTION PERIOD]]-Table1[[#This Row],[NO. YEARS AS OF 2024]]</f>
        <v>-3</v>
      </c>
      <c r="N327" s="146"/>
      <c r="O327" s="145"/>
      <c r="P327" s="232" t="s">
        <v>98</v>
      </c>
    </row>
    <row r="328" spans="1:16" x14ac:dyDescent="0.65">
      <c r="A328" s="145" t="s">
        <v>332</v>
      </c>
      <c r="B328" s="146">
        <v>7</v>
      </c>
      <c r="C328" s="147" t="str">
        <f t="shared" si="48"/>
        <v>H02-25-017</v>
      </c>
      <c r="D328" s="148">
        <v>45798</v>
      </c>
      <c r="E328" s="145">
        <v>26</v>
      </c>
      <c r="F328" s="149" t="str">
        <f t="shared" si="49"/>
        <v>REPORTS
-OTHERS (Batch Balance Sheet)</v>
      </c>
      <c r="G328" s="150" t="s">
        <v>17</v>
      </c>
      <c r="H328" s="150" t="s">
        <v>333</v>
      </c>
      <c r="I328" s="151">
        <v>2018</v>
      </c>
      <c r="J328" s="146">
        <v>2018</v>
      </c>
      <c r="K328" s="25">
        <f>2024-Table1[[#This Row],[LATEST YEAR]]</f>
        <v>6</v>
      </c>
      <c r="L328" s="25">
        <f>VLOOKUP(Table1[[#This Row],[GRDS ITEM NO]],RETENTION1,4,0)</f>
        <v>2</v>
      </c>
      <c r="M328" s="25">
        <f>Table1[[#This Row],[RETENTION PERIOD]]-Table1[[#This Row],[NO. YEARS AS OF 2024]]</f>
        <v>-4</v>
      </c>
      <c r="N328" s="146"/>
      <c r="O328" s="145"/>
      <c r="P328" s="232" t="s">
        <v>98</v>
      </c>
    </row>
    <row r="329" spans="1:16" x14ac:dyDescent="0.65">
      <c r="A329" s="145" t="s">
        <v>332</v>
      </c>
      <c r="B329" s="146">
        <v>8</v>
      </c>
      <c r="C329" s="147" t="str">
        <f t="shared" si="48"/>
        <v>H02-25-018</v>
      </c>
      <c r="D329" s="148">
        <v>45798</v>
      </c>
      <c r="E329" s="145">
        <v>26</v>
      </c>
      <c r="F329" s="149" t="str">
        <f t="shared" si="49"/>
        <v>REPORTS
-OTHERS (Batch Balance Sheet)</v>
      </c>
      <c r="G329" s="150" t="s">
        <v>17</v>
      </c>
      <c r="H329" s="150" t="s">
        <v>338</v>
      </c>
      <c r="I329" s="151">
        <v>2012</v>
      </c>
      <c r="J329" s="146">
        <v>2012</v>
      </c>
      <c r="K329" s="25">
        <f>2024-Table1[[#This Row],[LATEST YEAR]]</f>
        <v>12</v>
      </c>
      <c r="L329" s="25">
        <f>VLOOKUP(Table1[[#This Row],[GRDS ITEM NO]],RETENTION1,4,0)</f>
        <v>2</v>
      </c>
      <c r="M329" s="25">
        <f>Table1[[#This Row],[RETENTION PERIOD]]-Table1[[#This Row],[NO. YEARS AS OF 2024]]</f>
        <v>-10</v>
      </c>
      <c r="N329" s="146"/>
      <c r="O329" s="145"/>
      <c r="P329" s="232" t="s">
        <v>98</v>
      </c>
    </row>
    <row r="330" spans="1:16" x14ac:dyDescent="0.65">
      <c r="A330" s="145" t="s">
        <v>332</v>
      </c>
      <c r="B330" s="146">
        <v>9</v>
      </c>
      <c r="C330" s="147" t="str">
        <f t="shared" si="48"/>
        <v>H02-25-019</v>
      </c>
      <c r="D330" s="148">
        <v>45798</v>
      </c>
      <c r="E330" s="145">
        <v>26</v>
      </c>
      <c r="F330" s="149" t="str">
        <f t="shared" si="49"/>
        <v>REPORTS
-OTHERS (Batch Balance Sheet)</v>
      </c>
      <c r="G330" s="150" t="s">
        <v>17</v>
      </c>
      <c r="H330" s="150" t="s">
        <v>333</v>
      </c>
      <c r="I330" s="151" t="s">
        <v>339</v>
      </c>
      <c r="J330" s="146">
        <v>2017</v>
      </c>
      <c r="K330" s="25">
        <f>2024-Table1[[#This Row],[LATEST YEAR]]</f>
        <v>7</v>
      </c>
      <c r="L330" s="25">
        <f>VLOOKUP(Table1[[#This Row],[GRDS ITEM NO]],RETENTION1,4,0)</f>
        <v>2</v>
      </c>
      <c r="M330" s="25">
        <f>Table1[[#This Row],[RETENTION PERIOD]]-Table1[[#This Row],[NO. YEARS AS OF 2024]]</f>
        <v>-5</v>
      </c>
      <c r="N330" s="146"/>
      <c r="O330" s="145"/>
      <c r="P330" s="232" t="s">
        <v>98</v>
      </c>
    </row>
    <row r="331" spans="1:16" x14ac:dyDescent="0.65">
      <c r="A331" s="145" t="s">
        <v>332</v>
      </c>
      <c r="B331" s="146">
        <v>10</v>
      </c>
      <c r="C331" s="147" t="str">
        <f t="shared" si="48"/>
        <v>H02-25-0110</v>
      </c>
      <c r="D331" s="148">
        <v>45798</v>
      </c>
      <c r="E331" s="145">
        <v>26</v>
      </c>
      <c r="F331" s="149" t="str">
        <f t="shared" si="49"/>
        <v>REPORTS
-OTHERS (Batch Balance Sheet)</v>
      </c>
      <c r="G331" s="150" t="s">
        <v>17</v>
      </c>
      <c r="H331" s="150" t="s">
        <v>333</v>
      </c>
      <c r="I331" s="151">
        <v>2013</v>
      </c>
      <c r="J331" s="146">
        <v>2013</v>
      </c>
      <c r="K331" s="25">
        <f>2024-Table1[[#This Row],[LATEST YEAR]]</f>
        <v>11</v>
      </c>
      <c r="L331" s="25">
        <f>VLOOKUP(Table1[[#This Row],[GRDS ITEM NO]],RETENTION1,4,0)</f>
        <v>2</v>
      </c>
      <c r="M331" s="25">
        <f>Table1[[#This Row],[RETENTION PERIOD]]-Table1[[#This Row],[NO. YEARS AS OF 2024]]</f>
        <v>-9</v>
      </c>
      <c r="N331" s="146"/>
      <c r="O331" s="145"/>
      <c r="P331" s="232" t="s">
        <v>98</v>
      </c>
    </row>
    <row r="332" spans="1:16" x14ac:dyDescent="0.65">
      <c r="A332" s="145" t="s">
        <v>332</v>
      </c>
      <c r="B332" s="146">
        <v>11</v>
      </c>
      <c r="C332" s="147" t="str">
        <f t="shared" si="48"/>
        <v>H02-25-0111</v>
      </c>
      <c r="D332" s="148">
        <v>45798</v>
      </c>
      <c r="E332" s="145">
        <v>26</v>
      </c>
      <c r="F332" s="149" t="str">
        <f t="shared" si="49"/>
        <v>REPORTS
-OTHERS (Batch Balance Sheet)</v>
      </c>
      <c r="G332" s="150" t="s">
        <v>17</v>
      </c>
      <c r="H332" s="150" t="s">
        <v>333</v>
      </c>
      <c r="I332" s="151">
        <v>2022</v>
      </c>
      <c r="J332" s="146">
        <v>2022</v>
      </c>
      <c r="K332" s="25">
        <f>2024-Table1[[#This Row],[LATEST YEAR]]</f>
        <v>2</v>
      </c>
      <c r="L332" s="25">
        <f>VLOOKUP(Table1[[#This Row],[GRDS ITEM NO]],RETENTION1,4,0)</f>
        <v>2</v>
      </c>
      <c r="M332" s="25">
        <f>Table1[[#This Row],[RETENTION PERIOD]]-Table1[[#This Row],[NO. YEARS AS OF 2024]]</f>
        <v>0</v>
      </c>
      <c r="N332" s="146"/>
      <c r="O332" s="145"/>
      <c r="P332" s="232" t="s">
        <v>98</v>
      </c>
    </row>
    <row r="333" spans="1:16" x14ac:dyDescent="0.65">
      <c r="A333" s="145" t="s">
        <v>332</v>
      </c>
      <c r="B333" s="146">
        <v>12</v>
      </c>
      <c r="C333" s="147" t="str">
        <f t="shared" si="48"/>
        <v>H02-25-0112</v>
      </c>
      <c r="D333" s="148">
        <v>45798</v>
      </c>
      <c r="E333" s="145">
        <v>26</v>
      </c>
      <c r="F333" s="149" t="str">
        <f t="shared" si="49"/>
        <v>REPORTS
-OTHERS (Batch Balance Sheet)</v>
      </c>
      <c r="G333" s="150" t="s">
        <v>17</v>
      </c>
      <c r="H333" s="150" t="s">
        <v>338</v>
      </c>
      <c r="I333" s="151" t="s">
        <v>340</v>
      </c>
      <c r="J333" s="146">
        <v>2012</v>
      </c>
      <c r="K333" s="25">
        <f>2024-Table1[[#This Row],[LATEST YEAR]]</f>
        <v>12</v>
      </c>
      <c r="L333" s="25">
        <f>VLOOKUP(Table1[[#This Row],[GRDS ITEM NO]],RETENTION1,4,0)</f>
        <v>2</v>
      </c>
      <c r="M333" s="25">
        <f>Table1[[#This Row],[RETENTION PERIOD]]-Table1[[#This Row],[NO. YEARS AS OF 2024]]</f>
        <v>-10</v>
      </c>
      <c r="N333" s="146"/>
      <c r="O333" s="145"/>
      <c r="P333" s="232" t="s">
        <v>98</v>
      </c>
    </row>
    <row r="334" spans="1:16" x14ac:dyDescent="0.65">
      <c r="A334" s="145" t="s">
        <v>332</v>
      </c>
      <c r="B334" s="146">
        <v>13</v>
      </c>
      <c r="C334" s="147" t="str">
        <f t="shared" si="48"/>
        <v>H02-25-0113</v>
      </c>
      <c r="D334" s="148">
        <v>45798</v>
      </c>
      <c r="E334" s="145">
        <v>26</v>
      </c>
      <c r="F334" s="149" t="str">
        <f t="shared" si="49"/>
        <v>REPORTS
-OTHERS (Batch Balance Sheet)</v>
      </c>
      <c r="G334" s="150" t="s">
        <v>17</v>
      </c>
      <c r="H334" s="150" t="s">
        <v>333</v>
      </c>
      <c r="I334" s="151">
        <v>2020</v>
      </c>
      <c r="J334" s="146">
        <v>2020</v>
      </c>
      <c r="K334" s="25">
        <f>2024-Table1[[#This Row],[LATEST YEAR]]</f>
        <v>4</v>
      </c>
      <c r="L334" s="25">
        <f>VLOOKUP(Table1[[#This Row],[GRDS ITEM NO]],RETENTION1,4,0)</f>
        <v>2</v>
      </c>
      <c r="M334" s="25">
        <f>Table1[[#This Row],[RETENTION PERIOD]]-Table1[[#This Row],[NO. YEARS AS OF 2024]]</f>
        <v>-2</v>
      </c>
      <c r="N334" s="146"/>
      <c r="O334" s="145"/>
      <c r="P334" s="232" t="s">
        <v>98</v>
      </c>
    </row>
    <row r="335" spans="1:16" x14ac:dyDescent="0.65">
      <c r="A335" s="145" t="s">
        <v>332</v>
      </c>
      <c r="B335" s="146">
        <v>14</v>
      </c>
      <c r="C335" s="147" t="str">
        <f t="shared" si="48"/>
        <v>H02-25-0114</v>
      </c>
      <c r="D335" s="148">
        <v>45798</v>
      </c>
      <c r="E335" s="145">
        <v>26</v>
      </c>
      <c r="F335" s="149" t="str">
        <f t="shared" si="49"/>
        <v>REPORTS
-OTHERS (Batch Balance Sheet)</v>
      </c>
      <c r="G335" s="150" t="s">
        <v>17</v>
      </c>
      <c r="H335" s="150" t="s">
        <v>333</v>
      </c>
      <c r="I335" s="151">
        <v>2021</v>
      </c>
      <c r="J335" s="146">
        <v>2021</v>
      </c>
      <c r="K335" s="25">
        <f>2024-Table1[[#This Row],[LATEST YEAR]]</f>
        <v>3</v>
      </c>
      <c r="L335" s="25">
        <f>VLOOKUP(Table1[[#This Row],[GRDS ITEM NO]],RETENTION1,4,0)</f>
        <v>2</v>
      </c>
      <c r="M335" s="25">
        <f>Table1[[#This Row],[RETENTION PERIOD]]-Table1[[#This Row],[NO. YEARS AS OF 2024]]</f>
        <v>-1</v>
      </c>
      <c r="N335" s="146"/>
      <c r="O335" s="145"/>
      <c r="P335" s="232" t="s">
        <v>98</v>
      </c>
    </row>
    <row r="336" spans="1:16" x14ac:dyDescent="0.65">
      <c r="A336" s="145" t="s">
        <v>332</v>
      </c>
      <c r="B336" s="146">
        <v>15</v>
      </c>
      <c r="C336" s="147" t="str">
        <f t="shared" si="48"/>
        <v>H02-25-0115</v>
      </c>
      <c r="D336" s="148">
        <v>45798</v>
      </c>
      <c r="E336" s="145">
        <v>26</v>
      </c>
      <c r="F336" s="149" t="str">
        <f t="shared" si="49"/>
        <v>REPORTS
-OTHERS (Batch Balance Sheet)</v>
      </c>
      <c r="G336" s="150" t="s">
        <v>17</v>
      </c>
      <c r="H336" s="150" t="s">
        <v>333</v>
      </c>
      <c r="I336" s="151" t="s">
        <v>335</v>
      </c>
      <c r="J336" s="146">
        <v>2015</v>
      </c>
      <c r="K336" s="25">
        <f>2024-Table1[[#This Row],[LATEST YEAR]]</f>
        <v>9</v>
      </c>
      <c r="L336" s="25">
        <f>VLOOKUP(Table1[[#This Row],[GRDS ITEM NO]],RETENTION1,4,0)</f>
        <v>2</v>
      </c>
      <c r="M336" s="25">
        <f>Table1[[#This Row],[RETENTION PERIOD]]-Table1[[#This Row],[NO. YEARS AS OF 2024]]</f>
        <v>-7</v>
      </c>
      <c r="N336" s="146"/>
      <c r="O336" s="145"/>
      <c r="P336" s="232" t="s">
        <v>98</v>
      </c>
    </row>
    <row r="337" spans="1:16" x14ac:dyDescent="0.65">
      <c r="A337" s="145" t="s">
        <v>332</v>
      </c>
      <c r="B337" s="146">
        <v>16</v>
      </c>
      <c r="C337" s="147" t="str">
        <f t="shared" si="48"/>
        <v>H02-25-0116</v>
      </c>
      <c r="D337" s="148">
        <v>45798</v>
      </c>
      <c r="E337" s="145">
        <v>26</v>
      </c>
      <c r="F337" s="149" t="str">
        <f t="shared" si="49"/>
        <v>REPORTS
-OTHERS (Batch Balance Sheet)</v>
      </c>
      <c r="G337" s="150" t="s">
        <v>17</v>
      </c>
      <c r="H337" s="150" t="s">
        <v>333</v>
      </c>
      <c r="I337" s="151" t="s">
        <v>341</v>
      </c>
      <c r="J337" s="146">
        <v>2010</v>
      </c>
      <c r="K337" s="25">
        <f>2024-Table1[[#This Row],[LATEST YEAR]]</f>
        <v>14</v>
      </c>
      <c r="L337" s="25">
        <f>VLOOKUP(Table1[[#This Row],[GRDS ITEM NO]],RETENTION1,4,0)</f>
        <v>2</v>
      </c>
      <c r="M337" s="25">
        <f>Table1[[#This Row],[RETENTION PERIOD]]-Table1[[#This Row],[NO. YEARS AS OF 2024]]</f>
        <v>-12</v>
      </c>
      <c r="N337" s="146"/>
      <c r="O337" s="145"/>
      <c r="P337" s="232" t="s">
        <v>98</v>
      </c>
    </row>
    <row r="338" spans="1:16" x14ac:dyDescent="0.65">
      <c r="A338" s="145" t="s">
        <v>332</v>
      </c>
      <c r="B338" s="146">
        <v>17</v>
      </c>
      <c r="C338" s="147" t="str">
        <f t="shared" si="48"/>
        <v>H02-25-0117</v>
      </c>
      <c r="D338" s="148">
        <v>45798</v>
      </c>
      <c r="E338" s="145">
        <v>26</v>
      </c>
      <c r="F338" s="149" t="str">
        <f t="shared" si="49"/>
        <v>REPORTS
-OTHERS (Batch Balance Sheet)</v>
      </c>
      <c r="G338" s="150" t="s">
        <v>17</v>
      </c>
      <c r="H338" s="150" t="s">
        <v>333</v>
      </c>
      <c r="I338" s="151">
        <v>2016</v>
      </c>
      <c r="J338" s="146">
        <v>2016</v>
      </c>
      <c r="K338" s="25">
        <f>2024-Table1[[#This Row],[LATEST YEAR]]</f>
        <v>8</v>
      </c>
      <c r="L338" s="25">
        <f>VLOOKUP(Table1[[#This Row],[GRDS ITEM NO]],RETENTION1,4,0)</f>
        <v>2</v>
      </c>
      <c r="M338" s="25">
        <f>Table1[[#This Row],[RETENTION PERIOD]]-Table1[[#This Row],[NO. YEARS AS OF 2024]]</f>
        <v>-6</v>
      </c>
      <c r="N338" s="146"/>
      <c r="O338" s="145"/>
      <c r="P338" s="232" t="s">
        <v>98</v>
      </c>
    </row>
    <row r="339" spans="1:16" x14ac:dyDescent="0.65">
      <c r="A339" s="145" t="s">
        <v>332</v>
      </c>
      <c r="B339" s="146">
        <v>18</v>
      </c>
      <c r="C339" s="147" t="str">
        <f t="shared" si="48"/>
        <v>H02-25-0118</v>
      </c>
      <c r="D339" s="148">
        <v>45798</v>
      </c>
      <c r="E339" s="145">
        <v>26</v>
      </c>
      <c r="F339" s="149" t="str">
        <f t="shared" si="49"/>
        <v>REPORTS
-OTHERS (Batch Balance Sheet)</v>
      </c>
      <c r="G339" s="150" t="s">
        <v>17</v>
      </c>
      <c r="H339" s="150" t="s">
        <v>333</v>
      </c>
      <c r="I339" s="151">
        <v>2019</v>
      </c>
      <c r="J339" s="146">
        <v>2019</v>
      </c>
      <c r="K339" s="25">
        <f>2024-Table1[[#This Row],[LATEST YEAR]]</f>
        <v>5</v>
      </c>
      <c r="L339" s="25">
        <f>VLOOKUP(Table1[[#This Row],[GRDS ITEM NO]],RETENTION1,4,0)</f>
        <v>2</v>
      </c>
      <c r="M339" s="25">
        <f>Table1[[#This Row],[RETENTION PERIOD]]-Table1[[#This Row],[NO. YEARS AS OF 2024]]</f>
        <v>-3</v>
      </c>
      <c r="N339" s="146"/>
      <c r="O339" s="145"/>
      <c r="P339" s="232" t="s">
        <v>98</v>
      </c>
    </row>
    <row r="340" spans="1:16" x14ac:dyDescent="0.65">
      <c r="A340" s="145" t="s">
        <v>332</v>
      </c>
      <c r="B340" s="146">
        <v>19</v>
      </c>
      <c r="C340" s="147" t="str">
        <f t="shared" si="48"/>
        <v>H02-25-0119</v>
      </c>
      <c r="D340" s="148">
        <v>45798</v>
      </c>
      <c r="E340" s="145">
        <v>26</v>
      </c>
      <c r="F340" s="149" t="str">
        <f t="shared" si="49"/>
        <v>REPORTS
-OTHERS (Batch Balance Sheet)</v>
      </c>
      <c r="G340" s="150" t="s">
        <v>17</v>
      </c>
      <c r="H340" s="150" t="s">
        <v>338</v>
      </c>
      <c r="I340" s="151">
        <v>2011</v>
      </c>
      <c r="J340" s="146">
        <v>2011</v>
      </c>
      <c r="K340" s="25">
        <f>2024-Table1[[#This Row],[LATEST YEAR]]</f>
        <v>13</v>
      </c>
      <c r="L340" s="25">
        <f>VLOOKUP(Table1[[#This Row],[GRDS ITEM NO]],RETENTION1,4,0)</f>
        <v>2</v>
      </c>
      <c r="M340" s="25">
        <f>Table1[[#This Row],[RETENTION PERIOD]]-Table1[[#This Row],[NO. YEARS AS OF 2024]]</f>
        <v>-11</v>
      </c>
      <c r="N340" s="146"/>
      <c r="O340" s="145"/>
      <c r="P340" s="232" t="s">
        <v>98</v>
      </c>
    </row>
    <row r="341" spans="1:16" x14ac:dyDescent="0.65">
      <c r="A341" s="145" t="s">
        <v>342</v>
      </c>
      <c r="B341" s="146">
        <v>1</v>
      </c>
      <c r="C341" s="147" t="str">
        <f t="shared" si="48"/>
        <v>H02-25-021</v>
      </c>
      <c r="D341" s="148" t="s">
        <v>343</v>
      </c>
      <c r="E341" s="145">
        <v>74</v>
      </c>
      <c r="F341" s="149" t="str">
        <f t="shared" si="49"/>
        <v>OFFICIAL RECEIPTS</v>
      </c>
      <c r="G341" s="150" t="s">
        <v>17</v>
      </c>
      <c r="H341" s="143" t="s">
        <v>113</v>
      </c>
      <c r="I341" s="110">
        <v>2012</v>
      </c>
      <c r="J341" s="146">
        <v>2012</v>
      </c>
      <c r="K341" s="25">
        <f>2024-Table1[[#This Row],[LATEST YEAR]]</f>
        <v>12</v>
      </c>
      <c r="L341" s="25">
        <f>VLOOKUP(Table1[[#This Row],[GRDS ITEM NO]],RETENTION1,4,0)</f>
        <v>10</v>
      </c>
      <c r="M341" s="25">
        <f>Table1[[#This Row],[RETENTION PERIOD]]-Table1[[#This Row],[NO. YEARS AS OF 2024]]</f>
        <v>-2</v>
      </c>
      <c r="N341" s="146"/>
      <c r="O341" s="145"/>
      <c r="P341" s="232" t="s">
        <v>98</v>
      </c>
    </row>
    <row r="342" spans="1:16" x14ac:dyDescent="0.65">
      <c r="A342" s="145" t="s">
        <v>342</v>
      </c>
      <c r="B342" s="146">
        <v>2</v>
      </c>
      <c r="C342" s="147" t="str">
        <f t="shared" si="48"/>
        <v>H02-25-022</v>
      </c>
      <c r="D342" s="148">
        <v>45798</v>
      </c>
      <c r="E342" s="145">
        <v>74</v>
      </c>
      <c r="F342" s="149" t="str">
        <f t="shared" si="49"/>
        <v>OFFICIAL RECEIPTS</v>
      </c>
      <c r="G342" s="150" t="s">
        <v>17</v>
      </c>
      <c r="H342" s="143" t="s">
        <v>113</v>
      </c>
      <c r="I342" s="151" t="s">
        <v>344</v>
      </c>
      <c r="J342" s="146">
        <v>2014</v>
      </c>
      <c r="K342" s="25">
        <f>2024-Table1[[#This Row],[LATEST YEAR]]</f>
        <v>10</v>
      </c>
      <c r="L342" s="25">
        <f>VLOOKUP(Table1[[#This Row],[GRDS ITEM NO]],RETENTION1,4,0)</f>
        <v>10</v>
      </c>
      <c r="M342" s="25">
        <f>Table1[[#This Row],[RETENTION PERIOD]]-Table1[[#This Row],[NO. YEARS AS OF 2024]]</f>
        <v>0</v>
      </c>
      <c r="N342" s="146"/>
      <c r="O342" s="145"/>
      <c r="P342" s="232" t="s">
        <v>98</v>
      </c>
    </row>
    <row r="343" spans="1:16" x14ac:dyDescent="0.65">
      <c r="A343" s="145" t="s">
        <v>342</v>
      </c>
      <c r="B343" s="146">
        <v>3</v>
      </c>
      <c r="C343" s="147" t="str">
        <f t="shared" si="48"/>
        <v>H02-25-023</v>
      </c>
      <c r="D343" s="148">
        <v>45798</v>
      </c>
      <c r="E343" s="145">
        <v>74</v>
      </c>
      <c r="F343" s="149" t="str">
        <f t="shared" si="49"/>
        <v>OFFICIAL RECEIPTS</v>
      </c>
      <c r="G343" s="150" t="s">
        <v>17</v>
      </c>
      <c r="H343" s="143" t="s">
        <v>113</v>
      </c>
      <c r="I343" s="151" t="s">
        <v>345</v>
      </c>
      <c r="J343" s="146">
        <v>2013</v>
      </c>
      <c r="K343" s="25">
        <f>2024-Table1[[#This Row],[LATEST YEAR]]</f>
        <v>11</v>
      </c>
      <c r="L343" s="25">
        <f>VLOOKUP(Table1[[#This Row],[GRDS ITEM NO]],RETENTION1,4,0)</f>
        <v>10</v>
      </c>
      <c r="M343" s="25">
        <f>Table1[[#This Row],[RETENTION PERIOD]]-Table1[[#This Row],[NO. YEARS AS OF 2024]]</f>
        <v>-1</v>
      </c>
      <c r="N343" s="146"/>
      <c r="O343" s="145"/>
      <c r="P343" s="232" t="s">
        <v>98</v>
      </c>
    </row>
    <row r="344" spans="1:16" x14ac:dyDescent="0.65">
      <c r="A344" s="145" t="s">
        <v>342</v>
      </c>
      <c r="B344" s="146">
        <v>4</v>
      </c>
      <c r="C344" s="147" t="str">
        <f t="shared" si="48"/>
        <v>H02-25-024</v>
      </c>
      <c r="D344" s="148">
        <v>45798</v>
      </c>
      <c r="E344" s="145">
        <v>74</v>
      </c>
      <c r="F344" s="149" t="str">
        <f t="shared" si="49"/>
        <v>OFFICIAL RECEIPTS</v>
      </c>
      <c r="G344" s="150" t="s">
        <v>17</v>
      </c>
      <c r="H344" s="143" t="s">
        <v>113</v>
      </c>
      <c r="I344" s="151" t="s">
        <v>346</v>
      </c>
      <c r="J344" s="146">
        <v>2012</v>
      </c>
      <c r="K344" s="25">
        <f>2024-Table1[[#This Row],[LATEST YEAR]]</f>
        <v>12</v>
      </c>
      <c r="L344" s="25">
        <f>VLOOKUP(Table1[[#This Row],[GRDS ITEM NO]],RETENTION1,4,0)</f>
        <v>10</v>
      </c>
      <c r="M344" s="25">
        <f>Table1[[#This Row],[RETENTION PERIOD]]-Table1[[#This Row],[NO. YEARS AS OF 2024]]</f>
        <v>-2</v>
      </c>
      <c r="N344" s="146"/>
      <c r="O344" s="145"/>
      <c r="P344" s="232" t="s">
        <v>98</v>
      </c>
    </row>
    <row r="345" spans="1:16" x14ac:dyDescent="0.65">
      <c r="A345" s="145" t="s">
        <v>342</v>
      </c>
      <c r="B345" s="146">
        <v>5</v>
      </c>
      <c r="C345" s="147" t="str">
        <f t="shared" si="48"/>
        <v>H02-25-025</v>
      </c>
      <c r="D345" s="148">
        <v>45798</v>
      </c>
      <c r="E345" s="145">
        <v>74</v>
      </c>
      <c r="F345" s="149" t="str">
        <f t="shared" si="49"/>
        <v>OFFICIAL RECEIPTS</v>
      </c>
      <c r="G345" s="150" t="s">
        <v>17</v>
      </c>
      <c r="H345" s="143" t="s">
        <v>113</v>
      </c>
      <c r="I345" s="110">
        <v>2012</v>
      </c>
      <c r="J345" s="146">
        <v>2012</v>
      </c>
      <c r="K345" s="25">
        <f>2024-Table1[[#This Row],[LATEST YEAR]]</f>
        <v>12</v>
      </c>
      <c r="L345" s="25">
        <f>VLOOKUP(Table1[[#This Row],[GRDS ITEM NO]],RETENTION1,4,0)</f>
        <v>10</v>
      </c>
      <c r="M345" s="25">
        <f>Table1[[#This Row],[RETENTION PERIOD]]-Table1[[#This Row],[NO. YEARS AS OF 2024]]</f>
        <v>-2</v>
      </c>
      <c r="N345" s="146"/>
      <c r="O345" s="145"/>
      <c r="P345" s="232" t="s">
        <v>98</v>
      </c>
    </row>
    <row r="346" spans="1:16" x14ac:dyDescent="0.65">
      <c r="A346" s="145" t="s">
        <v>342</v>
      </c>
      <c r="B346" s="146">
        <v>6</v>
      </c>
      <c r="C346" s="147" t="str">
        <f t="shared" si="48"/>
        <v>H02-25-026</v>
      </c>
      <c r="D346" s="148">
        <v>45798</v>
      </c>
      <c r="E346" s="145">
        <v>74</v>
      </c>
      <c r="F346" s="149" t="str">
        <f t="shared" si="49"/>
        <v>OFFICIAL RECEIPTS</v>
      </c>
      <c r="G346" s="150" t="s">
        <v>17</v>
      </c>
      <c r="H346" s="143" t="s">
        <v>113</v>
      </c>
      <c r="I346" s="110">
        <v>2011</v>
      </c>
      <c r="J346" s="146">
        <v>2011</v>
      </c>
      <c r="K346" s="25">
        <f>2024-Table1[[#This Row],[LATEST YEAR]]</f>
        <v>13</v>
      </c>
      <c r="L346" s="25">
        <f>VLOOKUP(Table1[[#This Row],[GRDS ITEM NO]],RETENTION1,4,0)</f>
        <v>10</v>
      </c>
      <c r="M346" s="25">
        <f>Table1[[#This Row],[RETENTION PERIOD]]-Table1[[#This Row],[NO. YEARS AS OF 2024]]</f>
        <v>-3</v>
      </c>
      <c r="N346" s="146"/>
      <c r="O346" s="145"/>
      <c r="P346" s="232" t="s">
        <v>98</v>
      </c>
    </row>
    <row r="347" spans="1:16" x14ac:dyDescent="0.65">
      <c r="A347" s="145" t="s">
        <v>342</v>
      </c>
      <c r="B347" s="146">
        <v>7</v>
      </c>
      <c r="C347" s="147" t="str">
        <f t="shared" si="48"/>
        <v>H02-25-027</v>
      </c>
      <c r="D347" s="148">
        <v>45798</v>
      </c>
      <c r="E347" s="145">
        <v>74</v>
      </c>
      <c r="F347" s="149" t="str">
        <f t="shared" si="49"/>
        <v>OFFICIAL RECEIPTS</v>
      </c>
      <c r="G347" s="150" t="s">
        <v>17</v>
      </c>
      <c r="H347" s="143" t="s">
        <v>113</v>
      </c>
      <c r="I347" s="151" t="s">
        <v>347</v>
      </c>
      <c r="J347" s="146">
        <v>2013</v>
      </c>
      <c r="K347" s="25">
        <f>2024-Table1[[#This Row],[LATEST YEAR]]</f>
        <v>11</v>
      </c>
      <c r="L347" s="25">
        <f>VLOOKUP(Table1[[#This Row],[GRDS ITEM NO]],RETENTION1,4,0)</f>
        <v>10</v>
      </c>
      <c r="M347" s="25">
        <f>Table1[[#This Row],[RETENTION PERIOD]]-Table1[[#This Row],[NO. YEARS AS OF 2024]]</f>
        <v>-1</v>
      </c>
      <c r="N347" s="146"/>
      <c r="O347" s="145"/>
      <c r="P347" s="232" t="s">
        <v>98</v>
      </c>
    </row>
    <row r="348" spans="1:16" x14ac:dyDescent="0.65">
      <c r="A348" s="145" t="s">
        <v>342</v>
      </c>
      <c r="B348" s="146">
        <v>8</v>
      </c>
      <c r="C348" s="147" t="str">
        <f t="shared" si="48"/>
        <v>H02-25-028</v>
      </c>
      <c r="D348" s="148">
        <v>45798</v>
      </c>
      <c r="E348" s="145">
        <v>74</v>
      </c>
      <c r="F348" s="149" t="str">
        <f t="shared" si="49"/>
        <v>OFFICIAL RECEIPTS</v>
      </c>
      <c r="G348" s="150" t="s">
        <v>17</v>
      </c>
      <c r="H348" s="143" t="s">
        <v>113</v>
      </c>
      <c r="I348" s="110">
        <v>2012</v>
      </c>
      <c r="J348" s="146">
        <v>2012</v>
      </c>
      <c r="K348" s="25">
        <f>2024-Table1[[#This Row],[LATEST YEAR]]</f>
        <v>12</v>
      </c>
      <c r="L348" s="25">
        <f>VLOOKUP(Table1[[#This Row],[GRDS ITEM NO]],RETENTION1,4,0)</f>
        <v>10</v>
      </c>
      <c r="M348" s="25">
        <f>Table1[[#This Row],[RETENTION PERIOD]]-Table1[[#This Row],[NO. YEARS AS OF 2024]]</f>
        <v>-2</v>
      </c>
      <c r="N348" s="146"/>
      <c r="O348" s="145"/>
      <c r="P348" s="232" t="s">
        <v>98</v>
      </c>
    </row>
    <row r="349" spans="1:16" x14ac:dyDescent="0.65">
      <c r="A349" s="145" t="s">
        <v>342</v>
      </c>
      <c r="B349" s="146">
        <v>9</v>
      </c>
      <c r="C349" s="147" t="str">
        <f t="shared" si="48"/>
        <v>H02-25-029</v>
      </c>
      <c r="D349" s="148">
        <v>45798</v>
      </c>
      <c r="E349" s="145">
        <v>74</v>
      </c>
      <c r="F349" s="149" t="str">
        <f t="shared" si="49"/>
        <v>OFFICIAL RECEIPTS</v>
      </c>
      <c r="G349" s="150" t="s">
        <v>17</v>
      </c>
      <c r="H349" s="143" t="s">
        <v>113</v>
      </c>
      <c r="I349" s="151" t="s">
        <v>340</v>
      </c>
      <c r="J349" s="146">
        <v>2012</v>
      </c>
      <c r="K349" s="25">
        <f>2024-Table1[[#This Row],[LATEST YEAR]]</f>
        <v>12</v>
      </c>
      <c r="L349" s="25">
        <f>VLOOKUP(Table1[[#This Row],[GRDS ITEM NO]],RETENTION1,4,0)</f>
        <v>10</v>
      </c>
      <c r="M349" s="25">
        <f>Table1[[#This Row],[RETENTION PERIOD]]-Table1[[#This Row],[NO. YEARS AS OF 2024]]</f>
        <v>-2</v>
      </c>
      <c r="N349" s="146"/>
      <c r="O349" s="145"/>
      <c r="P349" s="232" t="s">
        <v>98</v>
      </c>
    </row>
    <row r="350" spans="1:16" x14ac:dyDescent="0.65">
      <c r="A350" s="145" t="s">
        <v>342</v>
      </c>
      <c r="B350" s="146">
        <v>10</v>
      </c>
      <c r="C350" s="147" t="str">
        <f t="shared" si="48"/>
        <v>H02-25-0210</v>
      </c>
      <c r="D350" s="148">
        <v>45798</v>
      </c>
      <c r="E350" s="145">
        <v>74</v>
      </c>
      <c r="F350" s="149" t="str">
        <f t="shared" si="49"/>
        <v>OFFICIAL RECEIPTS</v>
      </c>
      <c r="G350" s="150" t="s">
        <v>17</v>
      </c>
      <c r="H350" s="143" t="s">
        <v>113</v>
      </c>
      <c r="I350" s="151">
        <v>2012</v>
      </c>
      <c r="J350" s="146">
        <v>2012</v>
      </c>
      <c r="K350" s="25">
        <f>2024-Table1[[#This Row],[LATEST YEAR]]</f>
        <v>12</v>
      </c>
      <c r="L350" s="25">
        <f>VLOOKUP(Table1[[#This Row],[GRDS ITEM NO]],RETENTION1,4,0)</f>
        <v>10</v>
      </c>
      <c r="M350" s="25">
        <f>Table1[[#This Row],[RETENTION PERIOD]]-Table1[[#This Row],[NO. YEARS AS OF 2024]]</f>
        <v>-2</v>
      </c>
      <c r="N350" s="146"/>
      <c r="O350" s="145"/>
      <c r="P350" s="232" t="s">
        <v>98</v>
      </c>
    </row>
    <row r="351" spans="1:16" x14ac:dyDescent="0.65">
      <c r="A351" s="145" t="s">
        <v>348</v>
      </c>
      <c r="B351" s="146">
        <v>1</v>
      </c>
      <c r="C351" s="147" t="str">
        <f t="shared" ref="C351:C358" si="50">_xlfn.CONCAT(A351,B351)</f>
        <v>H02-25-031</v>
      </c>
      <c r="D351" s="148">
        <v>45882</v>
      </c>
      <c r="E351" s="145" t="s">
        <v>22</v>
      </c>
      <c r="F351" s="149" t="str">
        <f t="shared" si="49"/>
        <v>APPLICATIONS (RD,RO,EC MED, RF, MAT, SO, RR, SS, PLP, ACOP)</v>
      </c>
      <c r="G351" s="250" t="s">
        <v>34</v>
      </c>
      <c r="H351" s="250" t="s">
        <v>349</v>
      </c>
      <c r="I351" s="151" t="s">
        <v>350</v>
      </c>
      <c r="J351" s="146"/>
      <c r="K351" s="25">
        <f>2024-Table1[[#This Row],[LATEST YEAR]]</f>
        <v>2024</v>
      </c>
      <c r="L351" s="25">
        <f>VLOOKUP(Table1[[#This Row],[GRDS ITEM NO]],RETENTION1,4,0)</f>
        <v>1</v>
      </c>
      <c r="M351" s="25">
        <f>Table1[[#This Row],[RETENTION PERIOD]]-Table1[[#This Row],[NO. YEARS AS OF 2024]]</f>
        <v>-2023</v>
      </c>
      <c r="N351" s="146"/>
      <c r="O351" s="145"/>
      <c r="P351" s="145"/>
    </row>
    <row r="352" spans="1:16" x14ac:dyDescent="0.65">
      <c r="A352" s="145" t="s">
        <v>351</v>
      </c>
      <c r="B352" s="146">
        <v>1</v>
      </c>
      <c r="C352" s="147" t="str">
        <f t="shared" si="50"/>
        <v>H02-25-041</v>
      </c>
      <c r="D352" s="148">
        <v>45889</v>
      </c>
      <c r="E352" s="145" t="s">
        <v>22</v>
      </c>
      <c r="F352" s="149" t="str">
        <f t="shared" ref="F352" si="51">VLOOKUP(E352,DESCRIP,2,0)</f>
        <v>APPLICATIONS (RD,RO,EC MED, RF, MAT, SO, RR, SS, PLP, ACOP)</v>
      </c>
      <c r="G352" s="250" t="s">
        <v>34</v>
      </c>
      <c r="H352" s="250" t="s">
        <v>349</v>
      </c>
      <c r="I352" s="151" t="s">
        <v>352</v>
      </c>
      <c r="J352" s="146">
        <v>2025</v>
      </c>
      <c r="K352" s="25">
        <f>2024-Table1[[#This Row],[LATEST YEAR]]</f>
        <v>-1</v>
      </c>
      <c r="L352" s="25">
        <f>VLOOKUP(Table1[[#This Row],[GRDS ITEM NO]],RETENTION1,4,0)</f>
        <v>1</v>
      </c>
      <c r="M352" s="25">
        <f>Table1[[#This Row],[RETENTION PERIOD]]-Table1[[#This Row],[NO. YEARS AS OF 2024]]</f>
        <v>2</v>
      </c>
      <c r="N352" s="146"/>
      <c r="O352" s="145"/>
      <c r="P352" s="145"/>
    </row>
    <row r="353" spans="1:16" x14ac:dyDescent="0.65">
      <c r="A353" s="145" t="s">
        <v>353</v>
      </c>
      <c r="B353" s="146">
        <v>1</v>
      </c>
      <c r="C353" s="147" t="str">
        <f t="shared" si="50"/>
        <v>H02-25-051</v>
      </c>
      <c r="D353" s="148">
        <v>45953</v>
      </c>
      <c r="E353" s="145" t="s">
        <v>22</v>
      </c>
      <c r="F353" s="251" t="str">
        <f t="shared" ref="F353:F358" si="52">VLOOKUP(E353,DESCRIP,2,0)</f>
        <v>APPLICATIONS (RD,RO,EC MED, RF, MAT, SO, RR, SS, PLP, ACOP)</v>
      </c>
      <c r="G353" s="250" t="s">
        <v>34</v>
      </c>
      <c r="H353" s="250" t="s">
        <v>349</v>
      </c>
      <c r="I353" s="151" t="s">
        <v>354</v>
      </c>
      <c r="J353" s="146">
        <v>2025</v>
      </c>
      <c r="K353" s="25">
        <f>2024-Table1[[#This Row],[LATEST YEAR]]</f>
        <v>-1</v>
      </c>
      <c r="L353" s="25">
        <f>VLOOKUP(Table1[[#This Row],[GRDS ITEM NO]],RETENTION1,4,0)</f>
        <v>1</v>
      </c>
      <c r="M353" s="25">
        <f>Table1[[#This Row],[RETENTION PERIOD]]-Table1[[#This Row],[NO. YEARS AS OF 2024]]</f>
        <v>2</v>
      </c>
      <c r="N353" s="146"/>
      <c r="O353" s="145"/>
      <c r="P353" s="145"/>
    </row>
    <row r="354" spans="1:16" x14ac:dyDescent="0.65">
      <c r="A354" s="145" t="s">
        <v>355</v>
      </c>
      <c r="B354" s="146">
        <v>1</v>
      </c>
      <c r="C354" s="147" t="str">
        <f t="shared" si="50"/>
        <v>H02-26-011</v>
      </c>
      <c r="D354" s="148">
        <v>46099</v>
      </c>
      <c r="E354" s="145">
        <v>26</v>
      </c>
      <c r="F354" s="251" t="str">
        <f t="shared" si="52"/>
        <v>REPORTS
-OTHERS (Batch Balance Sheet)</v>
      </c>
      <c r="G354" s="250" t="s">
        <v>17</v>
      </c>
      <c r="H354" s="250" t="s">
        <v>356</v>
      </c>
      <c r="I354" s="151" t="s">
        <v>357</v>
      </c>
      <c r="J354" s="146">
        <v>2024</v>
      </c>
      <c r="K354" s="262">
        <f>2024-Table1[[#This Row],[LATEST YEAR]]</f>
        <v>0</v>
      </c>
      <c r="L354" s="262">
        <f>VLOOKUP(Table1[[#This Row],[GRDS ITEM NO]],RETENTION1,4,0)</f>
        <v>2</v>
      </c>
      <c r="M354" s="262">
        <f>Table1[[#This Row],[RETENTION PERIOD]]-Table1[[#This Row],[NO. YEARS AS OF 2024]]</f>
        <v>2</v>
      </c>
      <c r="N354" s="146"/>
      <c r="O354" s="145"/>
      <c r="P354" s="145"/>
    </row>
    <row r="355" spans="1:16" x14ac:dyDescent="0.65">
      <c r="A355" s="145" t="s">
        <v>358</v>
      </c>
      <c r="B355" s="146">
        <v>1</v>
      </c>
      <c r="C355" s="147" t="str">
        <f t="shared" si="50"/>
        <v>H02-26-021</v>
      </c>
      <c r="D355" s="148">
        <v>46146</v>
      </c>
      <c r="E355" s="145" t="s">
        <v>22</v>
      </c>
      <c r="F355" s="251" t="str">
        <f t="shared" si="52"/>
        <v>APPLICATIONS (RD,RO,EC MED, RF, MAT, SO, RR, SS, PLP, ACOP)</v>
      </c>
      <c r="G355" s="167" t="s">
        <v>34</v>
      </c>
      <c r="H355" s="167" t="s">
        <v>131</v>
      </c>
      <c r="I355" s="151" t="s">
        <v>359</v>
      </c>
      <c r="J355" s="146">
        <v>2026</v>
      </c>
      <c r="K355" s="262">
        <f>2024-Table1[[#This Row],[LATEST YEAR]]</f>
        <v>-2</v>
      </c>
      <c r="L355" s="262">
        <f>VLOOKUP(Table1[[#This Row],[GRDS ITEM NO]],RETENTION1,4,0)</f>
        <v>1</v>
      </c>
      <c r="M355" s="262">
        <f>Table1[[#This Row],[RETENTION PERIOD]]-Table1[[#This Row],[NO. YEARS AS OF 2024]]</f>
        <v>3</v>
      </c>
      <c r="N355" s="146"/>
      <c r="O355" s="145"/>
      <c r="P355" s="145" t="s">
        <v>20</v>
      </c>
    </row>
    <row r="356" spans="1:16" x14ac:dyDescent="0.65">
      <c r="A356" s="145" t="s">
        <v>360</v>
      </c>
      <c r="B356" s="146">
        <v>1</v>
      </c>
      <c r="C356" s="147" t="str">
        <f t="shared" si="50"/>
        <v>H02-26-031</v>
      </c>
      <c r="D356" s="148">
        <v>46149</v>
      </c>
      <c r="E356" s="145" t="s">
        <v>22</v>
      </c>
      <c r="F356" s="251" t="str">
        <f t="shared" si="52"/>
        <v>APPLICATIONS (RD,RO,EC MED, RF, MAT, SO, RR, SS, PLP, ACOP)</v>
      </c>
      <c r="G356" s="167" t="s">
        <v>34</v>
      </c>
      <c r="H356" s="167" t="s">
        <v>141</v>
      </c>
      <c r="I356" s="151" t="s">
        <v>361</v>
      </c>
      <c r="J356" s="146">
        <v>2025</v>
      </c>
      <c r="K356" s="262">
        <f>2024-Table1[[#This Row],[LATEST YEAR]]</f>
        <v>-1</v>
      </c>
      <c r="L356" s="262">
        <f>VLOOKUP(Table1[[#This Row],[GRDS ITEM NO]],RETENTION1,4,0)</f>
        <v>1</v>
      </c>
      <c r="M356" s="262">
        <f>Table1[[#This Row],[RETENTION PERIOD]]-Table1[[#This Row],[NO. YEARS AS OF 2024]]</f>
        <v>2</v>
      </c>
      <c r="N356" s="146"/>
      <c r="O356" s="145"/>
      <c r="P356" s="145" t="s">
        <v>20</v>
      </c>
    </row>
    <row r="357" spans="1:16" x14ac:dyDescent="0.65">
      <c r="A357" s="145" t="s">
        <v>362</v>
      </c>
      <c r="B357" s="146">
        <v>1</v>
      </c>
      <c r="C357" s="147" t="str">
        <f t="shared" si="50"/>
        <v>H02-26-041</v>
      </c>
      <c r="D357" s="148">
        <v>46197</v>
      </c>
      <c r="E357" s="145" t="s">
        <v>22</v>
      </c>
      <c r="F357" s="251" t="str">
        <f t="shared" si="52"/>
        <v>APPLICATIONS (RD,RO,EC MED, RF, MAT, SO, RR, SS, PLP, ACOP)</v>
      </c>
      <c r="G357" s="167" t="s">
        <v>34</v>
      </c>
      <c r="H357" s="167" t="s">
        <v>141</v>
      </c>
      <c r="I357" s="151" t="s">
        <v>363</v>
      </c>
      <c r="J357" s="146">
        <v>2025</v>
      </c>
      <c r="K357" s="262">
        <f>2024-Table1[[#This Row],[LATEST YEAR]]</f>
        <v>-1</v>
      </c>
      <c r="L357" s="262">
        <f>VLOOKUP(Table1[[#This Row],[GRDS ITEM NO]],RETENTION1,4,0)</f>
        <v>1</v>
      </c>
      <c r="M357" s="262">
        <f>Table1[[#This Row],[RETENTION PERIOD]]-Table1[[#This Row],[NO. YEARS AS OF 2024]]</f>
        <v>2</v>
      </c>
      <c r="N357" s="146"/>
      <c r="O357" s="145"/>
      <c r="P357" s="145"/>
    </row>
    <row r="358" spans="1:16" x14ac:dyDescent="0.65">
      <c r="A358" s="145" t="s">
        <v>364</v>
      </c>
      <c r="B358" s="146">
        <v>1</v>
      </c>
      <c r="C358" s="147" t="str">
        <f t="shared" si="50"/>
        <v>H02-26-051</v>
      </c>
      <c r="D358" s="148">
        <v>46205</v>
      </c>
      <c r="E358" s="145" t="s">
        <v>22</v>
      </c>
      <c r="F358" s="251" t="str">
        <f t="shared" si="52"/>
        <v>APPLICATIONS (RD,RO,EC MED, RF, MAT, SO, RR, SS, PLP, ACOP)</v>
      </c>
      <c r="G358" s="167" t="s">
        <v>34</v>
      </c>
      <c r="H358" s="167" t="s">
        <v>131</v>
      </c>
      <c r="I358" s="151" t="s">
        <v>365</v>
      </c>
      <c r="J358" s="146">
        <v>2026</v>
      </c>
      <c r="K358" s="262">
        <f>2024-Table1[[#This Row],[LATEST YEAR]]</f>
        <v>-2</v>
      </c>
      <c r="L358" s="262">
        <f>VLOOKUP(Table1[[#This Row],[GRDS ITEM NO]],RETENTION1,4,0)</f>
        <v>1</v>
      </c>
      <c r="M358" s="262">
        <f>Table1[[#This Row],[RETENTION PERIOD]]-Table1[[#This Row],[NO. YEARS AS OF 2024]]</f>
        <v>3</v>
      </c>
      <c r="N358" s="146"/>
      <c r="O358" s="145"/>
      <c r="P358" s="145"/>
    </row>
    <row r="359" spans="1:16" x14ac:dyDescent="0.65">
      <c r="K359" s="195"/>
      <c r="L359" s="195"/>
      <c r="M359" s="195"/>
    </row>
    <row r="360" spans="1:16" x14ac:dyDescent="0.65">
      <c r="K360" s="195"/>
      <c r="L360" s="195"/>
      <c r="M360" s="195"/>
    </row>
    <row r="361" spans="1:16" x14ac:dyDescent="0.65">
      <c r="K361" s="195"/>
      <c r="L361" s="195"/>
      <c r="M361" s="195"/>
    </row>
    <row r="362" spans="1:16" x14ac:dyDescent="0.65">
      <c r="K362" s="195"/>
      <c r="L362" s="195"/>
      <c r="M362" s="195"/>
    </row>
    <row r="363" spans="1:16" x14ac:dyDescent="0.65">
      <c r="K363" s="195"/>
      <c r="L363" s="195"/>
      <c r="M363" s="195"/>
    </row>
    <row r="364" spans="1:16" x14ac:dyDescent="0.65">
      <c r="K364" s="195"/>
      <c r="L364" s="195"/>
      <c r="M364" s="195"/>
    </row>
    <row r="365" spans="1:16" x14ac:dyDescent="0.65">
      <c r="K365" s="195"/>
      <c r="L365" s="195"/>
      <c r="M365" s="195"/>
    </row>
    <row r="366" spans="1:16" x14ac:dyDescent="0.65">
      <c r="K366" s="195"/>
      <c r="L366" s="195"/>
      <c r="M366" s="195"/>
    </row>
    <row r="367" spans="1:16" x14ac:dyDescent="0.65">
      <c r="K367" s="195"/>
      <c r="L367" s="195"/>
      <c r="M367" s="195"/>
    </row>
    <row r="368" spans="1:16" x14ac:dyDescent="0.65">
      <c r="K368" s="195"/>
      <c r="L368" s="195"/>
      <c r="M368" s="195"/>
    </row>
    <row r="369" spans="11:13" x14ac:dyDescent="0.65">
      <c r="K369" s="195"/>
      <c r="L369" s="195"/>
      <c r="M369" s="195"/>
    </row>
    <row r="370" spans="11:13" x14ac:dyDescent="0.65">
      <c r="K370" s="195"/>
      <c r="L370" s="195"/>
      <c r="M370" s="195"/>
    </row>
    <row r="371" spans="11:13" x14ac:dyDescent="0.65">
      <c r="K371" s="195"/>
      <c r="L371" s="195"/>
      <c r="M371" s="195"/>
    </row>
    <row r="372" spans="11:13" x14ac:dyDescent="0.65">
      <c r="K372" s="195"/>
      <c r="L372" s="195"/>
      <c r="M372" s="195"/>
    </row>
    <row r="373" spans="11:13" x14ac:dyDescent="0.65">
      <c r="K373" s="195"/>
      <c r="L373" s="195"/>
      <c r="M373" s="195"/>
    </row>
    <row r="374" spans="11:13" x14ac:dyDescent="0.65">
      <c r="K374" s="195"/>
      <c r="L374" s="195"/>
      <c r="M374" s="195"/>
    </row>
    <row r="375" spans="11:13" x14ac:dyDescent="0.65">
      <c r="K375" s="195"/>
      <c r="L375" s="195"/>
      <c r="M375" s="195"/>
    </row>
    <row r="376" spans="11:13" x14ac:dyDescent="0.65">
      <c r="K376" s="195"/>
      <c r="L376" s="195"/>
      <c r="M376" s="195"/>
    </row>
    <row r="377" spans="11:13" x14ac:dyDescent="0.65">
      <c r="K377" s="195"/>
      <c r="L377" s="195"/>
      <c r="M377" s="195"/>
    </row>
    <row r="378" spans="11:13" x14ac:dyDescent="0.65">
      <c r="K378" s="195"/>
      <c r="L378" s="195"/>
      <c r="M378" s="195"/>
    </row>
    <row r="379" spans="11:13" x14ac:dyDescent="0.65">
      <c r="K379" s="195"/>
      <c r="L379" s="195"/>
      <c r="M379" s="195"/>
    </row>
    <row r="380" spans="11:13" x14ac:dyDescent="0.65">
      <c r="K380" s="195"/>
      <c r="L380" s="195"/>
      <c r="M380" s="195"/>
    </row>
    <row r="381" spans="11:13" x14ac:dyDescent="0.65">
      <c r="K381" s="195"/>
      <c r="L381" s="195"/>
      <c r="M381" s="195"/>
    </row>
    <row r="382" spans="11:13" x14ac:dyDescent="0.65">
      <c r="K382" s="195"/>
      <c r="L382" s="195"/>
      <c r="M382" s="195"/>
    </row>
    <row r="383" spans="11:13" x14ac:dyDescent="0.65">
      <c r="K383" s="195"/>
      <c r="L383" s="195"/>
      <c r="M383" s="195"/>
    </row>
    <row r="384" spans="11:13" x14ac:dyDescent="0.65">
      <c r="K384" s="195"/>
      <c r="L384" s="195"/>
      <c r="M384" s="195"/>
    </row>
    <row r="385" spans="11:13" x14ac:dyDescent="0.65">
      <c r="K385" s="195"/>
      <c r="L385" s="195"/>
      <c r="M385" s="195"/>
    </row>
    <row r="386" spans="11:13" x14ac:dyDescent="0.65">
      <c r="K386" s="195"/>
      <c r="L386" s="195"/>
      <c r="M386" s="195"/>
    </row>
    <row r="387" spans="11:13" x14ac:dyDescent="0.65">
      <c r="K387" s="195"/>
      <c r="L387" s="195"/>
      <c r="M387" s="195"/>
    </row>
    <row r="388" spans="11:13" x14ac:dyDescent="0.65">
      <c r="K388" s="195"/>
      <c r="L388" s="195"/>
      <c r="M388" s="195"/>
    </row>
    <row r="389" spans="11:13" x14ac:dyDescent="0.65">
      <c r="K389" s="195"/>
      <c r="L389" s="195"/>
      <c r="M389" s="195"/>
    </row>
    <row r="390" spans="11:13" x14ac:dyDescent="0.65">
      <c r="K390" s="195"/>
      <c r="L390" s="195"/>
      <c r="M390" s="195"/>
    </row>
    <row r="391" spans="11:13" x14ac:dyDescent="0.65">
      <c r="K391" s="195"/>
      <c r="L391" s="195"/>
      <c r="M391" s="195"/>
    </row>
    <row r="392" spans="11:13" x14ac:dyDescent="0.65">
      <c r="K392" s="195"/>
      <c r="L392" s="195"/>
      <c r="M392" s="195"/>
    </row>
    <row r="393" spans="11:13" x14ac:dyDescent="0.65">
      <c r="K393" s="195"/>
      <c r="L393" s="195"/>
      <c r="M393" s="195"/>
    </row>
    <row r="394" spans="11:13" x14ac:dyDescent="0.65">
      <c r="K394" s="195"/>
      <c r="L394" s="195"/>
      <c r="M394" s="195"/>
    </row>
    <row r="395" spans="11:13" x14ac:dyDescent="0.65">
      <c r="K395" s="195"/>
      <c r="L395" s="195"/>
      <c r="M395" s="195"/>
    </row>
    <row r="396" spans="11:13" x14ac:dyDescent="0.65">
      <c r="K396" s="195"/>
      <c r="L396" s="195"/>
      <c r="M396" s="195"/>
    </row>
    <row r="397" spans="11:13" x14ac:dyDescent="0.65">
      <c r="K397" s="195"/>
      <c r="L397" s="195"/>
      <c r="M397" s="195"/>
    </row>
    <row r="398" spans="11:13" x14ac:dyDescent="0.65">
      <c r="K398" s="195"/>
      <c r="L398" s="195"/>
      <c r="M398" s="195"/>
    </row>
    <row r="399" spans="11:13" x14ac:dyDescent="0.65">
      <c r="K399" s="195"/>
      <c r="L399" s="195"/>
      <c r="M399" s="195"/>
    </row>
    <row r="400" spans="11:13" x14ac:dyDescent="0.65">
      <c r="K400" s="195"/>
      <c r="L400" s="195"/>
      <c r="M400" s="195"/>
    </row>
    <row r="401" spans="11:13" x14ac:dyDescent="0.65">
      <c r="K401" s="195"/>
      <c r="L401" s="195"/>
      <c r="M401" s="195"/>
    </row>
    <row r="402" spans="11:13" x14ac:dyDescent="0.65">
      <c r="K402" s="195"/>
      <c r="L402" s="195"/>
      <c r="M402" s="195"/>
    </row>
    <row r="403" spans="11:13" x14ac:dyDescent="0.65">
      <c r="K403" s="195"/>
      <c r="L403" s="195"/>
      <c r="M403" s="195"/>
    </row>
    <row r="404" spans="11:13" x14ac:dyDescent="0.65">
      <c r="K404" s="195"/>
      <c r="L404" s="195"/>
      <c r="M404" s="195"/>
    </row>
    <row r="405" spans="11:13" x14ac:dyDescent="0.65">
      <c r="K405" s="195"/>
      <c r="L405" s="195"/>
      <c r="M405" s="195"/>
    </row>
    <row r="406" spans="11:13" x14ac:dyDescent="0.65">
      <c r="K406" s="195"/>
      <c r="L406" s="195"/>
      <c r="M406" s="195"/>
    </row>
    <row r="407" spans="11:13" x14ac:dyDescent="0.65">
      <c r="K407" s="195"/>
      <c r="L407" s="195"/>
      <c r="M407" s="195"/>
    </row>
    <row r="408" spans="11:13" x14ac:dyDescent="0.65">
      <c r="K408" s="195"/>
      <c r="L408" s="195"/>
      <c r="M408" s="195"/>
    </row>
    <row r="409" spans="11:13" x14ac:dyDescent="0.65">
      <c r="K409" s="195"/>
      <c r="L409" s="195"/>
      <c r="M409" s="195"/>
    </row>
    <row r="410" spans="11:13" x14ac:dyDescent="0.65">
      <c r="K410" s="195"/>
      <c r="L410" s="195"/>
      <c r="M410" s="195"/>
    </row>
    <row r="411" spans="11:13" x14ac:dyDescent="0.65">
      <c r="K411" s="195"/>
      <c r="L411" s="195"/>
      <c r="M411" s="195"/>
    </row>
    <row r="412" spans="11:13" x14ac:dyDescent="0.65">
      <c r="K412" s="195"/>
      <c r="L412" s="195"/>
      <c r="M412" s="195"/>
    </row>
    <row r="413" spans="11:13" x14ac:dyDescent="0.65">
      <c r="K413" s="195"/>
      <c r="L413" s="195"/>
      <c r="M413" s="195"/>
    </row>
    <row r="414" spans="11:13" x14ac:dyDescent="0.65">
      <c r="K414" s="195"/>
      <c r="L414" s="195"/>
      <c r="M414" s="195"/>
    </row>
    <row r="415" spans="11:13" x14ac:dyDescent="0.65">
      <c r="K415" s="195"/>
      <c r="L415" s="195"/>
      <c r="M415" s="195"/>
    </row>
    <row r="416" spans="11:13" x14ac:dyDescent="0.65">
      <c r="K416" s="195"/>
      <c r="L416" s="195"/>
      <c r="M416" s="195"/>
    </row>
    <row r="417" spans="11:13" x14ac:dyDescent="0.65">
      <c r="K417" s="195"/>
      <c r="L417" s="195"/>
      <c r="M417" s="195"/>
    </row>
    <row r="418" spans="11:13" x14ac:dyDescent="0.65">
      <c r="K418" s="195"/>
      <c r="L418" s="195"/>
      <c r="M418" s="195"/>
    </row>
    <row r="419" spans="11:13" x14ac:dyDescent="0.65">
      <c r="K419" s="195"/>
      <c r="L419" s="195"/>
      <c r="M419" s="195"/>
    </row>
    <row r="420" spans="11:13" x14ac:dyDescent="0.65">
      <c r="K420" s="195"/>
      <c r="L420" s="195"/>
      <c r="M420" s="195"/>
    </row>
    <row r="421" spans="11:13" x14ac:dyDescent="0.65">
      <c r="K421" s="195"/>
      <c r="L421" s="195"/>
      <c r="M421" s="195"/>
    </row>
    <row r="422" spans="11:13" x14ac:dyDescent="0.65">
      <c r="K422" s="195"/>
      <c r="L422" s="195"/>
      <c r="M422" s="195"/>
    </row>
    <row r="423" spans="11:13" x14ac:dyDescent="0.65">
      <c r="K423" s="195"/>
      <c r="L423" s="195"/>
      <c r="M423" s="195"/>
    </row>
    <row r="424" spans="11:13" x14ac:dyDescent="0.65">
      <c r="K424" s="195"/>
      <c r="L424" s="195"/>
      <c r="M424" s="195"/>
    </row>
    <row r="425" spans="11:13" x14ac:dyDescent="0.65">
      <c r="K425" s="195"/>
      <c r="L425" s="195"/>
      <c r="M425" s="195"/>
    </row>
    <row r="426" spans="11:13" x14ac:dyDescent="0.65">
      <c r="K426" s="195"/>
      <c r="L426" s="195"/>
      <c r="M426" s="195"/>
    </row>
    <row r="427" spans="11:13" x14ac:dyDescent="0.65">
      <c r="K427" s="195"/>
      <c r="L427" s="195"/>
      <c r="M427" s="195"/>
    </row>
    <row r="428" spans="11:13" x14ac:dyDescent="0.65">
      <c r="K428" s="195"/>
      <c r="L428" s="195"/>
      <c r="M428" s="195"/>
    </row>
    <row r="429" spans="11:13" x14ac:dyDescent="0.65">
      <c r="K429" s="195"/>
      <c r="L429" s="195"/>
      <c r="M429" s="195"/>
    </row>
    <row r="430" spans="11:13" x14ac:dyDescent="0.65">
      <c r="K430" s="195"/>
      <c r="L430" s="195"/>
      <c r="M430" s="195"/>
    </row>
    <row r="431" spans="11:13" x14ac:dyDescent="0.65">
      <c r="K431" s="195"/>
      <c r="L431" s="195"/>
      <c r="M431" s="195"/>
    </row>
    <row r="432" spans="11:13" x14ac:dyDescent="0.65">
      <c r="K432" s="195"/>
      <c r="L432" s="195"/>
      <c r="M432" s="195"/>
    </row>
    <row r="433" spans="11:13" x14ac:dyDescent="0.65">
      <c r="K433" s="195"/>
      <c r="L433" s="195"/>
      <c r="M433" s="195"/>
    </row>
    <row r="434" spans="11:13" x14ac:dyDescent="0.65">
      <c r="K434" s="195"/>
      <c r="L434" s="195"/>
      <c r="M434" s="195"/>
    </row>
    <row r="435" spans="11:13" x14ac:dyDescent="0.65">
      <c r="K435" s="195"/>
      <c r="L435" s="195"/>
      <c r="M435" s="195"/>
    </row>
    <row r="436" spans="11:13" x14ac:dyDescent="0.65">
      <c r="K436" s="195"/>
      <c r="L436" s="195"/>
      <c r="M436" s="195"/>
    </row>
    <row r="437" spans="11:13" x14ac:dyDescent="0.65">
      <c r="K437" s="195"/>
      <c r="L437" s="195"/>
      <c r="M437" s="195"/>
    </row>
    <row r="438" spans="11:13" x14ac:dyDescent="0.65">
      <c r="K438" s="195"/>
      <c r="L438" s="195"/>
      <c r="M438" s="195"/>
    </row>
    <row r="439" spans="11:13" x14ac:dyDescent="0.65">
      <c r="K439" s="195"/>
      <c r="L439" s="195"/>
      <c r="M439" s="195"/>
    </row>
    <row r="440" spans="11:13" x14ac:dyDescent="0.65">
      <c r="K440" s="195"/>
      <c r="L440" s="195"/>
      <c r="M440" s="195"/>
    </row>
    <row r="441" spans="11:13" x14ac:dyDescent="0.65">
      <c r="K441" s="195"/>
      <c r="L441" s="195"/>
      <c r="M441" s="195"/>
    </row>
    <row r="442" spans="11:13" x14ac:dyDescent="0.65">
      <c r="K442" s="195"/>
      <c r="L442" s="195"/>
      <c r="M442" s="195"/>
    </row>
    <row r="443" spans="11:13" x14ac:dyDescent="0.65">
      <c r="K443" s="195"/>
      <c r="L443" s="195"/>
      <c r="M443" s="195"/>
    </row>
    <row r="444" spans="11:13" x14ac:dyDescent="0.65">
      <c r="K444" s="195"/>
      <c r="L444" s="195"/>
      <c r="M444" s="195"/>
    </row>
    <row r="445" spans="11:13" x14ac:dyDescent="0.65">
      <c r="K445" s="195"/>
      <c r="L445" s="195"/>
      <c r="M445" s="195"/>
    </row>
    <row r="446" spans="11:13" x14ac:dyDescent="0.65">
      <c r="K446" s="195"/>
      <c r="L446" s="195"/>
      <c r="M446" s="195"/>
    </row>
    <row r="447" spans="11:13" x14ac:dyDescent="0.65">
      <c r="K447" s="195"/>
      <c r="L447" s="195"/>
      <c r="M447" s="195"/>
    </row>
    <row r="448" spans="11:13" x14ac:dyDescent="0.65">
      <c r="K448" s="195"/>
      <c r="L448" s="195"/>
      <c r="M448" s="195"/>
    </row>
    <row r="449" spans="11:13" x14ac:dyDescent="0.65">
      <c r="K449" s="195"/>
      <c r="L449" s="195"/>
      <c r="M449" s="195"/>
    </row>
    <row r="450" spans="11:13" x14ac:dyDescent="0.65">
      <c r="K450" s="195"/>
      <c r="L450" s="195"/>
      <c r="M450" s="195"/>
    </row>
    <row r="451" spans="11:13" x14ac:dyDescent="0.65">
      <c r="K451" s="195"/>
      <c r="L451" s="195"/>
      <c r="M451" s="195"/>
    </row>
    <row r="452" spans="11:13" x14ac:dyDescent="0.65">
      <c r="K452" s="195"/>
      <c r="L452" s="195"/>
      <c r="M452" s="195"/>
    </row>
    <row r="453" spans="11:13" x14ac:dyDescent="0.65">
      <c r="K453" s="195"/>
      <c r="L453" s="195"/>
      <c r="M453" s="195"/>
    </row>
    <row r="454" spans="11:13" x14ac:dyDescent="0.65">
      <c r="K454" s="195"/>
      <c r="L454" s="195"/>
      <c r="M454" s="195"/>
    </row>
    <row r="455" spans="11:13" x14ac:dyDescent="0.65">
      <c r="K455" s="195"/>
      <c r="L455" s="195"/>
      <c r="M455" s="195"/>
    </row>
    <row r="456" spans="11:13" x14ac:dyDescent="0.65">
      <c r="K456" s="195"/>
      <c r="L456" s="195"/>
      <c r="M456" s="195"/>
    </row>
    <row r="457" spans="11:13" x14ac:dyDescent="0.65">
      <c r="K457" s="195"/>
      <c r="L457" s="195"/>
      <c r="M457" s="195"/>
    </row>
    <row r="458" spans="11:13" x14ac:dyDescent="0.65">
      <c r="K458" s="195"/>
      <c r="L458" s="195"/>
      <c r="M458" s="195"/>
    </row>
    <row r="459" spans="11:13" x14ac:dyDescent="0.65">
      <c r="K459" s="195"/>
      <c r="L459" s="195"/>
      <c r="M459" s="195"/>
    </row>
    <row r="460" spans="11:13" x14ac:dyDescent="0.65">
      <c r="K460" s="195"/>
      <c r="L460" s="195"/>
      <c r="M460" s="195"/>
    </row>
    <row r="461" spans="11:13" x14ac:dyDescent="0.65">
      <c r="K461" s="195"/>
      <c r="L461" s="195"/>
      <c r="M461" s="195"/>
    </row>
    <row r="462" spans="11:13" x14ac:dyDescent="0.65">
      <c r="K462" s="195"/>
      <c r="L462" s="195"/>
      <c r="M462" s="195"/>
    </row>
    <row r="463" spans="11:13" x14ac:dyDescent="0.65">
      <c r="K463" s="195"/>
      <c r="L463" s="195"/>
      <c r="M463" s="195"/>
    </row>
    <row r="464" spans="11:13" x14ac:dyDescent="0.65">
      <c r="K464" s="195"/>
      <c r="L464" s="195"/>
      <c r="M464" s="195"/>
    </row>
    <row r="465" spans="11:13" x14ac:dyDescent="0.65">
      <c r="K465" s="195"/>
      <c r="L465" s="195"/>
      <c r="M465" s="195"/>
    </row>
    <row r="466" spans="11:13" x14ac:dyDescent="0.65">
      <c r="K466" s="195"/>
      <c r="L466" s="195"/>
      <c r="M466" s="195"/>
    </row>
    <row r="467" spans="11:13" x14ac:dyDescent="0.65">
      <c r="K467" s="195"/>
      <c r="L467" s="195"/>
      <c r="M467" s="195"/>
    </row>
    <row r="468" spans="11:13" x14ac:dyDescent="0.65">
      <c r="K468" s="195"/>
      <c r="L468" s="195"/>
      <c r="M468" s="195"/>
    </row>
    <row r="469" spans="11:13" x14ac:dyDescent="0.65">
      <c r="K469" s="195"/>
      <c r="L469" s="195"/>
      <c r="M469" s="195"/>
    </row>
    <row r="470" spans="11:13" x14ac:dyDescent="0.65">
      <c r="K470" s="195"/>
      <c r="L470" s="195"/>
      <c r="M470" s="195"/>
    </row>
    <row r="471" spans="11:13" x14ac:dyDescent="0.65">
      <c r="K471" s="195"/>
      <c r="L471" s="195"/>
      <c r="M471" s="195"/>
    </row>
    <row r="472" spans="11:13" x14ac:dyDescent="0.65">
      <c r="K472" s="195"/>
      <c r="L472" s="195"/>
      <c r="M472" s="195"/>
    </row>
    <row r="473" spans="11:13" x14ac:dyDescent="0.65">
      <c r="K473" s="195"/>
      <c r="L473" s="195"/>
      <c r="M473" s="195"/>
    </row>
    <row r="474" spans="11:13" x14ac:dyDescent="0.65">
      <c r="K474" s="195"/>
      <c r="L474" s="195"/>
      <c r="M474" s="195"/>
    </row>
    <row r="475" spans="11:13" x14ac:dyDescent="0.65">
      <c r="K475" s="195"/>
      <c r="L475" s="195"/>
      <c r="M475" s="195"/>
    </row>
    <row r="476" spans="11:13" x14ac:dyDescent="0.65">
      <c r="K476" s="195"/>
      <c r="L476" s="195"/>
      <c r="M476" s="195"/>
    </row>
    <row r="477" spans="11:13" x14ac:dyDescent="0.65">
      <c r="K477" s="195"/>
      <c r="L477" s="195"/>
      <c r="M477" s="195"/>
    </row>
    <row r="478" spans="11:13" x14ac:dyDescent="0.65">
      <c r="K478" s="195"/>
      <c r="L478" s="195"/>
      <c r="M478" s="195"/>
    </row>
    <row r="479" spans="11:13" x14ac:dyDescent="0.65">
      <c r="K479" s="195"/>
      <c r="L479" s="195"/>
      <c r="M479" s="195"/>
    </row>
    <row r="480" spans="11:13" x14ac:dyDescent="0.65">
      <c r="K480" s="195"/>
      <c r="L480" s="195"/>
      <c r="M480" s="195"/>
    </row>
    <row r="481" spans="11:13" x14ac:dyDescent="0.65">
      <c r="K481" s="195"/>
      <c r="L481" s="195"/>
      <c r="M481" s="195"/>
    </row>
    <row r="482" spans="11:13" x14ac:dyDescent="0.65">
      <c r="K482" s="195"/>
      <c r="L482" s="195"/>
      <c r="M482" s="195"/>
    </row>
    <row r="483" spans="11:13" x14ac:dyDescent="0.65">
      <c r="K483" s="195"/>
      <c r="L483" s="195"/>
      <c r="M483" s="195"/>
    </row>
    <row r="484" spans="11:13" x14ac:dyDescent="0.65">
      <c r="K484" s="195"/>
      <c r="L484" s="195"/>
      <c r="M484" s="195"/>
    </row>
    <row r="485" spans="11:13" x14ac:dyDescent="0.65">
      <c r="K485" s="195"/>
      <c r="L485" s="195"/>
      <c r="M485" s="195"/>
    </row>
    <row r="486" spans="11:13" x14ac:dyDescent="0.65">
      <c r="K486" s="195"/>
      <c r="L486" s="195"/>
      <c r="M486" s="195"/>
    </row>
    <row r="487" spans="11:13" x14ac:dyDescent="0.65">
      <c r="K487" s="195"/>
      <c r="L487" s="195"/>
      <c r="M487" s="195"/>
    </row>
    <row r="488" spans="11:13" x14ac:dyDescent="0.65">
      <c r="K488" s="195"/>
      <c r="L488" s="195"/>
      <c r="M488" s="195"/>
    </row>
    <row r="489" spans="11:13" x14ac:dyDescent="0.65">
      <c r="K489" s="195"/>
      <c r="L489" s="195"/>
      <c r="M489" s="195"/>
    </row>
    <row r="490" spans="11:13" x14ac:dyDescent="0.65">
      <c r="K490" s="195"/>
      <c r="L490" s="195"/>
      <c r="M490" s="195"/>
    </row>
    <row r="491" spans="11:13" x14ac:dyDescent="0.65">
      <c r="K491" s="195"/>
      <c r="L491" s="195"/>
      <c r="M491" s="195"/>
    </row>
    <row r="492" spans="11:13" x14ac:dyDescent="0.65">
      <c r="K492" s="195"/>
      <c r="L492" s="195"/>
      <c r="M492" s="195"/>
    </row>
    <row r="493" spans="11:13" x14ac:dyDescent="0.65">
      <c r="K493" s="195"/>
      <c r="L493" s="195"/>
      <c r="M493" s="195"/>
    </row>
    <row r="494" spans="11:13" x14ac:dyDescent="0.65">
      <c r="K494" s="195"/>
      <c r="L494" s="195"/>
      <c r="M494" s="195"/>
    </row>
    <row r="495" spans="11:13" x14ac:dyDescent="0.65">
      <c r="K495" s="195"/>
      <c r="L495" s="195"/>
      <c r="M495" s="195"/>
    </row>
    <row r="496" spans="11:13" x14ac:dyDescent="0.65">
      <c r="K496" s="195"/>
      <c r="L496" s="195"/>
      <c r="M496" s="195"/>
    </row>
    <row r="497" spans="11:13" x14ac:dyDescent="0.65">
      <c r="K497" s="195"/>
      <c r="L497" s="195"/>
      <c r="M497" s="195"/>
    </row>
    <row r="498" spans="11:13" x14ac:dyDescent="0.65">
      <c r="K498" s="195"/>
      <c r="L498" s="195"/>
      <c r="M498" s="195"/>
    </row>
    <row r="499" spans="11:13" x14ac:dyDescent="0.65">
      <c r="K499" s="195"/>
      <c r="L499" s="195"/>
      <c r="M499" s="195"/>
    </row>
    <row r="500" spans="11:13" x14ac:dyDescent="0.65">
      <c r="K500" s="195"/>
      <c r="L500" s="195"/>
      <c r="M500" s="195"/>
    </row>
    <row r="501" spans="11:13" x14ac:dyDescent="0.65">
      <c r="K501" s="195"/>
      <c r="L501" s="195"/>
      <c r="M501" s="195"/>
    </row>
    <row r="502" spans="11:13" x14ac:dyDescent="0.65">
      <c r="K502" s="195"/>
      <c r="L502" s="195"/>
      <c r="M502" s="195"/>
    </row>
    <row r="503" spans="11:13" x14ac:dyDescent="0.65">
      <c r="K503" s="195"/>
      <c r="L503" s="195"/>
      <c r="M503" s="195"/>
    </row>
    <row r="504" spans="11:13" x14ac:dyDescent="0.65">
      <c r="K504" s="195"/>
      <c r="L504" s="195"/>
      <c r="M504" s="195"/>
    </row>
    <row r="505" spans="11:13" x14ac:dyDescent="0.65">
      <c r="K505" s="195"/>
      <c r="L505" s="195"/>
      <c r="M505" s="195"/>
    </row>
    <row r="506" spans="11:13" x14ac:dyDescent="0.65">
      <c r="K506" s="195"/>
      <c r="L506" s="195"/>
      <c r="M506" s="195"/>
    </row>
    <row r="507" spans="11:13" x14ac:dyDescent="0.65">
      <c r="K507" s="195"/>
      <c r="L507" s="195"/>
      <c r="M507" s="195"/>
    </row>
    <row r="508" spans="11:13" x14ac:dyDescent="0.65">
      <c r="K508" s="195"/>
      <c r="L508" s="195"/>
      <c r="M508" s="195"/>
    </row>
    <row r="509" spans="11:13" x14ac:dyDescent="0.65">
      <c r="K509" s="195"/>
      <c r="L509" s="195"/>
      <c r="M509" s="195"/>
    </row>
  </sheetData>
  <phoneticPr fontId="37" type="noConversion"/>
  <conditionalFormatting sqref="C1:C1048576">
    <cfRule type="duplicateValues" dxfId="26" priority="9"/>
  </conditionalFormatting>
  <conditionalFormatting sqref="M1:M1048576">
    <cfRule type="containsBlanks" dxfId="25" priority="1">
      <formula>LEN(TRIM(M1))=0</formula>
    </cfRule>
  </conditionalFormatting>
  <conditionalFormatting sqref="M2:M1048576">
    <cfRule type="cellIs" dxfId="24" priority="5" operator="lessThanOrEqual">
      <formula>0</formula>
    </cfRule>
    <cfRule type="cellIs" dxfId="23" priority="7" operator="greaterThan">
      <formula>0</formula>
    </cfRule>
  </conditionalFormatting>
  <conditionalFormatting sqref="N1:N1048576">
    <cfRule type="containsText" dxfId="22" priority="2" operator="containsText" text="NOT APPLICABLE">
      <formula>NOT(ISERROR(SEARCH("NOT APPLICABLE",N1)))</formula>
    </cfRule>
    <cfRule type="cellIs" dxfId="21" priority="3" operator="equal">
      <formula>"UNSCANNED"</formula>
    </cfRule>
    <cfRule type="containsText" dxfId="20" priority="4" operator="containsText" text="SCANNED">
      <formula>NOT(ISERROR(SEARCH("SCANNED",N1)))</formula>
    </cfRule>
  </conditionalFormatting>
  <dataValidations count="3">
    <dataValidation type="list" allowBlank="1" showInputMessage="1" showErrorMessage="1" sqref="E1:E1048576" xr:uid="{F4B5C490-36BC-4312-B68D-6C866DC35652}">
      <formula1>ITEMNO</formula1>
    </dataValidation>
    <dataValidation type="list" allowBlank="1" showInputMessage="1" showErrorMessage="1" sqref="G1:G1048576" xr:uid="{DEDF9A70-044B-45CB-BC95-FBA3E5A5AC1D}">
      <formula1>SECTION</formula1>
    </dataValidation>
    <dataValidation type="list" allowBlank="1" showInputMessage="1" showErrorMessage="1" sqref="N1:N1048576" xr:uid="{827EE20B-C6C4-430F-B9CA-0880AD61D597}">
      <formula1>SCANNING</formula1>
    </dataValidation>
  </dataValidations>
  <pageMargins left="0.7" right="0.7" top="0.75" bottom="0.75" header="0.3" footer="0.3"/>
  <pageSetup scale="4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380AD-1B07-44DC-B078-620CD8F5CEC4}">
  <dimension ref="A2:A34"/>
  <sheetViews>
    <sheetView workbookViewId="0">
      <selection activeCell="C6" sqref="C6"/>
    </sheetView>
  </sheetViews>
  <sheetFormatPr defaultRowHeight="14.4" x14ac:dyDescent="0.3"/>
  <cols>
    <col min="1" max="1" width="16.5546875" bestFit="1" customWidth="1"/>
  </cols>
  <sheetData>
    <row r="2" spans="1:1" x14ac:dyDescent="0.3">
      <c r="A2" t="s">
        <v>366</v>
      </c>
    </row>
    <row r="3" spans="1:1" x14ac:dyDescent="0.3">
      <c r="A3" t="s">
        <v>367</v>
      </c>
    </row>
    <row r="4" spans="1:1" x14ac:dyDescent="0.3">
      <c r="A4" t="s">
        <v>368</v>
      </c>
    </row>
    <row r="5" spans="1:1" x14ac:dyDescent="0.3">
      <c r="A5" t="s">
        <v>369</v>
      </c>
    </row>
    <row r="6" spans="1:1" x14ac:dyDescent="0.3">
      <c r="A6" t="s">
        <v>370</v>
      </c>
    </row>
    <row r="7" spans="1:1" x14ac:dyDescent="0.3">
      <c r="A7" t="s">
        <v>371</v>
      </c>
    </row>
    <row r="8" spans="1:1" x14ac:dyDescent="0.3">
      <c r="A8" t="s">
        <v>372</v>
      </c>
    </row>
    <row r="9" spans="1:1" x14ac:dyDescent="0.3">
      <c r="A9" t="s">
        <v>373</v>
      </c>
    </row>
    <row r="10" spans="1:1" x14ac:dyDescent="0.3">
      <c r="A10" t="s">
        <v>374</v>
      </c>
    </row>
    <row r="11" spans="1:1" x14ac:dyDescent="0.3">
      <c r="A11" t="s">
        <v>375</v>
      </c>
    </row>
    <row r="12" spans="1:1" x14ac:dyDescent="0.3">
      <c r="A12" t="s">
        <v>376</v>
      </c>
    </row>
    <row r="13" spans="1:1" x14ac:dyDescent="0.3">
      <c r="A13" t="s">
        <v>377</v>
      </c>
    </row>
    <row r="14" spans="1:1" x14ac:dyDescent="0.3">
      <c r="A14" t="s">
        <v>378</v>
      </c>
    </row>
    <row r="15" spans="1:1" x14ac:dyDescent="0.3">
      <c r="A15" t="s">
        <v>379</v>
      </c>
    </row>
    <row r="16" spans="1:1" x14ac:dyDescent="0.3">
      <c r="A16" t="s">
        <v>380</v>
      </c>
    </row>
    <row r="17" spans="1:1" x14ac:dyDescent="0.3">
      <c r="A17" t="s">
        <v>381</v>
      </c>
    </row>
    <row r="18" spans="1:1" x14ac:dyDescent="0.3">
      <c r="A18" t="s">
        <v>382</v>
      </c>
    </row>
    <row r="19" spans="1:1" x14ac:dyDescent="0.3">
      <c r="A19" t="s">
        <v>383</v>
      </c>
    </row>
    <row r="20" spans="1:1" x14ac:dyDescent="0.3">
      <c r="A20" t="s">
        <v>384</v>
      </c>
    </row>
    <row r="21" spans="1:1" x14ac:dyDescent="0.3">
      <c r="A21" t="s">
        <v>385</v>
      </c>
    </row>
    <row r="22" spans="1:1" x14ac:dyDescent="0.3">
      <c r="A22" t="s">
        <v>386</v>
      </c>
    </row>
    <row r="23" spans="1:1" x14ac:dyDescent="0.3">
      <c r="A23" t="s">
        <v>387</v>
      </c>
    </row>
    <row r="24" spans="1:1" x14ac:dyDescent="0.3">
      <c r="A24" t="s">
        <v>388</v>
      </c>
    </row>
    <row r="25" spans="1:1" x14ac:dyDescent="0.3">
      <c r="A25" t="s">
        <v>389</v>
      </c>
    </row>
    <row r="26" spans="1:1" x14ac:dyDescent="0.3">
      <c r="A26" t="s">
        <v>390</v>
      </c>
    </row>
    <row r="27" spans="1:1" x14ac:dyDescent="0.3">
      <c r="A27" t="s">
        <v>391</v>
      </c>
    </row>
    <row r="28" spans="1:1" x14ac:dyDescent="0.3">
      <c r="A28" t="s">
        <v>392</v>
      </c>
    </row>
    <row r="29" spans="1:1" x14ac:dyDescent="0.3">
      <c r="A29" t="s">
        <v>393</v>
      </c>
    </row>
    <row r="30" spans="1:1" x14ac:dyDescent="0.3">
      <c r="A30" t="s">
        <v>394</v>
      </c>
    </row>
    <row r="31" spans="1:1" x14ac:dyDescent="0.3">
      <c r="A31" t="s">
        <v>395</v>
      </c>
    </row>
    <row r="32" spans="1:1" x14ac:dyDescent="0.3">
      <c r="A32" t="s">
        <v>396</v>
      </c>
    </row>
    <row r="33" spans="1:1" x14ac:dyDescent="0.3">
      <c r="A33" t="s">
        <v>397</v>
      </c>
    </row>
    <row r="34" spans="1:1" x14ac:dyDescent="0.3">
      <c r="A34" t="s">
        <v>398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86366-934E-4C23-8B83-66C992F83F7B}">
  <sheetPr>
    <tabColor theme="9" tint="0.39997558519241921"/>
  </sheetPr>
  <dimension ref="A1:J8"/>
  <sheetViews>
    <sheetView topLeftCell="A4" zoomScale="70" zoomScaleNormal="70" zoomScaleSheetLayoutView="85" workbookViewId="0">
      <selection activeCell="J4" sqref="J4"/>
    </sheetView>
  </sheetViews>
  <sheetFormatPr defaultRowHeight="15" customHeight="1" x14ac:dyDescent="0.3"/>
  <cols>
    <col min="1" max="1" width="17.5546875" customWidth="1"/>
    <col min="2" max="2" width="16.5546875" customWidth="1"/>
    <col min="3" max="3" width="55" customWidth="1"/>
    <col min="4" max="4" width="37.33203125" customWidth="1"/>
    <col min="5" max="5" width="23" customWidth="1"/>
    <col min="6" max="6" width="4.6640625" style="83" customWidth="1"/>
    <col min="7" max="7" width="28.6640625" customWidth="1"/>
    <col min="8" max="8" width="9.44140625" customWidth="1"/>
  </cols>
  <sheetData>
    <row r="1" spans="1:10" ht="60" customHeight="1" x14ac:dyDescent="0.6">
      <c r="A1" s="281" t="s">
        <v>399</v>
      </c>
      <c r="B1" s="281"/>
      <c r="C1" s="281"/>
      <c r="D1" s="281"/>
      <c r="E1" s="281"/>
      <c r="G1" s="99" t="s">
        <v>400</v>
      </c>
      <c r="H1" s="81"/>
      <c r="I1" s="77" t="s">
        <v>401</v>
      </c>
    </row>
    <row r="2" spans="1:10" ht="49.95" customHeight="1" x14ac:dyDescent="0.75">
      <c r="A2" s="282" t="str">
        <f>VLOOKUP(G1,BATCHING,5,0)</f>
        <v>MEMBER SERVICES SECTION</v>
      </c>
      <c r="B2" s="282"/>
      <c r="C2" s="282"/>
      <c r="D2" s="282"/>
      <c r="E2" s="282"/>
      <c r="G2" s="92"/>
      <c r="H2" s="82"/>
      <c r="I2" s="72"/>
      <c r="J2" s="74" t="s">
        <v>402</v>
      </c>
    </row>
    <row r="3" spans="1:10" ht="49.2" customHeight="1" x14ac:dyDescent="0.65">
      <c r="A3" s="75" t="s">
        <v>403</v>
      </c>
      <c r="B3" s="75" t="s">
        <v>5</v>
      </c>
      <c r="C3" s="76" t="s">
        <v>7</v>
      </c>
      <c r="D3" s="76" t="s">
        <v>404</v>
      </c>
      <c r="E3" s="76" t="s">
        <v>405</v>
      </c>
      <c r="G3" s="91"/>
      <c r="I3" s="88"/>
      <c r="J3" s="89"/>
    </row>
    <row r="4" spans="1:10" ht="229.5" customHeight="1" x14ac:dyDescent="0.3">
      <c r="A4" s="249" t="str">
        <f>VLOOKUP(G1,BATCHING,3,0)</f>
        <v>SSSRDS 9</v>
      </c>
      <c r="B4" s="190" t="str">
        <f>VLOOKUP(A4,DESCRIP,2,0)</f>
        <v>APPLICATIONS (RD,RO,EC MED, RF, MAT, SO, RR, SS, PLP, ACOP)</v>
      </c>
      <c r="C4" s="191" t="str">
        <f>VLOOKUP(G1,BATCHING,6,0)</f>
        <v>SETTLED DEATH CLAIM</v>
      </c>
      <c r="D4" s="192" t="str">
        <f>VLOOKUP(G1,BATCHING,7,0)</f>
        <v>01-2025, 09-2025, 10-2025, 11-2025, 12-2025, 01-2026, 02-2026, 03-2026, 04-2026, 05-2026 and 06-2026</v>
      </c>
      <c r="E4" s="193" t="str">
        <f>VLOOKUP(A4,DESCRIP,3,0)</f>
        <v>1 YEAR</v>
      </c>
    </row>
    <row r="5" spans="1:10" ht="23.4" customHeight="1" x14ac:dyDescent="0.3">
      <c r="A5" s="280" t="s">
        <v>406</v>
      </c>
      <c r="B5" s="280"/>
      <c r="C5" s="280"/>
      <c r="D5" s="280"/>
      <c r="E5" s="280"/>
    </row>
    <row r="6" spans="1:10" ht="34.200000000000003" customHeight="1" x14ac:dyDescent="0.7">
      <c r="A6" s="64" t="s">
        <v>407</v>
      </c>
      <c r="B6" s="90" t="str">
        <f>G1</f>
        <v>H02-26-051</v>
      </c>
      <c r="C6" s="66"/>
      <c r="D6" s="284"/>
      <c r="E6" s="284"/>
    </row>
    <row r="7" spans="1:10" ht="33.6" customHeight="1" x14ac:dyDescent="0.85">
      <c r="A7" s="64" t="s">
        <v>408</v>
      </c>
      <c r="B7" s="144">
        <f>VLOOKUP(G1,BATCHING,2,0)</f>
        <v>46205</v>
      </c>
      <c r="C7" s="65"/>
      <c r="D7" s="67"/>
      <c r="E7" s="68"/>
    </row>
    <row r="8" spans="1:10" ht="33.6" customHeight="1" x14ac:dyDescent="0.8">
      <c r="A8" s="64" t="s">
        <v>409</v>
      </c>
      <c r="B8" s="283" t="s">
        <v>410</v>
      </c>
      <c r="C8" s="283"/>
      <c r="D8" s="67"/>
      <c r="E8" s="69"/>
    </row>
  </sheetData>
  <mergeCells count="5">
    <mergeCell ref="A5:E5"/>
    <mergeCell ref="A1:E1"/>
    <mergeCell ref="A2:E2"/>
    <mergeCell ref="B8:C8"/>
    <mergeCell ref="D6:E6"/>
  </mergeCells>
  <dataValidations count="2">
    <dataValidation allowBlank="1" showInputMessage="1" showErrorMessage="1" sqref="A2:E2" xr:uid="{4B95D965-80DB-439E-A179-2076A6C22F31}"/>
    <dataValidation type="list" allowBlank="1" showInputMessage="1" showErrorMessage="1" sqref="A4" xr:uid="{6B10173C-532A-41F9-8C85-F48E13DD8A8B}">
      <formula1>ITEMNO</formula1>
    </dataValidation>
  </dataValidations>
  <printOptions horizontalCentered="1" verticalCentered="1"/>
  <pageMargins left="0.25" right="0.25" top="0.75" bottom="0.75" header="0.3" footer="0.3"/>
  <pageSetup paperSize="9" scale="90"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E2A03-E110-41E0-BAFF-D436AB03BEF8}">
  <sheetPr>
    <tabColor rgb="FFC00000"/>
  </sheetPr>
  <dimension ref="A1:O199"/>
  <sheetViews>
    <sheetView tabSelected="1" zoomScaleNormal="100" zoomScaleSheetLayoutView="55" workbookViewId="0">
      <pane ySplit="1" topLeftCell="A118" activePane="bottomLeft" state="frozen"/>
      <selection activeCell="I1" sqref="I1"/>
      <selection pane="bottomLeft" activeCell="A132" sqref="A132"/>
    </sheetView>
  </sheetViews>
  <sheetFormatPr defaultColWidth="9.109375" defaultRowHeight="14.4" x14ac:dyDescent="0.3"/>
  <cols>
    <col min="1" max="1" width="17.109375" style="197" customWidth="1"/>
    <col min="2" max="2" width="10.109375" style="196" customWidth="1"/>
    <col min="3" max="3" width="16" style="196" customWidth="1"/>
    <col min="4" max="4" width="14.88671875" style="207" customWidth="1"/>
    <col min="5" max="5" width="19.88671875" style="197" customWidth="1"/>
    <col min="6" max="6" width="55.44140625" style="248" customWidth="1"/>
    <col min="7" max="7" width="24.44140625" style="197" customWidth="1"/>
    <col min="8" max="8" width="51.33203125" style="197" customWidth="1"/>
    <col min="9" max="9" width="52.5546875" style="197" customWidth="1"/>
    <col min="10" max="10" width="20.109375" style="202" customWidth="1"/>
    <col min="11" max="11" width="15.88671875" style="203" customWidth="1"/>
    <col min="12" max="12" width="20.88671875" style="203" customWidth="1"/>
    <col min="13" max="13" width="43" style="203" customWidth="1"/>
    <col min="14" max="14" width="26.33203125" style="203" hidden="1" customWidth="1"/>
    <col min="15" max="15" width="19.6640625" style="245" customWidth="1"/>
    <col min="16" max="16384" width="9.109375" style="203"/>
  </cols>
  <sheetData>
    <row r="1" spans="1:15" s="238" customFormat="1" ht="55.95" customHeight="1" x14ac:dyDescent="0.3">
      <c r="A1" s="198" t="s">
        <v>411</v>
      </c>
      <c r="B1" s="198" t="s">
        <v>412</v>
      </c>
      <c r="C1" s="198" t="s">
        <v>2</v>
      </c>
      <c r="D1" s="204" t="s">
        <v>3</v>
      </c>
      <c r="E1" s="198" t="s">
        <v>4</v>
      </c>
      <c r="F1" s="234" t="s">
        <v>5</v>
      </c>
      <c r="G1" s="198" t="s">
        <v>6</v>
      </c>
      <c r="H1" s="198" t="s">
        <v>7</v>
      </c>
      <c r="I1" s="198" t="s">
        <v>8</v>
      </c>
      <c r="J1" s="198" t="s">
        <v>9</v>
      </c>
      <c r="K1" s="199" t="s">
        <v>413</v>
      </c>
      <c r="L1" s="199" t="s">
        <v>414</v>
      </c>
      <c r="M1" s="235" t="s">
        <v>12</v>
      </c>
      <c r="N1" s="236" t="s">
        <v>13</v>
      </c>
      <c r="O1" s="237" t="s">
        <v>415</v>
      </c>
    </row>
    <row r="2" spans="1:15" s="240" customFormat="1" ht="15.6" x14ac:dyDescent="0.3">
      <c r="A2" s="200" t="s">
        <v>416</v>
      </c>
      <c r="B2" s="200">
        <v>1</v>
      </c>
      <c r="C2" s="200" t="str">
        <f t="shared" ref="C2:C7" si="0">_xlfn.CONCAT(A2,B2)</f>
        <v>ARCH-24-0011</v>
      </c>
      <c r="D2" s="205">
        <v>45372</v>
      </c>
      <c r="E2" s="200">
        <v>14</v>
      </c>
      <c r="F2" s="239" t="str">
        <f t="shared" ref="F2:F33" si="1">VLOOKUP(E2,DESCRIP,2,0)</f>
        <v>LISTS
         ASSOCIATIONS
         COMMITTEES
         COOPERATIVES
         DONORS
         MAILING
         TRANSMITTAL
         OTHERS</v>
      </c>
      <c r="G2" s="200" t="s">
        <v>417</v>
      </c>
      <c r="H2" s="200" t="s">
        <v>418</v>
      </c>
      <c r="I2" s="200" t="s">
        <v>118</v>
      </c>
      <c r="J2" s="200">
        <v>2018</v>
      </c>
      <c r="K2" s="200">
        <f>2025-Table13[[#This Row],[LATEST YEAR]]</f>
        <v>7</v>
      </c>
      <c r="L2" s="200">
        <f>VLOOKUP(Table13[[#This Row],[GRDS ITEM NO]],RETENTION1,4,0)</f>
        <v>1</v>
      </c>
      <c r="M2" s="200">
        <f>Table13[[#This Row],[RETENTION PERIOD (NO. OF YEAR/S)]]-Table13[[#This Row],[NO. YEARS AS OF  Y2025]]</f>
        <v>-6</v>
      </c>
      <c r="N2" s="200" t="s">
        <v>419</v>
      </c>
      <c r="O2" s="201"/>
    </row>
    <row r="3" spans="1:15" s="241" customFormat="1" x14ac:dyDescent="0.3">
      <c r="A3" s="200" t="s">
        <v>416</v>
      </c>
      <c r="B3" s="200">
        <v>2</v>
      </c>
      <c r="C3" s="200" t="str">
        <f t="shared" si="0"/>
        <v>ARCH-24-0012</v>
      </c>
      <c r="D3" s="205">
        <v>45372</v>
      </c>
      <c r="E3" s="200">
        <v>14</v>
      </c>
      <c r="F3" s="239" t="str">
        <f t="shared" si="1"/>
        <v>LISTS
         ASSOCIATIONS
         COMMITTEES
         COOPERATIVES
         DONORS
         MAILING
         TRANSMITTAL
         OTHERS</v>
      </c>
      <c r="G3" s="200" t="s">
        <v>417</v>
      </c>
      <c r="H3" s="200" t="s">
        <v>418</v>
      </c>
      <c r="I3" s="200" t="s">
        <v>118</v>
      </c>
      <c r="J3" s="200">
        <v>2018</v>
      </c>
      <c r="K3" s="200">
        <f>2025-Table13[[#This Row],[LATEST YEAR]]</f>
        <v>7</v>
      </c>
      <c r="L3" s="200">
        <f>VLOOKUP(Table13[[#This Row],[GRDS ITEM NO]],RETENTION1,4,0)</f>
        <v>1</v>
      </c>
      <c r="M3" s="200">
        <f>Table13[[#This Row],[RETENTION PERIOD (NO. OF YEAR/S)]]-Table13[[#This Row],[NO. YEARS AS OF  Y2025]]</f>
        <v>-6</v>
      </c>
      <c r="N3" s="200" t="s">
        <v>419</v>
      </c>
      <c r="O3" s="201"/>
    </row>
    <row r="4" spans="1:15" s="241" customFormat="1" x14ac:dyDescent="0.3">
      <c r="A4" s="200" t="s">
        <v>416</v>
      </c>
      <c r="B4" s="200">
        <v>3</v>
      </c>
      <c r="C4" s="200" t="str">
        <f t="shared" si="0"/>
        <v>ARCH-24-0013</v>
      </c>
      <c r="D4" s="205">
        <v>45372</v>
      </c>
      <c r="E4" s="200">
        <v>14</v>
      </c>
      <c r="F4" s="239" t="str">
        <f t="shared" si="1"/>
        <v>LISTS
         ASSOCIATIONS
         COMMITTEES
         COOPERATIVES
         DONORS
         MAILING
         TRANSMITTAL
         OTHERS</v>
      </c>
      <c r="G4" s="200" t="s">
        <v>417</v>
      </c>
      <c r="H4" s="200" t="s">
        <v>420</v>
      </c>
      <c r="I4" s="200" t="s">
        <v>118</v>
      </c>
      <c r="J4" s="200">
        <v>2018</v>
      </c>
      <c r="K4" s="200">
        <f>2025-Table13[[#This Row],[LATEST YEAR]]</f>
        <v>7</v>
      </c>
      <c r="L4" s="200">
        <f>VLOOKUP(Table13[[#This Row],[GRDS ITEM NO]],RETENTION1,4,0)</f>
        <v>1</v>
      </c>
      <c r="M4" s="200">
        <f>Table13[[#This Row],[RETENTION PERIOD (NO. OF YEAR/S)]]-Table13[[#This Row],[NO. YEARS AS OF  Y2025]]</f>
        <v>-6</v>
      </c>
      <c r="N4" s="200" t="s">
        <v>419</v>
      </c>
      <c r="O4" s="201"/>
    </row>
    <row r="5" spans="1:15" s="241" customFormat="1" x14ac:dyDescent="0.3">
      <c r="A5" s="200" t="s">
        <v>416</v>
      </c>
      <c r="B5" s="200">
        <v>4</v>
      </c>
      <c r="C5" s="200" t="str">
        <f t="shared" si="0"/>
        <v>ARCH-24-0014</v>
      </c>
      <c r="D5" s="205">
        <v>45372</v>
      </c>
      <c r="E5" s="200">
        <v>14</v>
      </c>
      <c r="F5" s="239" t="str">
        <f t="shared" si="1"/>
        <v>LISTS
         ASSOCIATIONS
         COMMITTEES
         COOPERATIVES
         DONORS
         MAILING
         TRANSMITTAL
         OTHERS</v>
      </c>
      <c r="G5" s="200" t="s">
        <v>417</v>
      </c>
      <c r="H5" s="200" t="s">
        <v>421</v>
      </c>
      <c r="I5" s="200" t="s">
        <v>118</v>
      </c>
      <c r="J5" s="200">
        <v>2018</v>
      </c>
      <c r="K5" s="200">
        <f>2025-Table13[[#This Row],[LATEST YEAR]]</f>
        <v>7</v>
      </c>
      <c r="L5" s="200">
        <f>VLOOKUP(Table13[[#This Row],[GRDS ITEM NO]],RETENTION1,4,0)</f>
        <v>1</v>
      </c>
      <c r="M5" s="200">
        <f>Table13[[#This Row],[RETENTION PERIOD (NO. OF YEAR/S)]]-Table13[[#This Row],[NO. YEARS AS OF  Y2025]]</f>
        <v>-6</v>
      </c>
      <c r="N5" s="200" t="s">
        <v>419</v>
      </c>
      <c r="O5" s="201"/>
    </row>
    <row r="6" spans="1:15" s="241" customFormat="1" x14ac:dyDescent="0.3">
      <c r="A6" s="200" t="s">
        <v>416</v>
      </c>
      <c r="B6" s="200">
        <v>5</v>
      </c>
      <c r="C6" s="200" t="str">
        <f t="shared" si="0"/>
        <v>ARCH-24-0015</v>
      </c>
      <c r="D6" s="205">
        <v>45372</v>
      </c>
      <c r="E6" s="200">
        <v>14</v>
      </c>
      <c r="F6" s="239" t="str">
        <f t="shared" si="1"/>
        <v>LISTS
         ASSOCIATIONS
         COMMITTEES
         COOPERATIVES
         DONORS
         MAILING
         TRANSMITTAL
         OTHERS</v>
      </c>
      <c r="G6" s="200" t="s">
        <v>417</v>
      </c>
      <c r="H6" s="200" t="s">
        <v>422</v>
      </c>
      <c r="I6" s="200" t="s">
        <v>118</v>
      </c>
      <c r="J6" s="200">
        <v>2018</v>
      </c>
      <c r="K6" s="200">
        <f>2025-Table13[[#This Row],[LATEST YEAR]]</f>
        <v>7</v>
      </c>
      <c r="L6" s="200">
        <f>VLOOKUP(Table13[[#This Row],[GRDS ITEM NO]],RETENTION1,4,0)</f>
        <v>1</v>
      </c>
      <c r="M6" s="200">
        <f>Table13[[#This Row],[RETENTION PERIOD (NO. OF YEAR/S)]]-Table13[[#This Row],[NO. YEARS AS OF  Y2025]]</f>
        <v>-6</v>
      </c>
      <c r="N6" s="200" t="s">
        <v>419</v>
      </c>
      <c r="O6" s="201"/>
    </row>
    <row r="7" spans="1:15" s="241" customFormat="1" x14ac:dyDescent="0.3">
      <c r="A7" s="200" t="s">
        <v>416</v>
      </c>
      <c r="B7" s="200">
        <v>6</v>
      </c>
      <c r="C7" s="200" t="str">
        <f t="shared" si="0"/>
        <v>ARCH-24-0016</v>
      </c>
      <c r="D7" s="205">
        <v>45372</v>
      </c>
      <c r="E7" s="200">
        <v>14</v>
      </c>
      <c r="F7" s="239" t="str">
        <f t="shared" si="1"/>
        <v>LISTS
         ASSOCIATIONS
         COMMITTEES
         COOPERATIVES
         DONORS
         MAILING
         TRANSMITTAL
         OTHERS</v>
      </c>
      <c r="G7" s="200" t="s">
        <v>417</v>
      </c>
      <c r="H7" s="200" t="s">
        <v>423</v>
      </c>
      <c r="I7" s="200" t="s">
        <v>118</v>
      </c>
      <c r="J7" s="200">
        <v>2018</v>
      </c>
      <c r="K7" s="200">
        <f>2025-Table13[[#This Row],[LATEST YEAR]]</f>
        <v>7</v>
      </c>
      <c r="L7" s="200">
        <f>VLOOKUP(Table13[[#This Row],[GRDS ITEM NO]],RETENTION1,4,0)</f>
        <v>1</v>
      </c>
      <c r="M7" s="200">
        <f>Table13[[#This Row],[RETENTION PERIOD (NO. OF YEAR/S)]]-Table13[[#This Row],[NO. YEARS AS OF  Y2025]]</f>
        <v>-6</v>
      </c>
      <c r="N7" s="200" t="s">
        <v>419</v>
      </c>
      <c r="O7" s="201"/>
    </row>
    <row r="8" spans="1:15" s="241" customFormat="1" x14ac:dyDescent="0.3">
      <c r="A8" s="242" t="s">
        <v>416</v>
      </c>
      <c r="B8" s="200">
        <v>7</v>
      </c>
      <c r="C8" s="200" t="str">
        <f t="shared" ref="C8:C31" si="2">_xlfn.CONCAT(A8,B8)</f>
        <v>ARCH-24-0017</v>
      </c>
      <c r="D8" s="205">
        <v>45372</v>
      </c>
      <c r="E8" s="200">
        <v>14</v>
      </c>
      <c r="F8" s="239" t="str">
        <f t="shared" si="1"/>
        <v>LISTS
         ASSOCIATIONS
         COMMITTEES
         COOPERATIVES
         DONORS
         MAILING
         TRANSMITTAL
         OTHERS</v>
      </c>
      <c r="G8" s="200" t="s">
        <v>417</v>
      </c>
      <c r="H8" s="200" t="s">
        <v>424</v>
      </c>
      <c r="I8" s="200" t="s">
        <v>118</v>
      </c>
      <c r="J8" s="200">
        <v>2018</v>
      </c>
      <c r="K8" s="200">
        <f>2025-Table13[[#This Row],[LATEST YEAR]]</f>
        <v>7</v>
      </c>
      <c r="L8" s="200">
        <f>VLOOKUP(Table13[[#This Row],[GRDS ITEM NO]],RETENTION1,4,0)</f>
        <v>1</v>
      </c>
      <c r="M8" s="200">
        <f>Table13[[#This Row],[RETENTION PERIOD (NO. OF YEAR/S)]]-Table13[[#This Row],[NO. YEARS AS OF  Y2025]]</f>
        <v>-6</v>
      </c>
      <c r="N8" s="200" t="s">
        <v>419</v>
      </c>
      <c r="O8" s="201"/>
    </row>
    <row r="9" spans="1:15" s="241" customFormat="1" x14ac:dyDescent="0.3">
      <c r="A9" s="242" t="s">
        <v>416</v>
      </c>
      <c r="B9" s="200">
        <v>8</v>
      </c>
      <c r="C9" s="200" t="str">
        <f t="shared" si="2"/>
        <v>ARCH-24-0018</v>
      </c>
      <c r="D9" s="205">
        <v>45372</v>
      </c>
      <c r="E9" s="200">
        <v>14</v>
      </c>
      <c r="F9" s="239" t="str">
        <f t="shared" si="1"/>
        <v>LISTS
         ASSOCIATIONS
         COMMITTEES
         COOPERATIVES
         DONORS
         MAILING
         TRANSMITTAL
         OTHERS</v>
      </c>
      <c r="G9" s="200" t="s">
        <v>417</v>
      </c>
      <c r="H9" s="200" t="s">
        <v>425</v>
      </c>
      <c r="I9" s="200" t="s">
        <v>118</v>
      </c>
      <c r="J9" s="200">
        <v>2018</v>
      </c>
      <c r="K9" s="200">
        <f>2025-Table13[[#This Row],[LATEST YEAR]]</f>
        <v>7</v>
      </c>
      <c r="L9" s="200">
        <f>VLOOKUP(Table13[[#This Row],[GRDS ITEM NO]],RETENTION1,4,0)</f>
        <v>1</v>
      </c>
      <c r="M9" s="200">
        <f>Table13[[#This Row],[RETENTION PERIOD (NO. OF YEAR/S)]]-Table13[[#This Row],[NO. YEARS AS OF  Y2025]]</f>
        <v>-6</v>
      </c>
      <c r="N9" s="200" t="s">
        <v>419</v>
      </c>
      <c r="O9" s="201"/>
    </row>
    <row r="10" spans="1:15" s="241" customFormat="1" x14ac:dyDescent="0.3">
      <c r="A10" s="242" t="s">
        <v>416</v>
      </c>
      <c r="B10" s="200">
        <v>9</v>
      </c>
      <c r="C10" s="200" t="str">
        <f t="shared" si="2"/>
        <v>ARCH-24-0019</v>
      </c>
      <c r="D10" s="205">
        <v>45372</v>
      </c>
      <c r="E10" s="200">
        <v>14</v>
      </c>
      <c r="F10" s="239" t="str">
        <f t="shared" si="1"/>
        <v>LISTS
         ASSOCIATIONS
         COMMITTEES
         COOPERATIVES
         DONORS
         MAILING
         TRANSMITTAL
         OTHERS</v>
      </c>
      <c r="G10" s="200" t="s">
        <v>417</v>
      </c>
      <c r="H10" s="200" t="s">
        <v>426</v>
      </c>
      <c r="I10" s="200" t="s">
        <v>118</v>
      </c>
      <c r="J10" s="200">
        <v>2018</v>
      </c>
      <c r="K10" s="200">
        <f>2025-Table13[[#This Row],[LATEST YEAR]]</f>
        <v>7</v>
      </c>
      <c r="L10" s="200">
        <f>VLOOKUP(Table13[[#This Row],[GRDS ITEM NO]],RETENTION1,4,0)</f>
        <v>1</v>
      </c>
      <c r="M10" s="200">
        <f>Table13[[#This Row],[RETENTION PERIOD (NO. OF YEAR/S)]]-Table13[[#This Row],[NO. YEARS AS OF  Y2025]]</f>
        <v>-6</v>
      </c>
      <c r="N10" s="200" t="s">
        <v>419</v>
      </c>
      <c r="O10" s="201"/>
    </row>
    <row r="11" spans="1:15" s="241" customFormat="1" x14ac:dyDescent="0.3">
      <c r="A11" s="242" t="s">
        <v>416</v>
      </c>
      <c r="B11" s="200">
        <v>10</v>
      </c>
      <c r="C11" s="200" t="str">
        <f t="shared" si="2"/>
        <v>ARCH-24-00110</v>
      </c>
      <c r="D11" s="205">
        <v>45372</v>
      </c>
      <c r="E11" s="200">
        <v>14</v>
      </c>
      <c r="F11" s="239" t="str">
        <f t="shared" si="1"/>
        <v>LISTS
         ASSOCIATIONS
         COMMITTEES
         COOPERATIVES
         DONORS
         MAILING
         TRANSMITTAL
         OTHERS</v>
      </c>
      <c r="G11" s="200" t="s">
        <v>417</v>
      </c>
      <c r="H11" s="200" t="s">
        <v>427</v>
      </c>
      <c r="I11" s="200" t="s">
        <v>118</v>
      </c>
      <c r="J11" s="200">
        <v>2018</v>
      </c>
      <c r="K11" s="200">
        <f>2025-Table13[[#This Row],[LATEST YEAR]]</f>
        <v>7</v>
      </c>
      <c r="L11" s="200">
        <f>VLOOKUP(Table13[[#This Row],[GRDS ITEM NO]],RETENTION1,4,0)</f>
        <v>1</v>
      </c>
      <c r="M11" s="200">
        <f>Table13[[#This Row],[RETENTION PERIOD (NO. OF YEAR/S)]]-Table13[[#This Row],[NO. YEARS AS OF  Y2025]]</f>
        <v>-6</v>
      </c>
      <c r="N11" s="200" t="s">
        <v>419</v>
      </c>
      <c r="O11" s="201"/>
    </row>
    <row r="12" spans="1:15" s="241" customFormat="1" x14ac:dyDescent="0.3">
      <c r="A12" s="242" t="s">
        <v>416</v>
      </c>
      <c r="B12" s="200">
        <v>11</v>
      </c>
      <c r="C12" s="200" t="str">
        <f t="shared" si="2"/>
        <v>ARCH-24-00111</v>
      </c>
      <c r="D12" s="205">
        <v>45372</v>
      </c>
      <c r="E12" s="200">
        <v>14</v>
      </c>
      <c r="F12" s="239" t="str">
        <f t="shared" si="1"/>
        <v>LISTS
         ASSOCIATIONS
         COMMITTEES
         COOPERATIVES
         DONORS
         MAILING
         TRANSMITTAL
         OTHERS</v>
      </c>
      <c r="G12" s="200" t="s">
        <v>417</v>
      </c>
      <c r="H12" s="200" t="s">
        <v>427</v>
      </c>
      <c r="I12" s="200" t="s">
        <v>118</v>
      </c>
      <c r="J12" s="200">
        <v>2018</v>
      </c>
      <c r="K12" s="200">
        <f>2025-Table13[[#This Row],[LATEST YEAR]]</f>
        <v>7</v>
      </c>
      <c r="L12" s="200">
        <f>VLOOKUP(Table13[[#This Row],[GRDS ITEM NO]],RETENTION1,4,0)</f>
        <v>1</v>
      </c>
      <c r="M12" s="200">
        <f>Table13[[#This Row],[RETENTION PERIOD (NO. OF YEAR/S)]]-Table13[[#This Row],[NO. YEARS AS OF  Y2025]]</f>
        <v>-6</v>
      </c>
      <c r="N12" s="200" t="s">
        <v>419</v>
      </c>
      <c r="O12" s="201"/>
    </row>
    <row r="13" spans="1:15" s="241" customFormat="1" x14ac:dyDescent="0.3">
      <c r="A13" s="242" t="s">
        <v>416</v>
      </c>
      <c r="B13" s="200">
        <v>12</v>
      </c>
      <c r="C13" s="200" t="str">
        <f t="shared" si="2"/>
        <v>ARCH-24-00112</v>
      </c>
      <c r="D13" s="205">
        <v>45372</v>
      </c>
      <c r="E13" s="200">
        <v>14</v>
      </c>
      <c r="F13" s="239" t="str">
        <f t="shared" si="1"/>
        <v>LISTS
         ASSOCIATIONS
         COMMITTEES
         COOPERATIVES
         DONORS
         MAILING
         TRANSMITTAL
         OTHERS</v>
      </c>
      <c r="G13" s="200" t="s">
        <v>417</v>
      </c>
      <c r="H13" s="200" t="s">
        <v>428</v>
      </c>
      <c r="I13" s="200" t="s">
        <v>118</v>
      </c>
      <c r="J13" s="200">
        <v>2018</v>
      </c>
      <c r="K13" s="200">
        <f>2025-Table13[[#This Row],[LATEST YEAR]]</f>
        <v>7</v>
      </c>
      <c r="L13" s="200">
        <f>VLOOKUP(Table13[[#This Row],[GRDS ITEM NO]],RETENTION1,4,0)</f>
        <v>1</v>
      </c>
      <c r="M13" s="200">
        <f>Table13[[#This Row],[RETENTION PERIOD (NO. OF YEAR/S)]]-Table13[[#This Row],[NO. YEARS AS OF  Y2025]]</f>
        <v>-6</v>
      </c>
      <c r="N13" s="200" t="s">
        <v>419</v>
      </c>
      <c r="O13" s="201"/>
    </row>
    <row r="14" spans="1:15" s="241" customFormat="1" x14ac:dyDescent="0.3">
      <c r="A14" s="242" t="s">
        <v>416</v>
      </c>
      <c r="B14" s="200">
        <v>13</v>
      </c>
      <c r="C14" s="200" t="str">
        <f t="shared" si="2"/>
        <v>ARCH-24-00113</v>
      </c>
      <c r="D14" s="205">
        <v>45372</v>
      </c>
      <c r="E14" s="200">
        <v>14</v>
      </c>
      <c r="F14" s="239" t="str">
        <f t="shared" si="1"/>
        <v>LISTS
         ASSOCIATIONS
         COMMITTEES
         COOPERATIVES
         DONORS
         MAILING
         TRANSMITTAL
         OTHERS</v>
      </c>
      <c r="G14" s="200" t="s">
        <v>417</v>
      </c>
      <c r="H14" s="200" t="s">
        <v>429</v>
      </c>
      <c r="I14" s="200" t="s">
        <v>118</v>
      </c>
      <c r="J14" s="200">
        <v>2018</v>
      </c>
      <c r="K14" s="200">
        <f>2025-Table13[[#This Row],[LATEST YEAR]]</f>
        <v>7</v>
      </c>
      <c r="L14" s="200">
        <f>VLOOKUP(Table13[[#This Row],[GRDS ITEM NO]],RETENTION1,4,0)</f>
        <v>1</v>
      </c>
      <c r="M14" s="200">
        <f>Table13[[#This Row],[RETENTION PERIOD (NO. OF YEAR/S)]]-Table13[[#This Row],[NO. YEARS AS OF  Y2025]]</f>
        <v>-6</v>
      </c>
      <c r="N14" s="200" t="s">
        <v>419</v>
      </c>
      <c r="O14" s="201"/>
    </row>
    <row r="15" spans="1:15" s="241" customFormat="1" x14ac:dyDescent="0.3">
      <c r="A15" s="242" t="s">
        <v>416</v>
      </c>
      <c r="B15" s="200">
        <v>14</v>
      </c>
      <c r="C15" s="200" t="str">
        <f t="shared" si="2"/>
        <v>ARCH-24-00114</v>
      </c>
      <c r="D15" s="205">
        <v>45372</v>
      </c>
      <c r="E15" s="200">
        <v>14</v>
      </c>
      <c r="F15" s="239" t="str">
        <f t="shared" si="1"/>
        <v>LISTS
         ASSOCIATIONS
         COMMITTEES
         COOPERATIVES
         DONORS
         MAILING
         TRANSMITTAL
         OTHERS</v>
      </c>
      <c r="G15" s="200" t="s">
        <v>417</v>
      </c>
      <c r="H15" s="200" t="s">
        <v>430</v>
      </c>
      <c r="I15" s="200" t="s">
        <v>118</v>
      </c>
      <c r="J15" s="200">
        <v>2018</v>
      </c>
      <c r="K15" s="200">
        <f>2025-Table13[[#This Row],[LATEST YEAR]]</f>
        <v>7</v>
      </c>
      <c r="L15" s="200">
        <f>VLOOKUP(Table13[[#This Row],[GRDS ITEM NO]],RETENTION1,4,0)</f>
        <v>1</v>
      </c>
      <c r="M15" s="200">
        <f>Table13[[#This Row],[RETENTION PERIOD (NO. OF YEAR/S)]]-Table13[[#This Row],[NO. YEARS AS OF  Y2025]]</f>
        <v>-6</v>
      </c>
      <c r="N15" s="200" t="s">
        <v>419</v>
      </c>
      <c r="O15" s="201"/>
    </row>
    <row r="16" spans="1:15" s="241" customFormat="1" x14ac:dyDescent="0.3">
      <c r="A16" s="242" t="s">
        <v>416</v>
      </c>
      <c r="B16" s="200">
        <v>15</v>
      </c>
      <c r="C16" s="200" t="str">
        <f t="shared" si="2"/>
        <v>ARCH-24-00115</v>
      </c>
      <c r="D16" s="205">
        <v>45372</v>
      </c>
      <c r="E16" s="200">
        <v>14</v>
      </c>
      <c r="F16" s="239" t="str">
        <f t="shared" si="1"/>
        <v>LISTS
         ASSOCIATIONS
         COMMITTEES
         COOPERATIVES
         DONORS
         MAILING
         TRANSMITTAL
         OTHERS</v>
      </c>
      <c r="G16" s="200" t="s">
        <v>417</v>
      </c>
      <c r="H16" s="200" t="s">
        <v>431</v>
      </c>
      <c r="I16" s="200" t="s">
        <v>118</v>
      </c>
      <c r="J16" s="200">
        <v>2018</v>
      </c>
      <c r="K16" s="200">
        <f>2025-Table13[[#This Row],[LATEST YEAR]]</f>
        <v>7</v>
      </c>
      <c r="L16" s="200">
        <f>VLOOKUP(Table13[[#This Row],[GRDS ITEM NO]],RETENTION1,4,0)</f>
        <v>1</v>
      </c>
      <c r="M16" s="200">
        <f>Table13[[#This Row],[RETENTION PERIOD (NO. OF YEAR/S)]]-Table13[[#This Row],[NO. YEARS AS OF  Y2025]]</f>
        <v>-6</v>
      </c>
      <c r="N16" s="200" t="s">
        <v>419</v>
      </c>
      <c r="O16" s="201"/>
    </row>
    <row r="17" spans="1:15" s="241" customFormat="1" x14ac:dyDescent="0.3">
      <c r="A17" s="242" t="s">
        <v>416</v>
      </c>
      <c r="B17" s="200">
        <v>16</v>
      </c>
      <c r="C17" s="200" t="str">
        <f t="shared" si="2"/>
        <v>ARCH-24-00116</v>
      </c>
      <c r="D17" s="205">
        <v>45372</v>
      </c>
      <c r="E17" s="200">
        <v>14</v>
      </c>
      <c r="F17" s="239" t="str">
        <f t="shared" si="1"/>
        <v>LISTS
         ASSOCIATIONS
         COMMITTEES
         COOPERATIVES
         DONORS
         MAILING
         TRANSMITTAL
         OTHERS</v>
      </c>
      <c r="G17" s="200" t="s">
        <v>417</v>
      </c>
      <c r="H17" s="200" t="s">
        <v>431</v>
      </c>
      <c r="I17" s="200" t="s">
        <v>118</v>
      </c>
      <c r="J17" s="200">
        <v>2018</v>
      </c>
      <c r="K17" s="200">
        <f>2025-Table13[[#This Row],[LATEST YEAR]]</f>
        <v>7</v>
      </c>
      <c r="L17" s="200">
        <f>VLOOKUP(Table13[[#This Row],[GRDS ITEM NO]],RETENTION1,4,0)</f>
        <v>1</v>
      </c>
      <c r="M17" s="200">
        <f>Table13[[#This Row],[RETENTION PERIOD (NO. OF YEAR/S)]]-Table13[[#This Row],[NO. YEARS AS OF  Y2025]]</f>
        <v>-6</v>
      </c>
      <c r="N17" s="200" t="s">
        <v>419</v>
      </c>
      <c r="O17" s="201"/>
    </row>
    <row r="18" spans="1:15" s="241" customFormat="1" x14ac:dyDescent="0.3">
      <c r="A18" s="242" t="s">
        <v>416</v>
      </c>
      <c r="B18" s="200">
        <v>17</v>
      </c>
      <c r="C18" s="200" t="str">
        <f t="shared" si="2"/>
        <v>ARCH-24-00117</v>
      </c>
      <c r="D18" s="205">
        <v>45372</v>
      </c>
      <c r="E18" s="200">
        <v>14</v>
      </c>
      <c r="F18" s="239" t="str">
        <f t="shared" si="1"/>
        <v>LISTS
         ASSOCIATIONS
         COMMITTEES
         COOPERATIVES
         DONORS
         MAILING
         TRANSMITTAL
         OTHERS</v>
      </c>
      <c r="G18" s="200" t="s">
        <v>417</v>
      </c>
      <c r="H18" s="200" t="s">
        <v>432</v>
      </c>
      <c r="I18" s="200" t="s">
        <v>118</v>
      </c>
      <c r="J18" s="200">
        <v>2018</v>
      </c>
      <c r="K18" s="200">
        <f>2025-Table13[[#This Row],[LATEST YEAR]]</f>
        <v>7</v>
      </c>
      <c r="L18" s="200">
        <f>VLOOKUP(Table13[[#This Row],[GRDS ITEM NO]],RETENTION1,4,0)</f>
        <v>1</v>
      </c>
      <c r="M18" s="200">
        <f>Table13[[#This Row],[RETENTION PERIOD (NO. OF YEAR/S)]]-Table13[[#This Row],[NO. YEARS AS OF  Y2025]]</f>
        <v>-6</v>
      </c>
      <c r="N18" s="200" t="s">
        <v>419</v>
      </c>
      <c r="O18" s="201"/>
    </row>
    <row r="19" spans="1:15" s="241" customFormat="1" x14ac:dyDescent="0.3">
      <c r="A19" s="242" t="s">
        <v>416</v>
      </c>
      <c r="B19" s="200">
        <v>18</v>
      </c>
      <c r="C19" s="200" t="str">
        <f t="shared" si="2"/>
        <v>ARCH-24-00118</v>
      </c>
      <c r="D19" s="205">
        <v>45372</v>
      </c>
      <c r="E19" s="200">
        <v>14</v>
      </c>
      <c r="F19" s="239" t="str">
        <f t="shared" si="1"/>
        <v>LISTS
         ASSOCIATIONS
         COMMITTEES
         COOPERATIVES
         DONORS
         MAILING
         TRANSMITTAL
         OTHERS</v>
      </c>
      <c r="G19" s="200" t="s">
        <v>417</v>
      </c>
      <c r="H19" s="200" t="s">
        <v>433</v>
      </c>
      <c r="I19" s="200" t="s">
        <v>118</v>
      </c>
      <c r="J19" s="200">
        <v>2018</v>
      </c>
      <c r="K19" s="200">
        <f>2025-Table13[[#This Row],[LATEST YEAR]]</f>
        <v>7</v>
      </c>
      <c r="L19" s="200">
        <f>VLOOKUP(Table13[[#This Row],[GRDS ITEM NO]],RETENTION1,4,0)</f>
        <v>1</v>
      </c>
      <c r="M19" s="200">
        <f>Table13[[#This Row],[RETENTION PERIOD (NO. OF YEAR/S)]]-Table13[[#This Row],[NO. YEARS AS OF  Y2025]]</f>
        <v>-6</v>
      </c>
      <c r="N19" s="200" t="s">
        <v>419</v>
      </c>
      <c r="O19" s="201"/>
    </row>
    <row r="20" spans="1:15" s="241" customFormat="1" x14ac:dyDescent="0.3">
      <c r="A20" s="242" t="s">
        <v>416</v>
      </c>
      <c r="B20" s="200">
        <v>19</v>
      </c>
      <c r="C20" s="200" t="str">
        <f t="shared" si="2"/>
        <v>ARCH-24-00119</v>
      </c>
      <c r="D20" s="205">
        <v>45372</v>
      </c>
      <c r="E20" s="200">
        <v>14</v>
      </c>
      <c r="F20" s="239" t="str">
        <f t="shared" si="1"/>
        <v>LISTS
         ASSOCIATIONS
         COMMITTEES
         COOPERATIVES
         DONORS
         MAILING
         TRANSMITTAL
         OTHERS</v>
      </c>
      <c r="G20" s="200" t="s">
        <v>417</v>
      </c>
      <c r="H20" s="200" t="s">
        <v>434</v>
      </c>
      <c r="I20" s="200" t="s">
        <v>118</v>
      </c>
      <c r="J20" s="200">
        <v>2018</v>
      </c>
      <c r="K20" s="200">
        <f>2025-Table13[[#This Row],[LATEST YEAR]]</f>
        <v>7</v>
      </c>
      <c r="L20" s="200">
        <f>VLOOKUP(Table13[[#This Row],[GRDS ITEM NO]],RETENTION1,4,0)</f>
        <v>1</v>
      </c>
      <c r="M20" s="200">
        <f>Table13[[#This Row],[RETENTION PERIOD (NO. OF YEAR/S)]]-Table13[[#This Row],[NO. YEARS AS OF  Y2025]]</f>
        <v>-6</v>
      </c>
      <c r="N20" s="200" t="s">
        <v>419</v>
      </c>
      <c r="O20" s="201"/>
    </row>
    <row r="21" spans="1:15" s="241" customFormat="1" x14ac:dyDescent="0.3">
      <c r="A21" s="242" t="s">
        <v>416</v>
      </c>
      <c r="B21" s="200">
        <v>20</v>
      </c>
      <c r="C21" s="200" t="str">
        <f t="shared" si="2"/>
        <v>ARCH-24-00120</v>
      </c>
      <c r="D21" s="205">
        <v>45372</v>
      </c>
      <c r="E21" s="200">
        <v>14</v>
      </c>
      <c r="F21" s="239" t="str">
        <f t="shared" si="1"/>
        <v>LISTS
         ASSOCIATIONS
         COMMITTEES
         COOPERATIVES
         DONORS
         MAILING
         TRANSMITTAL
         OTHERS</v>
      </c>
      <c r="G21" s="200" t="s">
        <v>417</v>
      </c>
      <c r="H21" s="200" t="s">
        <v>434</v>
      </c>
      <c r="I21" s="200" t="s">
        <v>118</v>
      </c>
      <c r="J21" s="200">
        <v>2018</v>
      </c>
      <c r="K21" s="200">
        <f>2025-Table13[[#This Row],[LATEST YEAR]]</f>
        <v>7</v>
      </c>
      <c r="L21" s="200">
        <f>VLOOKUP(Table13[[#This Row],[GRDS ITEM NO]],RETENTION1,4,0)</f>
        <v>1</v>
      </c>
      <c r="M21" s="200">
        <f>Table13[[#This Row],[RETENTION PERIOD (NO. OF YEAR/S)]]-Table13[[#This Row],[NO. YEARS AS OF  Y2025]]</f>
        <v>-6</v>
      </c>
      <c r="N21" s="200" t="s">
        <v>419</v>
      </c>
      <c r="O21" s="201"/>
    </row>
    <row r="22" spans="1:15" s="241" customFormat="1" x14ac:dyDescent="0.3">
      <c r="A22" s="242" t="s">
        <v>416</v>
      </c>
      <c r="B22" s="200">
        <v>21</v>
      </c>
      <c r="C22" s="200" t="str">
        <f t="shared" si="2"/>
        <v>ARCH-24-00121</v>
      </c>
      <c r="D22" s="205">
        <v>45372</v>
      </c>
      <c r="E22" s="200">
        <v>14</v>
      </c>
      <c r="F22" s="239" t="str">
        <f t="shared" si="1"/>
        <v>LISTS
         ASSOCIATIONS
         COMMITTEES
         COOPERATIVES
         DONORS
         MAILING
         TRANSMITTAL
         OTHERS</v>
      </c>
      <c r="G22" s="200" t="s">
        <v>417</v>
      </c>
      <c r="H22" s="200" t="s">
        <v>434</v>
      </c>
      <c r="I22" s="200" t="s">
        <v>118</v>
      </c>
      <c r="J22" s="200">
        <v>2018</v>
      </c>
      <c r="K22" s="200">
        <f>2025-Table13[[#This Row],[LATEST YEAR]]</f>
        <v>7</v>
      </c>
      <c r="L22" s="200">
        <f>VLOOKUP(Table13[[#This Row],[GRDS ITEM NO]],RETENTION1,4,0)</f>
        <v>1</v>
      </c>
      <c r="M22" s="200">
        <f>Table13[[#This Row],[RETENTION PERIOD (NO. OF YEAR/S)]]-Table13[[#This Row],[NO. YEARS AS OF  Y2025]]</f>
        <v>-6</v>
      </c>
      <c r="N22" s="200" t="s">
        <v>419</v>
      </c>
      <c r="O22" s="201"/>
    </row>
    <row r="23" spans="1:15" s="241" customFormat="1" x14ac:dyDescent="0.3">
      <c r="A23" s="242" t="s">
        <v>416</v>
      </c>
      <c r="B23" s="200">
        <v>22</v>
      </c>
      <c r="C23" s="200" t="str">
        <f t="shared" si="2"/>
        <v>ARCH-24-00122</v>
      </c>
      <c r="D23" s="205">
        <v>45372</v>
      </c>
      <c r="E23" s="200">
        <v>14</v>
      </c>
      <c r="F23" s="239" t="str">
        <f t="shared" si="1"/>
        <v>LISTS
         ASSOCIATIONS
         COMMITTEES
         COOPERATIVES
         DONORS
         MAILING
         TRANSMITTAL
         OTHERS</v>
      </c>
      <c r="G23" s="200" t="s">
        <v>417</v>
      </c>
      <c r="H23" s="200" t="s">
        <v>435</v>
      </c>
      <c r="I23" s="200" t="s">
        <v>118</v>
      </c>
      <c r="J23" s="200">
        <v>2018</v>
      </c>
      <c r="K23" s="200">
        <f>2025-Table13[[#This Row],[LATEST YEAR]]</f>
        <v>7</v>
      </c>
      <c r="L23" s="200">
        <f>VLOOKUP(Table13[[#This Row],[GRDS ITEM NO]],RETENTION1,4,0)</f>
        <v>1</v>
      </c>
      <c r="M23" s="200">
        <f>Table13[[#This Row],[RETENTION PERIOD (NO. OF YEAR/S)]]-Table13[[#This Row],[NO. YEARS AS OF  Y2025]]</f>
        <v>-6</v>
      </c>
      <c r="N23" s="200" t="s">
        <v>419</v>
      </c>
      <c r="O23" s="201"/>
    </row>
    <row r="24" spans="1:15" s="241" customFormat="1" x14ac:dyDescent="0.3">
      <c r="A24" s="242" t="s">
        <v>416</v>
      </c>
      <c r="B24" s="200">
        <v>23</v>
      </c>
      <c r="C24" s="200" t="str">
        <f t="shared" si="2"/>
        <v>ARCH-24-00123</v>
      </c>
      <c r="D24" s="205">
        <v>45372</v>
      </c>
      <c r="E24" s="200">
        <v>14</v>
      </c>
      <c r="F24" s="239" t="str">
        <f t="shared" si="1"/>
        <v>LISTS
         ASSOCIATIONS
         COMMITTEES
         COOPERATIVES
         DONORS
         MAILING
         TRANSMITTAL
         OTHERS</v>
      </c>
      <c r="G24" s="200" t="s">
        <v>417</v>
      </c>
      <c r="H24" s="200" t="s">
        <v>436</v>
      </c>
      <c r="I24" s="200" t="s">
        <v>118</v>
      </c>
      <c r="J24" s="200">
        <v>2018</v>
      </c>
      <c r="K24" s="200">
        <f>2025-Table13[[#This Row],[LATEST YEAR]]</f>
        <v>7</v>
      </c>
      <c r="L24" s="200">
        <f>VLOOKUP(Table13[[#This Row],[GRDS ITEM NO]],RETENTION1,4,0)</f>
        <v>1</v>
      </c>
      <c r="M24" s="200">
        <f>Table13[[#This Row],[RETENTION PERIOD (NO. OF YEAR/S)]]-Table13[[#This Row],[NO. YEARS AS OF  Y2025]]</f>
        <v>-6</v>
      </c>
      <c r="N24" s="200" t="s">
        <v>419</v>
      </c>
      <c r="O24" s="201"/>
    </row>
    <row r="25" spans="1:15" s="241" customFormat="1" x14ac:dyDescent="0.3">
      <c r="A25" s="242" t="s">
        <v>416</v>
      </c>
      <c r="B25" s="200">
        <v>24</v>
      </c>
      <c r="C25" s="200" t="str">
        <f t="shared" si="2"/>
        <v>ARCH-24-00124</v>
      </c>
      <c r="D25" s="205">
        <v>45372</v>
      </c>
      <c r="E25" s="200">
        <v>14</v>
      </c>
      <c r="F25" s="239" t="str">
        <f t="shared" si="1"/>
        <v>LISTS
         ASSOCIATIONS
         COMMITTEES
         COOPERATIVES
         DONORS
         MAILING
         TRANSMITTAL
         OTHERS</v>
      </c>
      <c r="G25" s="200" t="s">
        <v>417</v>
      </c>
      <c r="H25" s="200" t="s">
        <v>437</v>
      </c>
      <c r="I25" s="200" t="s">
        <v>118</v>
      </c>
      <c r="J25" s="200">
        <v>2018</v>
      </c>
      <c r="K25" s="200">
        <f>2025-Table13[[#This Row],[LATEST YEAR]]</f>
        <v>7</v>
      </c>
      <c r="L25" s="200">
        <f>VLOOKUP(Table13[[#This Row],[GRDS ITEM NO]],RETENTION1,4,0)</f>
        <v>1</v>
      </c>
      <c r="M25" s="200">
        <f>Table13[[#This Row],[RETENTION PERIOD (NO. OF YEAR/S)]]-Table13[[#This Row],[NO. YEARS AS OF  Y2025]]</f>
        <v>-6</v>
      </c>
      <c r="N25" s="200" t="s">
        <v>419</v>
      </c>
      <c r="O25" s="201"/>
    </row>
    <row r="26" spans="1:15" s="241" customFormat="1" x14ac:dyDescent="0.3">
      <c r="A26" s="242" t="s">
        <v>416</v>
      </c>
      <c r="B26" s="200">
        <v>25</v>
      </c>
      <c r="C26" s="200" t="str">
        <f t="shared" si="2"/>
        <v>ARCH-24-00125</v>
      </c>
      <c r="D26" s="205">
        <v>45372</v>
      </c>
      <c r="E26" s="200">
        <v>14</v>
      </c>
      <c r="F26" s="239" t="str">
        <f t="shared" si="1"/>
        <v>LISTS
         ASSOCIATIONS
         COMMITTEES
         COOPERATIVES
         DONORS
         MAILING
         TRANSMITTAL
         OTHERS</v>
      </c>
      <c r="G26" s="200" t="s">
        <v>417</v>
      </c>
      <c r="H26" s="200" t="s">
        <v>438</v>
      </c>
      <c r="I26" s="200" t="s">
        <v>118</v>
      </c>
      <c r="J26" s="200">
        <v>2018</v>
      </c>
      <c r="K26" s="200">
        <f>2025-Table13[[#This Row],[LATEST YEAR]]</f>
        <v>7</v>
      </c>
      <c r="L26" s="200">
        <f>VLOOKUP(Table13[[#This Row],[GRDS ITEM NO]],RETENTION1,4,0)</f>
        <v>1</v>
      </c>
      <c r="M26" s="200">
        <f>Table13[[#This Row],[RETENTION PERIOD (NO. OF YEAR/S)]]-Table13[[#This Row],[NO. YEARS AS OF  Y2025]]</f>
        <v>-6</v>
      </c>
      <c r="N26" s="200" t="s">
        <v>419</v>
      </c>
      <c r="O26" s="201"/>
    </row>
    <row r="27" spans="1:15" s="241" customFormat="1" x14ac:dyDescent="0.3">
      <c r="A27" s="242" t="s">
        <v>416</v>
      </c>
      <c r="B27" s="200">
        <v>26</v>
      </c>
      <c r="C27" s="200" t="str">
        <f t="shared" si="2"/>
        <v>ARCH-24-00126</v>
      </c>
      <c r="D27" s="205">
        <v>45372</v>
      </c>
      <c r="E27" s="200">
        <v>14</v>
      </c>
      <c r="F27" s="239" t="str">
        <f t="shared" si="1"/>
        <v>LISTS
         ASSOCIATIONS
         COMMITTEES
         COOPERATIVES
         DONORS
         MAILING
         TRANSMITTAL
         OTHERS</v>
      </c>
      <c r="G27" s="200" t="s">
        <v>417</v>
      </c>
      <c r="H27" s="200" t="s">
        <v>438</v>
      </c>
      <c r="I27" s="200" t="s">
        <v>118</v>
      </c>
      <c r="J27" s="200">
        <v>2018</v>
      </c>
      <c r="K27" s="200">
        <f>2025-Table13[[#This Row],[LATEST YEAR]]</f>
        <v>7</v>
      </c>
      <c r="L27" s="200">
        <f>VLOOKUP(Table13[[#This Row],[GRDS ITEM NO]],RETENTION1,4,0)</f>
        <v>1</v>
      </c>
      <c r="M27" s="200">
        <f>Table13[[#This Row],[RETENTION PERIOD (NO. OF YEAR/S)]]-Table13[[#This Row],[NO. YEARS AS OF  Y2025]]</f>
        <v>-6</v>
      </c>
      <c r="N27" s="200" t="s">
        <v>419</v>
      </c>
      <c r="O27" s="201"/>
    </row>
    <row r="28" spans="1:15" s="241" customFormat="1" x14ac:dyDescent="0.3">
      <c r="A28" s="242" t="s">
        <v>416</v>
      </c>
      <c r="B28" s="200">
        <v>27</v>
      </c>
      <c r="C28" s="200" t="str">
        <f t="shared" si="2"/>
        <v>ARCH-24-00127</v>
      </c>
      <c r="D28" s="205">
        <v>45372</v>
      </c>
      <c r="E28" s="200">
        <v>14</v>
      </c>
      <c r="F28" s="239" t="str">
        <f t="shared" si="1"/>
        <v>LISTS
         ASSOCIATIONS
         COMMITTEES
         COOPERATIVES
         DONORS
         MAILING
         TRANSMITTAL
         OTHERS</v>
      </c>
      <c r="G28" s="200" t="s">
        <v>417</v>
      </c>
      <c r="H28" s="200" t="s">
        <v>439</v>
      </c>
      <c r="I28" s="200" t="s">
        <v>118</v>
      </c>
      <c r="J28" s="200">
        <v>2018</v>
      </c>
      <c r="K28" s="200">
        <f>2025-Table13[[#This Row],[LATEST YEAR]]</f>
        <v>7</v>
      </c>
      <c r="L28" s="200">
        <f>VLOOKUP(Table13[[#This Row],[GRDS ITEM NO]],RETENTION1,4,0)</f>
        <v>1</v>
      </c>
      <c r="M28" s="200">
        <f>Table13[[#This Row],[RETENTION PERIOD (NO. OF YEAR/S)]]-Table13[[#This Row],[NO. YEARS AS OF  Y2025]]</f>
        <v>-6</v>
      </c>
      <c r="N28" s="200" t="s">
        <v>419</v>
      </c>
      <c r="O28" s="201"/>
    </row>
    <row r="29" spans="1:15" s="241" customFormat="1" x14ac:dyDescent="0.3">
      <c r="A29" s="242" t="s">
        <v>416</v>
      </c>
      <c r="B29" s="200">
        <v>28</v>
      </c>
      <c r="C29" s="200" t="str">
        <f t="shared" si="2"/>
        <v>ARCH-24-00128</v>
      </c>
      <c r="D29" s="205">
        <v>45372</v>
      </c>
      <c r="E29" s="200">
        <v>14</v>
      </c>
      <c r="F29" s="239" t="str">
        <f t="shared" si="1"/>
        <v>LISTS
         ASSOCIATIONS
         COMMITTEES
         COOPERATIVES
         DONORS
         MAILING
         TRANSMITTAL
         OTHERS</v>
      </c>
      <c r="G29" s="200" t="s">
        <v>417</v>
      </c>
      <c r="H29" s="200" t="s">
        <v>440</v>
      </c>
      <c r="I29" s="200" t="s">
        <v>118</v>
      </c>
      <c r="J29" s="200">
        <v>2018</v>
      </c>
      <c r="K29" s="200">
        <f>2025-Table13[[#This Row],[LATEST YEAR]]</f>
        <v>7</v>
      </c>
      <c r="L29" s="200">
        <f>VLOOKUP(Table13[[#This Row],[GRDS ITEM NO]],RETENTION1,4,0)</f>
        <v>1</v>
      </c>
      <c r="M29" s="200">
        <f>Table13[[#This Row],[RETENTION PERIOD (NO. OF YEAR/S)]]-Table13[[#This Row],[NO. YEARS AS OF  Y2025]]</f>
        <v>-6</v>
      </c>
      <c r="N29" s="200" t="s">
        <v>419</v>
      </c>
      <c r="O29" s="201"/>
    </row>
    <row r="30" spans="1:15" s="241" customFormat="1" x14ac:dyDescent="0.3">
      <c r="A30" s="242" t="s">
        <v>416</v>
      </c>
      <c r="B30" s="200">
        <v>29</v>
      </c>
      <c r="C30" s="200" t="str">
        <f t="shared" si="2"/>
        <v>ARCH-24-00129</v>
      </c>
      <c r="D30" s="205">
        <v>45372</v>
      </c>
      <c r="E30" s="200">
        <v>14</v>
      </c>
      <c r="F30" s="239" t="str">
        <f t="shared" si="1"/>
        <v>LISTS
         ASSOCIATIONS
         COMMITTEES
         COOPERATIVES
         DONORS
         MAILING
         TRANSMITTAL
         OTHERS</v>
      </c>
      <c r="G30" s="200" t="s">
        <v>417</v>
      </c>
      <c r="H30" s="200" t="s">
        <v>441</v>
      </c>
      <c r="I30" s="200" t="s">
        <v>118</v>
      </c>
      <c r="J30" s="200">
        <v>2018</v>
      </c>
      <c r="K30" s="200">
        <f>2025-Table13[[#This Row],[LATEST YEAR]]</f>
        <v>7</v>
      </c>
      <c r="L30" s="200">
        <f>VLOOKUP(Table13[[#This Row],[GRDS ITEM NO]],RETENTION1,4,0)</f>
        <v>1</v>
      </c>
      <c r="M30" s="200">
        <f>Table13[[#This Row],[RETENTION PERIOD (NO. OF YEAR/S)]]-Table13[[#This Row],[NO. YEARS AS OF  Y2025]]</f>
        <v>-6</v>
      </c>
      <c r="N30" s="200" t="s">
        <v>419</v>
      </c>
      <c r="O30" s="201"/>
    </row>
    <row r="31" spans="1:15" s="241" customFormat="1" x14ac:dyDescent="0.3">
      <c r="A31" s="243" t="s">
        <v>416</v>
      </c>
      <c r="B31" s="200">
        <v>30</v>
      </c>
      <c r="C31" s="200" t="str">
        <f t="shared" si="2"/>
        <v>ARCH-24-00130</v>
      </c>
      <c r="D31" s="205">
        <v>45372</v>
      </c>
      <c r="E31" s="200">
        <v>14</v>
      </c>
      <c r="F31" s="239" t="str">
        <f t="shared" si="1"/>
        <v>LISTS
         ASSOCIATIONS
         COMMITTEES
         COOPERATIVES
         DONORS
         MAILING
         TRANSMITTAL
         OTHERS</v>
      </c>
      <c r="G31" s="200" t="s">
        <v>417</v>
      </c>
      <c r="H31" s="200" t="s">
        <v>442</v>
      </c>
      <c r="I31" s="200" t="s">
        <v>443</v>
      </c>
      <c r="J31" s="200">
        <v>2014</v>
      </c>
      <c r="K31" s="200">
        <f>2025-Table13[[#This Row],[LATEST YEAR]]</f>
        <v>11</v>
      </c>
      <c r="L31" s="200">
        <f>VLOOKUP(Table13[[#This Row],[GRDS ITEM NO]],RETENTION1,4,0)</f>
        <v>1</v>
      </c>
      <c r="M31" s="200">
        <f>Table13[[#This Row],[RETENTION PERIOD (NO. OF YEAR/S)]]-Table13[[#This Row],[NO. YEARS AS OF  Y2025]]</f>
        <v>-10</v>
      </c>
      <c r="N31" s="200" t="s">
        <v>419</v>
      </c>
      <c r="O31" s="201"/>
    </row>
    <row r="32" spans="1:15" s="241" customFormat="1" x14ac:dyDescent="0.3">
      <c r="A32" s="243" t="s">
        <v>416</v>
      </c>
      <c r="B32" s="200">
        <v>31</v>
      </c>
      <c r="C32" s="200" t="str">
        <f>_xlfn.CONCAT(A32,B32)</f>
        <v>ARCH-24-00131</v>
      </c>
      <c r="D32" s="205">
        <v>45372</v>
      </c>
      <c r="E32" s="200">
        <v>14</v>
      </c>
      <c r="F32" s="239" t="str">
        <f t="shared" si="1"/>
        <v>LISTS
         ASSOCIATIONS
         COMMITTEES
         COOPERATIVES
         DONORS
         MAILING
         TRANSMITTAL
         OTHERS</v>
      </c>
      <c r="G32" s="200" t="s">
        <v>417</v>
      </c>
      <c r="H32" s="200" t="s">
        <v>444</v>
      </c>
      <c r="I32" s="200" t="s">
        <v>443</v>
      </c>
      <c r="J32" s="200">
        <v>2014</v>
      </c>
      <c r="K32" s="200">
        <f>2025-Table13[[#This Row],[LATEST YEAR]]</f>
        <v>11</v>
      </c>
      <c r="L32" s="200">
        <f>VLOOKUP(Table13[[#This Row],[GRDS ITEM NO]],RETENTION1,4,0)</f>
        <v>1</v>
      </c>
      <c r="M32" s="200">
        <f>Table13[[#This Row],[RETENTION PERIOD (NO. OF YEAR/S)]]-Table13[[#This Row],[NO. YEARS AS OF  Y2025]]</f>
        <v>-10</v>
      </c>
      <c r="N32" s="200" t="s">
        <v>419</v>
      </c>
      <c r="O32" s="201"/>
    </row>
    <row r="33" spans="1:15" s="241" customFormat="1" x14ac:dyDescent="0.3">
      <c r="A33" s="200" t="s">
        <v>416</v>
      </c>
      <c r="B33" s="200">
        <v>32</v>
      </c>
      <c r="C33" s="200" t="str">
        <f>_xlfn.CONCAT(A33,B33)</f>
        <v>ARCH-24-00132</v>
      </c>
      <c r="D33" s="205">
        <v>45372</v>
      </c>
      <c r="E33" s="200">
        <v>14</v>
      </c>
      <c r="F33" s="239" t="str">
        <f t="shared" si="1"/>
        <v>LISTS
         ASSOCIATIONS
         COMMITTEES
         COOPERATIVES
         DONORS
         MAILING
         TRANSMITTAL
         OTHERS</v>
      </c>
      <c r="G33" s="200" t="s">
        <v>417</v>
      </c>
      <c r="H33" s="200" t="s">
        <v>445</v>
      </c>
      <c r="I33" s="200" t="s">
        <v>443</v>
      </c>
      <c r="J33" s="200">
        <v>2014</v>
      </c>
      <c r="K33" s="200">
        <f>2025-Table13[[#This Row],[LATEST YEAR]]</f>
        <v>11</v>
      </c>
      <c r="L33" s="200">
        <f>VLOOKUP(Table13[[#This Row],[GRDS ITEM NO]],RETENTION1,4,0)</f>
        <v>1</v>
      </c>
      <c r="M33" s="200">
        <f>Table13[[#This Row],[RETENTION PERIOD (NO. OF YEAR/S)]]-Table13[[#This Row],[NO. YEARS AS OF  Y2025]]</f>
        <v>-10</v>
      </c>
      <c r="N33" s="200" t="s">
        <v>419</v>
      </c>
      <c r="O33" s="201"/>
    </row>
    <row r="34" spans="1:15" s="241" customFormat="1" x14ac:dyDescent="0.3">
      <c r="A34" s="200" t="s">
        <v>446</v>
      </c>
      <c r="B34" s="200">
        <v>1</v>
      </c>
      <c r="C34" s="200" t="str">
        <f t="shared" ref="C34:C36" si="3">_xlfn.CONCAT(A34,B34)</f>
        <v>ARCH-24-0021</v>
      </c>
      <c r="D34" s="205">
        <v>45373</v>
      </c>
      <c r="E34" s="200">
        <v>74</v>
      </c>
      <c r="F34" s="239" t="str">
        <f t="shared" ref="F34:F65" si="4">VLOOKUP(E34,DESCRIP,2,0)</f>
        <v>OFFICIAL RECEIPTS</v>
      </c>
      <c r="G34" s="200" t="s">
        <v>447</v>
      </c>
      <c r="H34" s="200" t="s">
        <v>448</v>
      </c>
      <c r="I34" s="200" t="s">
        <v>449</v>
      </c>
      <c r="J34" s="200">
        <v>2020</v>
      </c>
      <c r="K34" s="200">
        <f>2025-Table13[[#This Row],[LATEST YEAR]]</f>
        <v>5</v>
      </c>
      <c r="L34" s="200">
        <f>VLOOKUP(Table13[[#This Row],[GRDS ITEM NO]],RETENTION1,4,0)</f>
        <v>10</v>
      </c>
      <c r="M34" s="200">
        <f>Table13[[#This Row],[RETENTION PERIOD (NO. OF YEAR/S)]]-Table13[[#This Row],[NO. YEARS AS OF  Y2025]]</f>
        <v>5</v>
      </c>
      <c r="N34" s="200" t="s">
        <v>419</v>
      </c>
      <c r="O34" s="201"/>
    </row>
    <row r="35" spans="1:15" s="241" customFormat="1" x14ac:dyDescent="0.3">
      <c r="A35" s="200" t="s">
        <v>446</v>
      </c>
      <c r="B35" s="200">
        <v>2</v>
      </c>
      <c r="C35" s="200" t="str">
        <f t="shared" si="3"/>
        <v>ARCH-24-0022</v>
      </c>
      <c r="D35" s="205">
        <v>45373</v>
      </c>
      <c r="E35" s="200">
        <v>74</v>
      </c>
      <c r="F35" s="239" t="str">
        <f t="shared" si="4"/>
        <v>OFFICIAL RECEIPTS</v>
      </c>
      <c r="G35" s="200" t="s">
        <v>447</v>
      </c>
      <c r="H35" s="200" t="s">
        <v>450</v>
      </c>
      <c r="I35" s="200" t="s">
        <v>451</v>
      </c>
      <c r="J35" s="200">
        <v>2023</v>
      </c>
      <c r="K35" s="200">
        <f>2025-Table13[[#This Row],[LATEST YEAR]]</f>
        <v>2</v>
      </c>
      <c r="L35" s="200">
        <f>VLOOKUP(Table13[[#This Row],[GRDS ITEM NO]],RETENTION1,4,0)</f>
        <v>10</v>
      </c>
      <c r="M35" s="200">
        <f>Table13[[#This Row],[RETENTION PERIOD (NO. OF YEAR/S)]]-Table13[[#This Row],[NO. YEARS AS OF  Y2025]]</f>
        <v>8</v>
      </c>
      <c r="N35" s="200" t="s">
        <v>419</v>
      </c>
      <c r="O35" s="201"/>
    </row>
    <row r="36" spans="1:15" s="241" customFormat="1" x14ac:dyDescent="0.3">
      <c r="A36" s="200" t="s">
        <v>446</v>
      </c>
      <c r="B36" s="200">
        <v>3</v>
      </c>
      <c r="C36" s="200" t="str">
        <f t="shared" si="3"/>
        <v>ARCH-24-0023</v>
      </c>
      <c r="D36" s="205">
        <v>45373</v>
      </c>
      <c r="E36" s="200">
        <v>74</v>
      </c>
      <c r="F36" s="239" t="str">
        <f t="shared" si="4"/>
        <v>OFFICIAL RECEIPTS</v>
      </c>
      <c r="G36" s="200" t="s">
        <v>447</v>
      </c>
      <c r="H36" s="200" t="s">
        <v>452</v>
      </c>
      <c r="I36" s="200">
        <v>2024</v>
      </c>
      <c r="J36" s="200">
        <v>2024</v>
      </c>
      <c r="K36" s="200">
        <f>2025-Table13[[#This Row],[LATEST YEAR]]</f>
        <v>1</v>
      </c>
      <c r="L36" s="200">
        <f>VLOOKUP(Table13[[#This Row],[GRDS ITEM NO]],RETENTION1,4,0)</f>
        <v>10</v>
      </c>
      <c r="M36" s="200">
        <f>Table13[[#This Row],[RETENTION PERIOD (NO. OF YEAR/S)]]-Table13[[#This Row],[NO. YEARS AS OF  Y2025]]</f>
        <v>9</v>
      </c>
      <c r="N36" s="200" t="s">
        <v>419</v>
      </c>
      <c r="O36" s="201"/>
    </row>
    <row r="37" spans="1:15" s="241" customFormat="1" x14ac:dyDescent="0.3">
      <c r="A37" s="200" t="s">
        <v>453</v>
      </c>
      <c r="B37" s="200">
        <v>1</v>
      </c>
      <c r="C37" s="209" t="str">
        <f t="shared" ref="C37:C46" si="5">_xlfn.CONCAT(A37,B37)</f>
        <v>ARCH-24-0031</v>
      </c>
      <c r="D37" s="205">
        <v>45373</v>
      </c>
      <c r="E37" s="200" t="s">
        <v>80</v>
      </c>
      <c r="F37" s="239" t="str">
        <f t="shared" si="4"/>
        <v>EMPLOYEE-MEMBER APPLICATIONS (E1, E4, NW1, OW1, RS1)</v>
      </c>
      <c r="G37" s="200" t="s">
        <v>454</v>
      </c>
      <c r="H37" s="200" t="s">
        <v>455</v>
      </c>
      <c r="I37" s="200">
        <v>2023</v>
      </c>
      <c r="J37" s="200">
        <v>2023</v>
      </c>
      <c r="K37" s="200">
        <f>2025-Table13[[#This Row],[LATEST YEAR]]</f>
        <v>2</v>
      </c>
      <c r="L37" s="200">
        <f>VLOOKUP(Table13[[#This Row],[GRDS ITEM NO]],RETENTION1,4,0)</f>
        <v>1</v>
      </c>
      <c r="M37" s="200">
        <f>Table13[[#This Row],[RETENTION PERIOD (NO. OF YEAR/S)]]-Table13[[#This Row],[NO. YEARS AS OF  Y2025]]</f>
        <v>-1</v>
      </c>
      <c r="N37" s="200" t="s">
        <v>419</v>
      </c>
      <c r="O37" s="201"/>
    </row>
    <row r="38" spans="1:15" s="241" customFormat="1" x14ac:dyDescent="0.3">
      <c r="A38" s="200" t="s">
        <v>453</v>
      </c>
      <c r="B38" s="200">
        <v>2</v>
      </c>
      <c r="C38" s="209" t="str">
        <f t="shared" si="5"/>
        <v>ARCH-24-0032</v>
      </c>
      <c r="D38" s="205">
        <v>45374</v>
      </c>
      <c r="E38" s="200" t="s">
        <v>22</v>
      </c>
      <c r="F38" s="239" t="str">
        <f t="shared" si="4"/>
        <v>APPLICATIONS (RD,RO,EC MED, RF, MAT, SO, RR, SS, PLP, ACOP)</v>
      </c>
      <c r="G38" s="200" t="s">
        <v>34</v>
      </c>
      <c r="H38" s="200" t="s">
        <v>141</v>
      </c>
      <c r="I38" s="200">
        <v>2023</v>
      </c>
      <c r="J38" s="200">
        <v>2023</v>
      </c>
      <c r="K38" s="200">
        <f>2025-Table13[[#This Row],[LATEST YEAR]]</f>
        <v>2</v>
      </c>
      <c r="L38" s="200">
        <f>VLOOKUP(Table13[[#This Row],[GRDS ITEM NO]],RETENTION1,4,0)</f>
        <v>1</v>
      </c>
      <c r="M38" s="200">
        <f>Table13[[#This Row],[RETENTION PERIOD (NO. OF YEAR/S)]]-Table13[[#This Row],[NO. YEARS AS OF  Y2025]]</f>
        <v>-1</v>
      </c>
      <c r="N38" s="200" t="s">
        <v>419</v>
      </c>
      <c r="O38" s="201"/>
    </row>
    <row r="39" spans="1:15" s="241" customFormat="1" x14ac:dyDescent="0.3">
      <c r="A39" s="200" t="s">
        <v>453</v>
      </c>
      <c r="B39" s="200">
        <v>3</v>
      </c>
      <c r="C39" s="200" t="str">
        <f t="shared" si="5"/>
        <v>ARCH-24-0033</v>
      </c>
      <c r="D39" s="205">
        <v>45374</v>
      </c>
      <c r="E39" s="200" t="s">
        <v>22</v>
      </c>
      <c r="F39" s="239" t="str">
        <f t="shared" si="4"/>
        <v>APPLICATIONS (RD,RO,EC MED, RF, MAT, SO, RR, SS, PLP, ACOP)</v>
      </c>
      <c r="G39" s="200" t="s">
        <v>34</v>
      </c>
      <c r="H39" s="200" t="s">
        <v>456</v>
      </c>
      <c r="I39" s="200">
        <v>2018</v>
      </c>
      <c r="J39" s="200">
        <v>2018</v>
      </c>
      <c r="K39" s="200">
        <f>2025-Table13[[#This Row],[LATEST YEAR]]</f>
        <v>7</v>
      </c>
      <c r="L39" s="200">
        <f>VLOOKUP(Table13[[#This Row],[GRDS ITEM NO]],RETENTION1,4,0)</f>
        <v>1</v>
      </c>
      <c r="M39" s="200">
        <f>Table13[[#This Row],[RETENTION PERIOD (NO. OF YEAR/S)]]-Table13[[#This Row],[NO. YEARS AS OF  Y2025]]</f>
        <v>-6</v>
      </c>
      <c r="N39" s="200" t="s">
        <v>419</v>
      </c>
      <c r="O39" s="201"/>
    </row>
    <row r="40" spans="1:15" s="241" customFormat="1" x14ac:dyDescent="0.3">
      <c r="A40" s="200" t="s">
        <v>453</v>
      </c>
      <c r="B40" s="200">
        <v>4</v>
      </c>
      <c r="C40" s="209" t="str">
        <f t="shared" si="5"/>
        <v>ARCH-24-0034</v>
      </c>
      <c r="D40" s="205">
        <v>45374</v>
      </c>
      <c r="E40" s="200" t="s">
        <v>22</v>
      </c>
      <c r="F40" s="239" t="str">
        <f t="shared" si="4"/>
        <v>APPLICATIONS (RD,RO,EC MED, RF, MAT, SO, RR, SS, PLP, ACOP)</v>
      </c>
      <c r="G40" s="200" t="s">
        <v>34</v>
      </c>
      <c r="H40" s="200" t="s">
        <v>35</v>
      </c>
      <c r="I40" s="200">
        <v>2023</v>
      </c>
      <c r="J40" s="200">
        <v>2023</v>
      </c>
      <c r="K40" s="200">
        <f>2025-Table13[[#This Row],[LATEST YEAR]]</f>
        <v>2</v>
      </c>
      <c r="L40" s="200">
        <f>VLOOKUP(Table13[[#This Row],[GRDS ITEM NO]],RETENTION1,4,0)</f>
        <v>1</v>
      </c>
      <c r="M40" s="200">
        <f>Table13[[#This Row],[RETENTION PERIOD (NO. OF YEAR/S)]]-Table13[[#This Row],[NO. YEARS AS OF  Y2025]]</f>
        <v>-1</v>
      </c>
      <c r="N40" s="200" t="s">
        <v>419</v>
      </c>
      <c r="O40" s="201"/>
    </row>
    <row r="41" spans="1:15" s="241" customFormat="1" x14ac:dyDescent="0.3">
      <c r="A41" s="200" t="s">
        <v>453</v>
      </c>
      <c r="B41" s="200">
        <v>5</v>
      </c>
      <c r="C41" s="200" t="str">
        <f t="shared" si="5"/>
        <v>ARCH-24-0035</v>
      </c>
      <c r="D41" s="205">
        <v>45374</v>
      </c>
      <c r="E41" s="200" t="s">
        <v>22</v>
      </c>
      <c r="F41" s="239" t="str">
        <f t="shared" si="4"/>
        <v>APPLICATIONS (RD,RO,EC MED, RF, MAT, SO, RR, SS, PLP, ACOP)</v>
      </c>
      <c r="G41" s="200" t="s">
        <v>34</v>
      </c>
      <c r="H41" s="200" t="s">
        <v>457</v>
      </c>
      <c r="I41" s="200">
        <v>2023</v>
      </c>
      <c r="J41" s="200">
        <v>2023</v>
      </c>
      <c r="K41" s="200">
        <f>2025-Table13[[#This Row],[LATEST YEAR]]</f>
        <v>2</v>
      </c>
      <c r="L41" s="200">
        <f>VLOOKUP(Table13[[#This Row],[GRDS ITEM NO]],RETENTION1,4,0)</f>
        <v>1</v>
      </c>
      <c r="M41" s="200">
        <f>Table13[[#This Row],[RETENTION PERIOD (NO. OF YEAR/S)]]-Table13[[#This Row],[NO. YEARS AS OF  Y2025]]</f>
        <v>-1</v>
      </c>
      <c r="N41" s="200" t="s">
        <v>419</v>
      </c>
      <c r="O41" s="201"/>
    </row>
    <row r="42" spans="1:15" s="241" customFormat="1" x14ac:dyDescent="0.3">
      <c r="A42" s="200" t="s">
        <v>453</v>
      </c>
      <c r="B42" s="200">
        <v>6</v>
      </c>
      <c r="C42" s="209" t="str">
        <f t="shared" si="5"/>
        <v>ARCH-24-0036</v>
      </c>
      <c r="D42" s="205">
        <v>45374</v>
      </c>
      <c r="E42" s="200" t="s">
        <v>22</v>
      </c>
      <c r="F42" s="239" t="str">
        <f t="shared" si="4"/>
        <v>APPLICATIONS (RD,RO,EC MED, RF, MAT, SO, RR, SS, PLP, ACOP)</v>
      </c>
      <c r="G42" s="200" t="s">
        <v>34</v>
      </c>
      <c r="H42" s="200" t="s">
        <v>458</v>
      </c>
      <c r="I42" s="200">
        <v>2023</v>
      </c>
      <c r="J42" s="200">
        <v>2023</v>
      </c>
      <c r="K42" s="200">
        <f>2025-Table13[[#This Row],[LATEST YEAR]]</f>
        <v>2</v>
      </c>
      <c r="L42" s="200">
        <f>VLOOKUP(Table13[[#This Row],[GRDS ITEM NO]],RETENTION1,4,0)</f>
        <v>1</v>
      </c>
      <c r="M42" s="200">
        <f>Table13[[#This Row],[RETENTION PERIOD (NO. OF YEAR/S)]]-Table13[[#This Row],[NO. YEARS AS OF  Y2025]]</f>
        <v>-1</v>
      </c>
      <c r="N42" s="200" t="s">
        <v>419</v>
      </c>
      <c r="O42" s="201"/>
    </row>
    <row r="43" spans="1:15" s="241" customFormat="1" x14ac:dyDescent="0.3">
      <c r="A43" s="200" t="s">
        <v>453</v>
      </c>
      <c r="B43" s="200">
        <v>7</v>
      </c>
      <c r="C43" s="200" t="str">
        <f t="shared" si="5"/>
        <v>ARCH-24-0037</v>
      </c>
      <c r="D43" s="205">
        <v>45374</v>
      </c>
      <c r="E43" s="200" t="s">
        <v>22</v>
      </c>
      <c r="F43" s="239" t="str">
        <f t="shared" si="4"/>
        <v>APPLICATIONS (RD,RO,EC MED, RF, MAT, SO, RR, SS, PLP, ACOP)</v>
      </c>
      <c r="G43" s="200" t="s">
        <v>34</v>
      </c>
      <c r="H43" s="200" t="s">
        <v>141</v>
      </c>
      <c r="I43" s="200">
        <v>2023</v>
      </c>
      <c r="J43" s="200">
        <v>2023</v>
      </c>
      <c r="K43" s="200">
        <f>2025-Table13[[#This Row],[LATEST YEAR]]</f>
        <v>2</v>
      </c>
      <c r="L43" s="200">
        <f>VLOOKUP(Table13[[#This Row],[GRDS ITEM NO]],RETENTION1,4,0)</f>
        <v>1</v>
      </c>
      <c r="M43" s="200">
        <f>Table13[[#This Row],[RETENTION PERIOD (NO. OF YEAR/S)]]-Table13[[#This Row],[NO. YEARS AS OF  Y2025]]</f>
        <v>-1</v>
      </c>
      <c r="N43" s="200" t="s">
        <v>419</v>
      </c>
      <c r="O43" s="201"/>
    </row>
    <row r="44" spans="1:15" s="241" customFormat="1" x14ac:dyDescent="0.3">
      <c r="A44" s="200" t="s">
        <v>453</v>
      </c>
      <c r="B44" s="200">
        <v>8</v>
      </c>
      <c r="C44" s="209" t="str">
        <f t="shared" si="5"/>
        <v>ARCH-24-0038</v>
      </c>
      <c r="D44" s="205">
        <v>45374</v>
      </c>
      <c r="E44" s="200" t="s">
        <v>22</v>
      </c>
      <c r="F44" s="239" t="str">
        <f t="shared" si="4"/>
        <v>APPLICATIONS (RD,RO,EC MED, RF, MAT, SO, RR, SS, PLP, ACOP)</v>
      </c>
      <c r="G44" s="200" t="s">
        <v>34</v>
      </c>
      <c r="H44" s="200" t="s">
        <v>459</v>
      </c>
      <c r="I44" s="200">
        <v>2023</v>
      </c>
      <c r="J44" s="200">
        <v>2023</v>
      </c>
      <c r="K44" s="200">
        <f>2025-Table13[[#This Row],[LATEST YEAR]]</f>
        <v>2</v>
      </c>
      <c r="L44" s="200">
        <f>VLOOKUP(Table13[[#This Row],[GRDS ITEM NO]],RETENTION1,4,0)</f>
        <v>1</v>
      </c>
      <c r="M44" s="200">
        <f>Table13[[#This Row],[RETENTION PERIOD (NO. OF YEAR/S)]]-Table13[[#This Row],[NO. YEARS AS OF  Y2025]]</f>
        <v>-1</v>
      </c>
      <c r="N44" s="200" t="s">
        <v>419</v>
      </c>
      <c r="O44" s="201"/>
    </row>
    <row r="45" spans="1:15" s="241" customFormat="1" x14ac:dyDescent="0.3">
      <c r="A45" s="200" t="s">
        <v>460</v>
      </c>
      <c r="B45" s="200">
        <v>1</v>
      </c>
      <c r="C45" s="200" t="str">
        <f t="shared" si="5"/>
        <v>ARCH-24-0041</v>
      </c>
      <c r="D45" s="205">
        <v>45374</v>
      </c>
      <c r="E45" s="200">
        <v>74</v>
      </c>
      <c r="F45" s="239" t="str">
        <f t="shared" si="4"/>
        <v>OFFICIAL RECEIPTS</v>
      </c>
      <c r="G45" s="200" t="s">
        <v>17</v>
      </c>
      <c r="H45" s="200" t="s">
        <v>461</v>
      </c>
      <c r="I45" s="200">
        <v>2022</v>
      </c>
      <c r="J45" s="200">
        <v>2022</v>
      </c>
      <c r="K45" s="200">
        <f>2025-Table13[[#This Row],[LATEST YEAR]]</f>
        <v>3</v>
      </c>
      <c r="L45" s="200">
        <f>VLOOKUP(Table13[[#This Row],[GRDS ITEM NO]],RETENTION1,4,0)</f>
        <v>10</v>
      </c>
      <c r="M45" s="200">
        <f>Table13[[#This Row],[RETENTION PERIOD (NO. OF YEAR/S)]]-Table13[[#This Row],[NO. YEARS AS OF  Y2025]]</f>
        <v>7</v>
      </c>
      <c r="N45" s="200" t="s">
        <v>419</v>
      </c>
      <c r="O45" s="201"/>
    </row>
    <row r="46" spans="1:15" s="241" customFormat="1" x14ac:dyDescent="0.3">
      <c r="A46" s="200" t="s">
        <v>460</v>
      </c>
      <c r="B46" s="200">
        <v>2</v>
      </c>
      <c r="C46" s="200" t="str">
        <f t="shared" si="5"/>
        <v>ARCH-24-0042</v>
      </c>
      <c r="D46" s="205">
        <v>45374</v>
      </c>
      <c r="E46" s="200">
        <v>26</v>
      </c>
      <c r="F46" s="239" t="str">
        <f t="shared" si="4"/>
        <v>REPORTS
-OTHERS (Batch Balance Sheet)</v>
      </c>
      <c r="G46" s="200" t="s">
        <v>17</v>
      </c>
      <c r="H46" s="200" t="s">
        <v>462</v>
      </c>
      <c r="I46" s="200">
        <v>2023</v>
      </c>
      <c r="J46" s="200">
        <v>2023</v>
      </c>
      <c r="K46" s="200">
        <f>2025-Table13[[#This Row],[LATEST YEAR]]</f>
        <v>2</v>
      </c>
      <c r="L46" s="200">
        <f>VLOOKUP(Table13[[#This Row],[GRDS ITEM NO]],RETENTION1,4,0)</f>
        <v>2</v>
      </c>
      <c r="M46" s="200">
        <f>Table13[[#This Row],[RETENTION PERIOD (NO. OF YEAR/S)]]-Table13[[#This Row],[NO. YEARS AS OF  Y2025]]</f>
        <v>0</v>
      </c>
      <c r="N46" s="200" t="s">
        <v>419</v>
      </c>
      <c r="O46" s="201"/>
    </row>
    <row r="47" spans="1:15" s="241" customFormat="1" x14ac:dyDescent="0.3">
      <c r="A47" s="200" t="s">
        <v>460</v>
      </c>
      <c r="B47" s="200">
        <v>3</v>
      </c>
      <c r="C47" s="200" t="str">
        <f t="shared" ref="C47:C53" si="6">_xlfn.CONCAT(A47,B47)</f>
        <v>ARCH-24-0043</v>
      </c>
      <c r="D47" s="205">
        <v>45374</v>
      </c>
      <c r="E47" s="200">
        <v>74</v>
      </c>
      <c r="F47" s="239" t="str">
        <f t="shared" si="4"/>
        <v>OFFICIAL RECEIPTS</v>
      </c>
      <c r="G47" s="200" t="s">
        <v>17</v>
      </c>
      <c r="H47" s="200" t="s">
        <v>463</v>
      </c>
      <c r="I47" s="200">
        <v>2023</v>
      </c>
      <c r="J47" s="200">
        <v>2023</v>
      </c>
      <c r="K47" s="200">
        <f>2025-Table13[[#This Row],[LATEST YEAR]]</f>
        <v>2</v>
      </c>
      <c r="L47" s="200">
        <f>VLOOKUP(Table13[[#This Row],[GRDS ITEM NO]],RETENTION1,4,0)</f>
        <v>10</v>
      </c>
      <c r="M47" s="200">
        <f>Table13[[#This Row],[RETENTION PERIOD (NO. OF YEAR/S)]]-Table13[[#This Row],[NO. YEARS AS OF  Y2025]]</f>
        <v>8</v>
      </c>
      <c r="N47" s="200" t="s">
        <v>419</v>
      </c>
      <c r="O47" s="201"/>
    </row>
    <row r="48" spans="1:15" s="241" customFormat="1" x14ac:dyDescent="0.3">
      <c r="A48" s="200" t="s">
        <v>460</v>
      </c>
      <c r="B48" s="200">
        <v>4</v>
      </c>
      <c r="C48" s="200" t="str">
        <f t="shared" si="6"/>
        <v>ARCH-24-0044</v>
      </c>
      <c r="D48" s="205">
        <v>45374</v>
      </c>
      <c r="E48" s="200">
        <v>74</v>
      </c>
      <c r="F48" s="239" t="str">
        <f t="shared" si="4"/>
        <v>OFFICIAL RECEIPTS</v>
      </c>
      <c r="G48" s="200" t="s">
        <v>17</v>
      </c>
      <c r="H48" s="200" t="s">
        <v>464</v>
      </c>
      <c r="I48" s="200">
        <v>2018</v>
      </c>
      <c r="J48" s="200">
        <v>2018</v>
      </c>
      <c r="K48" s="200">
        <f>2025-Table13[[#This Row],[LATEST YEAR]]</f>
        <v>7</v>
      </c>
      <c r="L48" s="200">
        <f>VLOOKUP(Table13[[#This Row],[GRDS ITEM NO]],RETENTION1,4,0)</f>
        <v>10</v>
      </c>
      <c r="M48" s="200">
        <f>Table13[[#This Row],[RETENTION PERIOD (NO. OF YEAR/S)]]-Table13[[#This Row],[NO. YEARS AS OF  Y2025]]</f>
        <v>3</v>
      </c>
      <c r="N48" s="200" t="s">
        <v>419</v>
      </c>
      <c r="O48" s="201"/>
    </row>
    <row r="49" spans="1:15" s="241" customFormat="1" x14ac:dyDescent="0.3">
      <c r="A49" s="200" t="s">
        <v>460</v>
      </c>
      <c r="B49" s="200">
        <v>5</v>
      </c>
      <c r="C49" s="200" t="str">
        <f t="shared" si="6"/>
        <v>ARCH-24-0045</v>
      </c>
      <c r="D49" s="205">
        <v>45374</v>
      </c>
      <c r="E49" s="200">
        <v>74</v>
      </c>
      <c r="F49" s="239" t="str">
        <f t="shared" si="4"/>
        <v>OFFICIAL RECEIPTS</v>
      </c>
      <c r="G49" s="200" t="s">
        <v>17</v>
      </c>
      <c r="H49" s="200" t="s">
        <v>464</v>
      </c>
      <c r="I49" s="200">
        <v>2018</v>
      </c>
      <c r="J49" s="200">
        <v>2018</v>
      </c>
      <c r="K49" s="200">
        <f>2025-Table13[[#This Row],[LATEST YEAR]]</f>
        <v>7</v>
      </c>
      <c r="L49" s="200">
        <f>VLOOKUP(Table13[[#This Row],[GRDS ITEM NO]],RETENTION1,4,0)</f>
        <v>10</v>
      </c>
      <c r="M49" s="200">
        <f>Table13[[#This Row],[RETENTION PERIOD (NO. OF YEAR/S)]]-Table13[[#This Row],[NO. YEARS AS OF  Y2025]]</f>
        <v>3</v>
      </c>
      <c r="N49" s="200" t="s">
        <v>419</v>
      </c>
      <c r="O49" s="201"/>
    </row>
    <row r="50" spans="1:15" s="241" customFormat="1" x14ac:dyDescent="0.3">
      <c r="A50" s="200" t="s">
        <v>460</v>
      </c>
      <c r="B50" s="200">
        <v>6</v>
      </c>
      <c r="C50" s="200" t="str">
        <f t="shared" si="6"/>
        <v>ARCH-24-0046</v>
      </c>
      <c r="D50" s="205">
        <v>45374</v>
      </c>
      <c r="E50" s="200">
        <v>74</v>
      </c>
      <c r="F50" s="239" t="str">
        <f t="shared" si="4"/>
        <v>OFFICIAL RECEIPTS</v>
      </c>
      <c r="G50" s="200" t="s">
        <v>17</v>
      </c>
      <c r="H50" s="200" t="s">
        <v>465</v>
      </c>
      <c r="I50" s="200">
        <v>2019</v>
      </c>
      <c r="J50" s="200">
        <v>2019</v>
      </c>
      <c r="K50" s="200">
        <f>2025-Table13[[#This Row],[LATEST YEAR]]</f>
        <v>6</v>
      </c>
      <c r="L50" s="200">
        <f>VLOOKUP(Table13[[#This Row],[GRDS ITEM NO]],RETENTION1,4,0)</f>
        <v>10</v>
      </c>
      <c r="M50" s="200">
        <f>Table13[[#This Row],[RETENTION PERIOD (NO. OF YEAR/S)]]-Table13[[#This Row],[NO. YEARS AS OF  Y2025]]</f>
        <v>4</v>
      </c>
      <c r="N50" s="200" t="s">
        <v>419</v>
      </c>
      <c r="O50" s="201"/>
    </row>
    <row r="51" spans="1:15" s="241" customFormat="1" x14ac:dyDescent="0.3">
      <c r="A51" s="200" t="s">
        <v>460</v>
      </c>
      <c r="B51" s="200">
        <v>7</v>
      </c>
      <c r="C51" s="200" t="str">
        <f t="shared" si="6"/>
        <v>ARCH-24-0047</v>
      </c>
      <c r="D51" s="205">
        <v>45374</v>
      </c>
      <c r="E51" s="200">
        <v>74</v>
      </c>
      <c r="F51" s="239" t="str">
        <f t="shared" si="4"/>
        <v>OFFICIAL RECEIPTS</v>
      </c>
      <c r="G51" s="200" t="s">
        <v>17</v>
      </c>
      <c r="H51" s="200" t="s">
        <v>465</v>
      </c>
      <c r="I51" s="200">
        <v>2019</v>
      </c>
      <c r="J51" s="200">
        <v>2019</v>
      </c>
      <c r="K51" s="200">
        <f>2025-Table13[[#This Row],[LATEST YEAR]]</f>
        <v>6</v>
      </c>
      <c r="L51" s="200">
        <f>VLOOKUP(Table13[[#This Row],[GRDS ITEM NO]],RETENTION1,4,0)</f>
        <v>10</v>
      </c>
      <c r="M51" s="200">
        <f>Table13[[#This Row],[RETENTION PERIOD (NO. OF YEAR/S)]]-Table13[[#This Row],[NO. YEARS AS OF  Y2025]]</f>
        <v>4</v>
      </c>
      <c r="N51" s="200" t="s">
        <v>419</v>
      </c>
      <c r="O51" s="201"/>
    </row>
    <row r="52" spans="1:15" s="241" customFormat="1" x14ac:dyDescent="0.3">
      <c r="A52" s="200" t="s">
        <v>460</v>
      </c>
      <c r="B52" s="200">
        <v>8</v>
      </c>
      <c r="C52" s="200" t="str">
        <f t="shared" si="6"/>
        <v>ARCH-24-0048</v>
      </c>
      <c r="D52" s="205">
        <v>45374</v>
      </c>
      <c r="E52" s="200">
        <v>74</v>
      </c>
      <c r="F52" s="239" t="str">
        <f t="shared" si="4"/>
        <v>OFFICIAL RECEIPTS</v>
      </c>
      <c r="G52" s="200" t="s">
        <v>17</v>
      </c>
      <c r="H52" s="200" t="s">
        <v>465</v>
      </c>
      <c r="I52" s="200">
        <v>2019</v>
      </c>
      <c r="J52" s="200">
        <v>2019</v>
      </c>
      <c r="K52" s="200">
        <f>2025-Table13[[#This Row],[LATEST YEAR]]</f>
        <v>6</v>
      </c>
      <c r="L52" s="200">
        <f>VLOOKUP(Table13[[#This Row],[GRDS ITEM NO]],RETENTION1,4,0)</f>
        <v>10</v>
      </c>
      <c r="M52" s="200">
        <f>Table13[[#This Row],[RETENTION PERIOD (NO. OF YEAR/S)]]-Table13[[#This Row],[NO. YEARS AS OF  Y2025]]</f>
        <v>4</v>
      </c>
      <c r="N52" s="200" t="s">
        <v>419</v>
      </c>
      <c r="O52" s="201"/>
    </row>
    <row r="53" spans="1:15" s="241" customFormat="1" x14ac:dyDescent="0.3">
      <c r="A53" s="200" t="s">
        <v>460</v>
      </c>
      <c r="B53" s="200">
        <v>9</v>
      </c>
      <c r="C53" s="200" t="str">
        <f t="shared" si="6"/>
        <v>ARCH-24-0049</v>
      </c>
      <c r="D53" s="205">
        <v>45374</v>
      </c>
      <c r="E53" s="200">
        <v>74</v>
      </c>
      <c r="F53" s="239" t="str">
        <f t="shared" si="4"/>
        <v>OFFICIAL RECEIPTS</v>
      </c>
      <c r="G53" s="200" t="s">
        <v>17</v>
      </c>
      <c r="H53" s="200" t="s">
        <v>466</v>
      </c>
      <c r="I53" s="200">
        <v>2015</v>
      </c>
      <c r="J53" s="200">
        <v>2015</v>
      </c>
      <c r="K53" s="200">
        <f>2025-Table13[[#This Row],[LATEST YEAR]]</f>
        <v>10</v>
      </c>
      <c r="L53" s="200">
        <f>VLOOKUP(Table13[[#This Row],[GRDS ITEM NO]],RETENTION1,4,0)</f>
        <v>10</v>
      </c>
      <c r="M53" s="200">
        <f>Table13[[#This Row],[RETENTION PERIOD (NO. OF YEAR/S)]]-Table13[[#This Row],[NO. YEARS AS OF  Y2025]]</f>
        <v>0</v>
      </c>
      <c r="N53" s="200" t="s">
        <v>419</v>
      </c>
      <c r="O53" s="201"/>
    </row>
    <row r="54" spans="1:15" s="241" customFormat="1" x14ac:dyDescent="0.3">
      <c r="A54" s="200" t="s">
        <v>460</v>
      </c>
      <c r="B54" s="200">
        <v>10</v>
      </c>
      <c r="C54" s="200" t="str">
        <f t="shared" ref="C54:C60" si="7">_xlfn.CONCAT(A54,B54)</f>
        <v>ARCH-24-00410</v>
      </c>
      <c r="D54" s="205">
        <v>45374</v>
      </c>
      <c r="E54" s="200">
        <v>74</v>
      </c>
      <c r="F54" s="239" t="str">
        <f t="shared" si="4"/>
        <v>OFFICIAL RECEIPTS</v>
      </c>
      <c r="G54" s="200" t="s">
        <v>17</v>
      </c>
      <c r="H54" s="200" t="s">
        <v>466</v>
      </c>
      <c r="I54" s="200">
        <v>2015</v>
      </c>
      <c r="J54" s="200">
        <v>2015</v>
      </c>
      <c r="K54" s="200">
        <f>2025-Table13[[#This Row],[LATEST YEAR]]</f>
        <v>10</v>
      </c>
      <c r="L54" s="200">
        <f>VLOOKUP(Table13[[#This Row],[GRDS ITEM NO]],RETENTION1,4,0)</f>
        <v>10</v>
      </c>
      <c r="M54" s="200">
        <f>Table13[[#This Row],[RETENTION PERIOD (NO. OF YEAR/S)]]-Table13[[#This Row],[NO. YEARS AS OF  Y2025]]</f>
        <v>0</v>
      </c>
      <c r="N54" s="200" t="s">
        <v>419</v>
      </c>
      <c r="O54" s="201"/>
    </row>
    <row r="55" spans="1:15" s="241" customFormat="1" x14ac:dyDescent="0.3">
      <c r="A55" s="200" t="s">
        <v>460</v>
      </c>
      <c r="B55" s="200">
        <v>11</v>
      </c>
      <c r="C55" s="200" t="str">
        <f t="shared" si="7"/>
        <v>ARCH-24-00411</v>
      </c>
      <c r="D55" s="205">
        <v>45374</v>
      </c>
      <c r="E55" s="200">
        <v>74</v>
      </c>
      <c r="F55" s="239" t="str">
        <f t="shared" si="4"/>
        <v>OFFICIAL RECEIPTS</v>
      </c>
      <c r="G55" s="200" t="s">
        <v>17</v>
      </c>
      <c r="H55" s="200" t="s">
        <v>464</v>
      </c>
      <c r="I55" s="200">
        <v>2018</v>
      </c>
      <c r="J55" s="200">
        <v>2018</v>
      </c>
      <c r="K55" s="200">
        <f>2025-Table13[[#This Row],[LATEST YEAR]]</f>
        <v>7</v>
      </c>
      <c r="L55" s="200">
        <f>VLOOKUP(Table13[[#This Row],[GRDS ITEM NO]],RETENTION1,4,0)</f>
        <v>10</v>
      </c>
      <c r="M55" s="200">
        <f>Table13[[#This Row],[RETENTION PERIOD (NO. OF YEAR/S)]]-Table13[[#This Row],[NO. YEARS AS OF  Y2025]]</f>
        <v>3</v>
      </c>
      <c r="N55" s="200" t="s">
        <v>419</v>
      </c>
      <c r="O55" s="201"/>
    </row>
    <row r="56" spans="1:15" s="241" customFormat="1" x14ac:dyDescent="0.3">
      <c r="A56" s="200" t="s">
        <v>460</v>
      </c>
      <c r="B56" s="200">
        <v>12</v>
      </c>
      <c r="C56" s="200" t="str">
        <f t="shared" si="7"/>
        <v>ARCH-24-00412</v>
      </c>
      <c r="D56" s="205">
        <v>45374</v>
      </c>
      <c r="E56" s="200">
        <v>74</v>
      </c>
      <c r="F56" s="239" t="str">
        <f t="shared" si="4"/>
        <v>OFFICIAL RECEIPTS</v>
      </c>
      <c r="G56" s="200" t="s">
        <v>17</v>
      </c>
      <c r="H56" s="200" t="s">
        <v>466</v>
      </c>
      <c r="I56" s="200">
        <v>2015</v>
      </c>
      <c r="J56" s="200">
        <v>2015</v>
      </c>
      <c r="K56" s="200">
        <f>2025-Table13[[#This Row],[LATEST YEAR]]</f>
        <v>10</v>
      </c>
      <c r="L56" s="200">
        <f>VLOOKUP(Table13[[#This Row],[GRDS ITEM NO]],RETENTION1,4,0)</f>
        <v>10</v>
      </c>
      <c r="M56" s="200">
        <f>Table13[[#This Row],[RETENTION PERIOD (NO. OF YEAR/S)]]-Table13[[#This Row],[NO. YEARS AS OF  Y2025]]</f>
        <v>0</v>
      </c>
      <c r="N56" s="200" t="s">
        <v>419</v>
      </c>
      <c r="O56" s="201"/>
    </row>
    <row r="57" spans="1:15" s="241" customFormat="1" x14ac:dyDescent="0.3">
      <c r="A57" s="200" t="s">
        <v>460</v>
      </c>
      <c r="B57" s="200">
        <v>13</v>
      </c>
      <c r="C57" s="200" t="str">
        <f t="shared" si="7"/>
        <v>ARCH-24-00413</v>
      </c>
      <c r="D57" s="205">
        <v>45374</v>
      </c>
      <c r="E57" s="200">
        <v>74</v>
      </c>
      <c r="F57" s="239" t="str">
        <f t="shared" si="4"/>
        <v>OFFICIAL RECEIPTS</v>
      </c>
      <c r="G57" s="200" t="s">
        <v>17</v>
      </c>
      <c r="H57" s="200" t="s">
        <v>467</v>
      </c>
      <c r="I57" s="200">
        <v>2021</v>
      </c>
      <c r="J57" s="200">
        <v>2021</v>
      </c>
      <c r="K57" s="200">
        <f>2025-Table13[[#This Row],[LATEST YEAR]]</f>
        <v>4</v>
      </c>
      <c r="L57" s="200">
        <f>VLOOKUP(Table13[[#This Row],[GRDS ITEM NO]],RETENTION1,4,0)</f>
        <v>10</v>
      </c>
      <c r="M57" s="200">
        <f>Table13[[#This Row],[RETENTION PERIOD (NO. OF YEAR/S)]]-Table13[[#This Row],[NO. YEARS AS OF  Y2025]]</f>
        <v>6</v>
      </c>
      <c r="N57" s="200" t="s">
        <v>419</v>
      </c>
      <c r="O57" s="201"/>
    </row>
    <row r="58" spans="1:15" s="241" customFormat="1" x14ac:dyDescent="0.3">
      <c r="A58" s="200" t="s">
        <v>460</v>
      </c>
      <c r="B58" s="200">
        <v>14</v>
      </c>
      <c r="C58" s="200" t="str">
        <f t="shared" si="7"/>
        <v>ARCH-24-00414</v>
      </c>
      <c r="D58" s="205">
        <v>45374</v>
      </c>
      <c r="E58" s="200">
        <v>74</v>
      </c>
      <c r="F58" s="239" t="str">
        <f t="shared" si="4"/>
        <v>OFFICIAL RECEIPTS</v>
      </c>
      <c r="G58" s="200" t="s">
        <v>17</v>
      </c>
      <c r="H58" s="200" t="s">
        <v>468</v>
      </c>
      <c r="I58" s="200" t="s">
        <v>469</v>
      </c>
      <c r="J58" s="200">
        <v>2021</v>
      </c>
      <c r="K58" s="200">
        <f>2025-Table13[[#This Row],[LATEST YEAR]]</f>
        <v>4</v>
      </c>
      <c r="L58" s="200">
        <f>VLOOKUP(Table13[[#This Row],[GRDS ITEM NO]],RETENTION1,4,0)</f>
        <v>10</v>
      </c>
      <c r="M58" s="200">
        <f>Table13[[#This Row],[RETENTION PERIOD (NO. OF YEAR/S)]]-Table13[[#This Row],[NO. YEARS AS OF  Y2025]]</f>
        <v>6</v>
      </c>
      <c r="N58" s="200" t="s">
        <v>419</v>
      </c>
      <c r="O58" s="201"/>
    </row>
    <row r="59" spans="1:15" s="241" customFormat="1" x14ac:dyDescent="0.3">
      <c r="A59" s="200" t="s">
        <v>460</v>
      </c>
      <c r="B59" s="200">
        <v>15</v>
      </c>
      <c r="C59" s="200" t="str">
        <f t="shared" si="7"/>
        <v>ARCH-24-00415</v>
      </c>
      <c r="D59" s="205">
        <v>45374</v>
      </c>
      <c r="E59" s="200">
        <v>74</v>
      </c>
      <c r="F59" s="239" t="str">
        <f t="shared" si="4"/>
        <v>OFFICIAL RECEIPTS</v>
      </c>
      <c r="G59" s="200" t="s">
        <v>17</v>
      </c>
      <c r="H59" s="200" t="s">
        <v>464</v>
      </c>
      <c r="I59" s="200">
        <v>2018</v>
      </c>
      <c r="J59" s="200">
        <v>2018</v>
      </c>
      <c r="K59" s="200">
        <f>2025-Table13[[#This Row],[LATEST YEAR]]</f>
        <v>7</v>
      </c>
      <c r="L59" s="200">
        <f>VLOOKUP(Table13[[#This Row],[GRDS ITEM NO]],RETENTION1,4,0)</f>
        <v>10</v>
      </c>
      <c r="M59" s="200">
        <f>Table13[[#This Row],[RETENTION PERIOD (NO. OF YEAR/S)]]-Table13[[#This Row],[NO. YEARS AS OF  Y2025]]</f>
        <v>3</v>
      </c>
      <c r="N59" s="200" t="s">
        <v>419</v>
      </c>
      <c r="O59" s="201"/>
    </row>
    <row r="60" spans="1:15" s="241" customFormat="1" x14ac:dyDescent="0.3">
      <c r="A60" s="200" t="s">
        <v>460</v>
      </c>
      <c r="B60" s="200">
        <v>16</v>
      </c>
      <c r="C60" s="200" t="str">
        <f t="shared" si="7"/>
        <v>ARCH-24-00416</v>
      </c>
      <c r="D60" s="205">
        <v>45374</v>
      </c>
      <c r="E60" s="200">
        <v>74</v>
      </c>
      <c r="F60" s="239" t="str">
        <f t="shared" si="4"/>
        <v>OFFICIAL RECEIPTS</v>
      </c>
      <c r="G60" s="200" t="s">
        <v>17</v>
      </c>
      <c r="H60" s="200" t="s">
        <v>464</v>
      </c>
      <c r="I60" s="200">
        <v>2018</v>
      </c>
      <c r="J60" s="200">
        <v>2018</v>
      </c>
      <c r="K60" s="200">
        <f>2025-Table13[[#This Row],[LATEST YEAR]]</f>
        <v>7</v>
      </c>
      <c r="L60" s="200">
        <f>VLOOKUP(Table13[[#This Row],[GRDS ITEM NO]],RETENTION1,4,0)</f>
        <v>10</v>
      </c>
      <c r="M60" s="200">
        <f>Table13[[#This Row],[RETENTION PERIOD (NO. OF YEAR/S)]]-Table13[[#This Row],[NO. YEARS AS OF  Y2025]]</f>
        <v>3</v>
      </c>
      <c r="N60" s="200" t="s">
        <v>419</v>
      </c>
      <c r="O60" s="201"/>
    </row>
    <row r="61" spans="1:15" s="241" customFormat="1" x14ac:dyDescent="0.3">
      <c r="A61" s="200" t="s">
        <v>460</v>
      </c>
      <c r="B61" s="200">
        <v>17</v>
      </c>
      <c r="C61" s="200" t="str">
        <f t="shared" ref="C61:C72" si="8">_xlfn.CONCAT(A61,B61)</f>
        <v>ARCH-24-00417</v>
      </c>
      <c r="D61" s="205">
        <v>45374</v>
      </c>
      <c r="E61" s="200">
        <v>74</v>
      </c>
      <c r="F61" s="239" t="str">
        <f t="shared" si="4"/>
        <v>OFFICIAL RECEIPTS</v>
      </c>
      <c r="G61" s="200" t="s">
        <v>17</v>
      </c>
      <c r="H61" s="200" t="s">
        <v>470</v>
      </c>
      <c r="I61" s="200">
        <v>2020</v>
      </c>
      <c r="J61" s="200">
        <v>2020</v>
      </c>
      <c r="K61" s="200">
        <f>2025-Table13[[#This Row],[LATEST YEAR]]</f>
        <v>5</v>
      </c>
      <c r="L61" s="200">
        <f>VLOOKUP(Table13[[#This Row],[GRDS ITEM NO]],RETENTION1,4,0)</f>
        <v>10</v>
      </c>
      <c r="M61" s="200">
        <f>Table13[[#This Row],[RETENTION PERIOD (NO. OF YEAR/S)]]-Table13[[#This Row],[NO. YEARS AS OF  Y2025]]</f>
        <v>5</v>
      </c>
      <c r="N61" s="200" t="s">
        <v>419</v>
      </c>
      <c r="O61" s="201"/>
    </row>
    <row r="62" spans="1:15" s="241" customFormat="1" x14ac:dyDescent="0.3">
      <c r="A62" s="200" t="s">
        <v>460</v>
      </c>
      <c r="B62" s="200">
        <v>18</v>
      </c>
      <c r="C62" s="200" t="str">
        <f t="shared" si="8"/>
        <v>ARCH-24-00418</v>
      </c>
      <c r="D62" s="205">
        <v>45374</v>
      </c>
      <c r="E62" s="200">
        <v>74</v>
      </c>
      <c r="F62" s="239" t="str">
        <f t="shared" si="4"/>
        <v>OFFICIAL RECEIPTS</v>
      </c>
      <c r="G62" s="200" t="s">
        <v>17</v>
      </c>
      <c r="H62" s="200" t="s">
        <v>464</v>
      </c>
      <c r="I62" s="200">
        <v>2018</v>
      </c>
      <c r="J62" s="200">
        <v>2018</v>
      </c>
      <c r="K62" s="200">
        <f>2025-Table13[[#This Row],[LATEST YEAR]]</f>
        <v>7</v>
      </c>
      <c r="L62" s="200">
        <f>VLOOKUP(Table13[[#This Row],[GRDS ITEM NO]],RETENTION1,4,0)</f>
        <v>10</v>
      </c>
      <c r="M62" s="200">
        <f>Table13[[#This Row],[RETENTION PERIOD (NO. OF YEAR/S)]]-Table13[[#This Row],[NO. YEARS AS OF  Y2025]]</f>
        <v>3</v>
      </c>
      <c r="N62" s="200" t="s">
        <v>419</v>
      </c>
      <c r="O62" s="201"/>
    </row>
    <row r="63" spans="1:15" s="241" customFormat="1" x14ac:dyDescent="0.3">
      <c r="A63" s="200" t="s">
        <v>460</v>
      </c>
      <c r="B63" s="200">
        <v>19</v>
      </c>
      <c r="C63" s="200" t="str">
        <f t="shared" si="8"/>
        <v>ARCH-24-00419</v>
      </c>
      <c r="D63" s="205">
        <v>45374</v>
      </c>
      <c r="E63" s="200">
        <v>74</v>
      </c>
      <c r="F63" s="239" t="str">
        <f t="shared" si="4"/>
        <v>OFFICIAL RECEIPTS</v>
      </c>
      <c r="G63" s="200" t="s">
        <v>17</v>
      </c>
      <c r="H63" s="200" t="s">
        <v>464</v>
      </c>
      <c r="I63" s="200">
        <v>2018</v>
      </c>
      <c r="J63" s="200">
        <v>2018</v>
      </c>
      <c r="K63" s="200">
        <f>2025-Table13[[#This Row],[LATEST YEAR]]</f>
        <v>7</v>
      </c>
      <c r="L63" s="200">
        <f>VLOOKUP(Table13[[#This Row],[GRDS ITEM NO]],RETENTION1,4,0)</f>
        <v>10</v>
      </c>
      <c r="M63" s="200">
        <f>Table13[[#This Row],[RETENTION PERIOD (NO. OF YEAR/S)]]-Table13[[#This Row],[NO. YEARS AS OF  Y2025]]</f>
        <v>3</v>
      </c>
      <c r="N63" s="200" t="s">
        <v>419</v>
      </c>
      <c r="O63" s="201"/>
    </row>
    <row r="64" spans="1:15" s="241" customFormat="1" x14ac:dyDescent="0.3">
      <c r="A64" s="200" t="s">
        <v>460</v>
      </c>
      <c r="B64" s="200">
        <v>20</v>
      </c>
      <c r="C64" s="200" t="str">
        <f t="shared" si="8"/>
        <v>ARCH-24-00420</v>
      </c>
      <c r="D64" s="205">
        <v>45374</v>
      </c>
      <c r="E64" s="200">
        <v>74</v>
      </c>
      <c r="F64" s="239" t="str">
        <f t="shared" si="4"/>
        <v>OFFICIAL RECEIPTS</v>
      </c>
      <c r="G64" s="200" t="s">
        <v>17</v>
      </c>
      <c r="H64" s="200" t="s">
        <v>471</v>
      </c>
      <c r="I64" s="200" t="s">
        <v>472</v>
      </c>
      <c r="J64" s="200">
        <v>2016</v>
      </c>
      <c r="K64" s="200">
        <f>2025-Table13[[#This Row],[LATEST YEAR]]</f>
        <v>9</v>
      </c>
      <c r="L64" s="200">
        <f>VLOOKUP(Table13[[#This Row],[GRDS ITEM NO]],RETENTION1,4,0)</f>
        <v>10</v>
      </c>
      <c r="M64" s="200">
        <f>Table13[[#This Row],[RETENTION PERIOD (NO. OF YEAR/S)]]-Table13[[#This Row],[NO. YEARS AS OF  Y2025]]</f>
        <v>1</v>
      </c>
      <c r="N64" s="200" t="s">
        <v>419</v>
      </c>
      <c r="O64" s="201"/>
    </row>
    <row r="65" spans="1:15" s="241" customFormat="1" x14ac:dyDescent="0.3">
      <c r="A65" s="200" t="s">
        <v>460</v>
      </c>
      <c r="B65" s="200">
        <v>21</v>
      </c>
      <c r="C65" s="200" t="str">
        <f t="shared" si="8"/>
        <v>ARCH-24-00421</v>
      </c>
      <c r="D65" s="205">
        <v>45374</v>
      </c>
      <c r="E65" s="200">
        <v>74</v>
      </c>
      <c r="F65" s="239" t="str">
        <f t="shared" si="4"/>
        <v>OFFICIAL RECEIPTS</v>
      </c>
      <c r="G65" s="200" t="s">
        <v>17</v>
      </c>
      <c r="H65" s="200" t="s">
        <v>463</v>
      </c>
      <c r="I65" s="200">
        <v>2023</v>
      </c>
      <c r="J65" s="200">
        <v>2023</v>
      </c>
      <c r="K65" s="200">
        <f>2025-Table13[[#This Row],[LATEST YEAR]]</f>
        <v>2</v>
      </c>
      <c r="L65" s="200">
        <f>VLOOKUP(Table13[[#This Row],[GRDS ITEM NO]],RETENTION1,4,0)</f>
        <v>10</v>
      </c>
      <c r="M65" s="200">
        <f>Table13[[#This Row],[RETENTION PERIOD (NO. OF YEAR/S)]]-Table13[[#This Row],[NO. YEARS AS OF  Y2025]]</f>
        <v>8</v>
      </c>
      <c r="N65" s="200" t="s">
        <v>419</v>
      </c>
      <c r="O65" s="201"/>
    </row>
    <row r="66" spans="1:15" s="241" customFormat="1" x14ac:dyDescent="0.3">
      <c r="A66" s="200" t="s">
        <v>460</v>
      </c>
      <c r="B66" s="200">
        <v>22</v>
      </c>
      <c r="C66" s="200" t="str">
        <f t="shared" si="8"/>
        <v>ARCH-24-00422</v>
      </c>
      <c r="D66" s="205">
        <v>45374</v>
      </c>
      <c r="E66" s="200">
        <v>74</v>
      </c>
      <c r="F66" s="239" t="str">
        <f t="shared" ref="F66:F96" si="9">VLOOKUP(E66,DESCRIP,2,0)</f>
        <v>OFFICIAL RECEIPTS</v>
      </c>
      <c r="G66" s="200" t="s">
        <v>17</v>
      </c>
      <c r="H66" s="200" t="s">
        <v>463</v>
      </c>
      <c r="I66" s="200">
        <v>2023</v>
      </c>
      <c r="J66" s="200">
        <v>2023</v>
      </c>
      <c r="K66" s="200">
        <f>2025-Table13[[#This Row],[LATEST YEAR]]</f>
        <v>2</v>
      </c>
      <c r="L66" s="200">
        <f>VLOOKUP(Table13[[#This Row],[GRDS ITEM NO]],RETENTION1,4,0)</f>
        <v>10</v>
      </c>
      <c r="M66" s="200">
        <f>Table13[[#This Row],[RETENTION PERIOD (NO. OF YEAR/S)]]-Table13[[#This Row],[NO. YEARS AS OF  Y2025]]</f>
        <v>8</v>
      </c>
      <c r="N66" s="200" t="s">
        <v>419</v>
      </c>
      <c r="O66" s="201"/>
    </row>
    <row r="67" spans="1:15" s="241" customFormat="1" x14ac:dyDescent="0.3">
      <c r="A67" s="200" t="s">
        <v>460</v>
      </c>
      <c r="B67" s="200">
        <v>23</v>
      </c>
      <c r="C67" s="200" t="str">
        <f t="shared" si="8"/>
        <v>ARCH-24-00423</v>
      </c>
      <c r="D67" s="205">
        <v>45374</v>
      </c>
      <c r="E67" s="200">
        <v>74</v>
      </c>
      <c r="F67" s="239" t="str">
        <f t="shared" si="9"/>
        <v>OFFICIAL RECEIPTS</v>
      </c>
      <c r="G67" s="200" t="s">
        <v>17</v>
      </c>
      <c r="H67" s="200" t="s">
        <v>463</v>
      </c>
      <c r="I67" s="200">
        <v>2023</v>
      </c>
      <c r="J67" s="200">
        <v>2023</v>
      </c>
      <c r="K67" s="200">
        <f>2025-Table13[[#This Row],[LATEST YEAR]]</f>
        <v>2</v>
      </c>
      <c r="L67" s="200">
        <f>VLOOKUP(Table13[[#This Row],[GRDS ITEM NO]],RETENTION1,4,0)</f>
        <v>10</v>
      </c>
      <c r="M67" s="200">
        <f>Table13[[#This Row],[RETENTION PERIOD (NO. OF YEAR/S)]]-Table13[[#This Row],[NO. YEARS AS OF  Y2025]]</f>
        <v>8</v>
      </c>
      <c r="N67" s="200" t="s">
        <v>419</v>
      </c>
      <c r="O67" s="201"/>
    </row>
    <row r="68" spans="1:15" s="241" customFormat="1" x14ac:dyDescent="0.3">
      <c r="A68" s="200" t="s">
        <v>460</v>
      </c>
      <c r="B68" s="200">
        <v>24</v>
      </c>
      <c r="C68" s="200" t="str">
        <f t="shared" si="8"/>
        <v>ARCH-24-00424</v>
      </c>
      <c r="D68" s="205">
        <v>45374</v>
      </c>
      <c r="E68" s="200">
        <v>74</v>
      </c>
      <c r="F68" s="239" t="str">
        <f t="shared" si="9"/>
        <v>OFFICIAL RECEIPTS</v>
      </c>
      <c r="G68" s="200" t="s">
        <v>17</v>
      </c>
      <c r="H68" s="200" t="s">
        <v>473</v>
      </c>
      <c r="I68" s="200" t="s">
        <v>123</v>
      </c>
      <c r="J68" s="200">
        <v>2015</v>
      </c>
      <c r="K68" s="200">
        <f>2025-Table13[[#This Row],[LATEST YEAR]]</f>
        <v>10</v>
      </c>
      <c r="L68" s="200">
        <f>VLOOKUP(Table13[[#This Row],[GRDS ITEM NO]],RETENTION1,4,0)</f>
        <v>10</v>
      </c>
      <c r="M68" s="200">
        <f>Table13[[#This Row],[RETENTION PERIOD (NO. OF YEAR/S)]]-Table13[[#This Row],[NO. YEARS AS OF  Y2025]]</f>
        <v>0</v>
      </c>
      <c r="N68" s="200" t="s">
        <v>419</v>
      </c>
      <c r="O68" s="201"/>
    </row>
    <row r="69" spans="1:15" s="241" customFormat="1" x14ac:dyDescent="0.3">
      <c r="A69" s="200" t="s">
        <v>460</v>
      </c>
      <c r="B69" s="200">
        <v>25</v>
      </c>
      <c r="C69" s="200" t="str">
        <f t="shared" si="8"/>
        <v>ARCH-24-00425</v>
      </c>
      <c r="D69" s="205">
        <v>45374</v>
      </c>
      <c r="E69" s="200">
        <v>74</v>
      </c>
      <c r="F69" s="239" t="str">
        <f t="shared" si="9"/>
        <v>OFFICIAL RECEIPTS</v>
      </c>
      <c r="G69" s="200" t="s">
        <v>17</v>
      </c>
      <c r="H69" s="200" t="s">
        <v>474</v>
      </c>
      <c r="I69" s="200" t="s">
        <v>475</v>
      </c>
      <c r="J69" s="200">
        <v>2022</v>
      </c>
      <c r="K69" s="200">
        <f>2025-Table13[[#This Row],[LATEST YEAR]]</f>
        <v>3</v>
      </c>
      <c r="L69" s="200">
        <f>VLOOKUP(Table13[[#This Row],[GRDS ITEM NO]],RETENTION1,4,0)</f>
        <v>10</v>
      </c>
      <c r="M69" s="200">
        <f>Table13[[#This Row],[RETENTION PERIOD (NO. OF YEAR/S)]]-Table13[[#This Row],[NO. YEARS AS OF  Y2025]]</f>
        <v>7</v>
      </c>
      <c r="N69" s="200" t="s">
        <v>419</v>
      </c>
      <c r="O69" s="201"/>
    </row>
    <row r="70" spans="1:15" s="241" customFormat="1" x14ac:dyDescent="0.3">
      <c r="A70" s="200" t="s">
        <v>460</v>
      </c>
      <c r="B70" s="200">
        <v>26</v>
      </c>
      <c r="C70" s="200" t="str">
        <f t="shared" si="8"/>
        <v>ARCH-24-00426</v>
      </c>
      <c r="D70" s="205">
        <v>45374</v>
      </c>
      <c r="E70" s="200">
        <v>74</v>
      </c>
      <c r="F70" s="239" t="str">
        <f t="shared" si="9"/>
        <v>OFFICIAL RECEIPTS</v>
      </c>
      <c r="G70" s="200" t="s">
        <v>17</v>
      </c>
      <c r="H70" s="200" t="s">
        <v>461</v>
      </c>
      <c r="I70" s="200">
        <v>2022</v>
      </c>
      <c r="J70" s="200">
        <v>2022</v>
      </c>
      <c r="K70" s="200">
        <f>2025-Table13[[#This Row],[LATEST YEAR]]</f>
        <v>3</v>
      </c>
      <c r="L70" s="200">
        <f>VLOOKUP(Table13[[#This Row],[GRDS ITEM NO]],RETENTION1,4,0)</f>
        <v>10</v>
      </c>
      <c r="M70" s="200">
        <f>Table13[[#This Row],[RETENTION PERIOD (NO. OF YEAR/S)]]-Table13[[#This Row],[NO. YEARS AS OF  Y2025]]</f>
        <v>7</v>
      </c>
      <c r="N70" s="200" t="s">
        <v>419</v>
      </c>
      <c r="O70" s="201"/>
    </row>
    <row r="71" spans="1:15" s="241" customFormat="1" x14ac:dyDescent="0.3">
      <c r="A71" s="200" t="s">
        <v>460</v>
      </c>
      <c r="B71" s="200">
        <v>27</v>
      </c>
      <c r="C71" s="200" t="str">
        <f t="shared" si="8"/>
        <v>ARCH-24-00427</v>
      </c>
      <c r="D71" s="205">
        <v>45374</v>
      </c>
      <c r="E71" s="200">
        <v>74</v>
      </c>
      <c r="F71" s="239" t="str">
        <f t="shared" si="9"/>
        <v>OFFICIAL RECEIPTS</v>
      </c>
      <c r="G71" s="200" t="s">
        <v>17</v>
      </c>
      <c r="H71" s="200" t="s">
        <v>465</v>
      </c>
      <c r="I71" s="200">
        <v>2019</v>
      </c>
      <c r="J71" s="200">
        <v>2019</v>
      </c>
      <c r="K71" s="200">
        <f>2025-Table13[[#This Row],[LATEST YEAR]]</f>
        <v>6</v>
      </c>
      <c r="L71" s="200">
        <f>VLOOKUP(Table13[[#This Row],[GRDS ITEM NO]],RETENTION1,4,0)</f>
        <v>10</v>
      </c>
      <c r="M71" s="200">
        <f>Table13[[#This Row],[RETENTION PERIOD (NO. OF YEAR/S)]]-Table13[[#This Row],[NO. YEARS AS OF  Y2025]]</f>
        <v>4</v>
      </c>
      <c r="N71" s="200" t="s">
        <v>419</v>
      </c>
      <c r="O71" s="201"/>
    </row>
    <row r="72" spans="1:15" s="241" customFormat="1" x14ac:dyDescent="0.3">
      <c r="A72" s="200" t="s">
        <v>460</v>
      </c>
      <c r="B72" s="200">
        <v>28</v>
      </c>
      <c r="C72" s="200" t="str">
        <f t="shared" si="8"/>
        <v>ARCH-24-00428</v>
      </c>
      <c r="D72" s="205">
        <v>45374</v>
      </c>
      <c r="E72" s="200">
        <v>74</v>
      </c>
      <c r="F72" s="239" t="str">
        <f t="shared" si="9"/>
        <v>OFFICIAL RECEIPTS</v>
      </c>
      <c r="G72" s="200" t="s">
        <v>17</v>
      </c>
      <c r="H72" s="200" t="s">
        <v>466</v>
      </c>
      <c r="I72" s="200">
        <v>2015</v>
      </c>
      <c r="J72" s="200">
        <v>2015</v>
      </c>
      <c r="K72" s="200">
        <f>2025-Table13[[#This Row],[LATEST YEAR]]</f>
        <v>10</v>
      </c>
      <c r="L72" s="200">
        <f>VLOOKUP(Table13[[#This Row],[GRDS ITEM NO]],RETENTION1,4,0)</f>
        <v>10</v>
      </c>
      <c r="M72" s="200">
        <f>Table13[[#This Row],[RETENTION PERIOD (NO. OF YEAR/S)]]-Table13[[#This Row],[NO. YEARS AS OF  Y2025]]</f>
        <v>0</v>
      </c>
      <c r="N72" s="200" t="s">
        <v>419</v>
      </c>
      <c r="O72" s="201"/>
    </row>
    <row r="73" spans="1:15" s="241" customFormat="1" x14ac:dyDescent="0.3">
      <c r="A73" s="200" t="s">
        <v>460</v>
      </c>
      <c r="B73" s="200">
        <v>29</v>
      </c>
      <c r="C73" s="200" t="str">
        <f t="shared" ref="C73:C82" si="10">_xlfn.CONCAT(A73,B73)</f>
        <v>ARCH-24-00429</v>
      </c>
      <c r="D73" s="205">
        <v>45374</v>
      </c>
      <c r="E73" s="200">
        <v>74</v>
      </c>
      <c r="F73" s="239" t="str">
        <f t="shared" si="9"/>
        <v>OFFICIAL RECEIPTS</v>
      </c>
      <c r="G73" s="200" t="s">
        <v>17</v>
      </c>
      <c r="H73" s="200" t="s">
        <v>476</v>
      </c>
      <c r="I73" s="200" t="s">
        <v>477</v>
      </c>
      <c r="J73" s="200">
        <v>2021</v>
      </c>
      <c r="K73" s="200">
        <f>2025-Table13[[#This Row],[LATEST YEAR]]</f>
        <v>4</v>
      </c>
      <c r="L73" s="200">
        <f>VLOOKUP(Table13[[#This Row],[GRDS ITEM NO]],RETENTION1,4,0)</f>
        <v>10</v>
      </c>
      <c r="M73" s="200">
        <f>Table13[[#This Row],[RETENTION PERIOD (NO. OF YEAR/S)]]-Table13[[#This Row],[NO. YEARS AS OF  Y2025]]</f>
        <v>6</v>
      </c>
      <c r="N73" s="200" t="s">
        <v>419</v>
      </c>
      <c r="O73" s="201"/>
    </row>
    <row r="74" spans="1:15" s="241" customFormat="1" x14ac:dyDescent="0.3">
      <c r="A74" s="200" t="s">
        <v>460</v>
      </c>
      <c r="B74" s="200">
        <v>30</v>
      </c>
      <c r="C74" s="200" t="str">
        <f t="shared" si="10"/>
        <v>ARCH-24-00430</v>
      </c>
      <c r="D74" s="205">
        <v>45374</v>
      </c>
      <c r="E74" s="200">
        <v>74</v>
      </c>
      <c r="F74" s="239" t="str">
        <f t="shared" si="9"/>
        <v>OFFICIAL RECEIPTS</v>
      </c>
      <c r="G74" s="200" t="s">
        <v>17</v>
      </c>
      <c r="H74" s="200" t="s">
        <v>461</v>
      </c>
      <c r="I74" s="200">
        <v>2022</v>
      </c>
      <c r="J74" s="200">
        <v>2022</v>
      </c>
      <c r="K74" s="200">
        <f>2025-Table13[[#This Row],[LATEST YEAR]]</f>
        <v>3</v>
      </c>
      <c r="L74" s="200">
        <f>VLOOKUP(Table13[[#This Row],[GRDS ITEM NO]],RETENTION1,4,0)</f>
        <v>10</v>
      </c>
      <c r="M74" s="200">
        <f>Table13[[#This Row],[RETENTION PERIOD (NO. OF YEAR/S)]]-Table13[[#This Row],[NO. YEARS AS OF  Y2025]]</f>
        <v>7</v>
      </c>
      <c r="N74" s="200" t="s">
        <v>419</v>
      </c>
      <c r="O74" s="201"/>
    </row>
    <row r="75" spans="1:15" s="241" customFormat="1" x14ac:dyDescent="0.3">
      <c r="A75" s="200" t="s">
        <v>460</v>
      </c>
      <c r="B75" s="200">
        <v>31</v>
      </c>
      <c r="C75" s="200" t="str">
        <f t="shared" si="10"/>
        <v>ARCH-24-00431</v>
      </c>
      <c r="D75" s="205">
        <v>45374</v>
      </c>
      <c r="E75" s="200">
        <v>74</v>
      </c>
      <c r="F75" s="239" t="str">
        <f t="shared" si="9"/>
        <v>OFFICIAL RECEIPTS</v>
      </c>
      <c r="G75" s="200" t="s">
        <v>17</v>
      </c>
      <c r="H75" s="200" t="s">
        <v>465</v>
      </c>
      <c r="I75" s="200">
        <v>2019</v>
      </c>
      <c r="J75" s="200">
        <v>2019</v>
      </c>
      <c r="K75" s="200">
        <f>2025-Table13[[#This Row],[LATEST YEAR]]</f>
        <v>6</v>
      </c>
      <c r="L75" s="200">
        <f>VLOOKUP(Table13[[#This Row],[GRDS ITEM NO]],RETENTION1,4,0)</f>
        <v>10</v>
      </c>
      <c r="M75" s="200">
        <f>Table13[[#This Row],[RETENTION PERIOD (NO. OF YEAR/S)]]-Table13[[#This Row],[NO. YEARS AS OF  Y2025]]</f>
        <v>4</v>
      </c>
      <c r="N75" s="200" t="s">
        <v>419</v>
      </c>
      <c r="O75" s="201"/>
    </row>
    <row r="76" spans="1:15" s="241" customFormat="1" x14ac:dyDescent="0.3">
      <c r="A76" s="200" t="s">
        <v>460</v>
      </c>
      <c r="B76" s="200">
        <v>32</v>
      </c>
      <c r="C76" s="200" t="str">
        <f t="shared" si="10"/>
        <v>ARCH-24-00432</v>
      </c>
      <c r="D76" s="205">
        <v>45374</v>
      </c>
      <c r="E76" s="200">
        <v>74</v>
      </c>
      <c r="F76" s="239" t="str">
        <f t="shared" si="9"/>
        <v>OFFICIAL RECEIPTS</v>
      </c>
      <c r="G76" s="200" t="s">
        <v>17</v>
      </c>
      <c r="H76" s="200" t="s">
        <v>465</v>
      </c>
      <c r="I76" s="200">
        <v>2019</v>
      </c>
      <c r="J76" s="200">
        <v>2019</v>
      </c>
      <c r="K76" s="200">
        <f>2025-Table13[[#This Row],[LATEST YEAR]]</f>
        <v>6</v>
      </c>
      <c r="L76" s="200">
        <f>VLOOKUP(Table13[[#This Row],[GRDS ITEM NO]],RETENTION1,4,0)</f>
        <v>10</v>
      </c>
      <c r="M76" s="200">
        <f>Table13[[#This Row],[RETENTION PERIOD (NO. OF YEAR/S)]]-Table13[[#This Row],[NO. YEARS AS OF  Y2025]]</f>
        <v>4</v>
      </c>
      <c r="N76" s="200" t="s">
        <v>419</v>
      </c>
      <c r="O76" s="201"/>
    </row>
    <row r="77" spans="1:15" s="241" customFormat="1" x14ac:dyDescent="0.3">
      <c r="A77" s="200" t="s">
        <v>460</v>
      </c>
      <c r="B77" s="200">
        <v>33</v>
      </c>
      <c r="C77" s="200" t="str">
        <f t="shared" si="10"/>
        <v>ARCH-24-00433</v>
      </c>
      <c r="D77" s="205">
        <v>45374</v>
      </c>
      <c r="E77" s="200">
        <v>74</v>
      </c>
      <c r="F77" s="239" t="str">
        <f t="shared" si="9"/>
        <v>OFFICIAL RECEIPTS</v>
      </c>
      <c r="G77" s="200" t="s">
        <v>17</v>
      </c>
      <c r="H77" s="200" t="s">
        <v>476</v>
      </c>
      <c r="I77" s="200" t="s">
        <v>477</v>
      </c>
      <c r="J77" s="200">
        <v>2021</v>
      </c>
      <c r="K77" s="200">
        <f>2025-Table13[[#This Row],[LATEST YEAR]]</f>
        <v>4</v>
      </c>
      <c r="L77" s="200">
        <f>VLOOKUP(Table13[[#This Row],[GRDS ITEM NO]],RETENTION1,4,0)</f>
        <v>10</v>
      </c>
      <c r="M77" s="200">
        <f>Table13[[#This Row],[RETENTION PERIOD (NO. OF YEAR/S)]]-Table13[[#This Row],[NO. YEARS AS OF  Y2025]]</f>
        <v>6</v>
      </c>
      <c r="N77" s="200" t="s">
        <v>419</v>
      </c>
      <c r="O77" s="201"/>
    </row>
    <row r="78" spans="1:15" s="241" customFormat="1" x14ac:dyDescent="0.3">
      <c r="A78" s="200" t="s">
        <v>460</v>
      </c>
      <c r="B78" s="200">
        <v>34</v>
      </c>
      <c r="C78" s="200" t="str">
        <f t="shared" si="10"/>
        <v>ARCH-24-00434</v>
      </c>
      <c r="D78" s="205">
        <v>45374</v>
      </c>
      <c r="E78" s="200">
        <v>74</v>
      </c>
      <c r="F78" s="239" t="str">
        <f t="shared" si="9"/>
        <v>OFFICIAL RECEIPTS</v>
      </c>
      <c r="G78" s="200" t="s">
        <v>17</v>
      </c>
      <c r="H78" s="200" t="s">
        <v>461</v>
      </c>
      <c r="I78" s="200">
        <v>2022</v>
      </c>
      <c r="J78" s="200">
        <v>2022</v>
      </c>
      <c r="K78" s="200">
        <f>2025-Table13[[#This Row],[LATEST YEAR]]</f>
        <v>3</v>
      </c>
      <c r="L78" s="200">
        <f>VLOOKUP(Table13[[#This Row],[GRDS ITEM NO]],RETENTION1,4,0)</f>
        <v>10</v>
      </c>
      <c r="M78" s="200">
        <f>Table13[[#This Row],[RETENTION PERIOD (NO. OF YEAR/S)]]-Table13[[#This Row],[NO. YEARS AS OF  Y2025]]</f>
        <v>7</v>
      </c>
      <c r="N78" s="200" t="s">
        <v>419</v>
      </c>
      <c r="O78" s="201"/>
    </row>
    <row r="79" spans="1:15" s="241" customFormat="1" x14ac:dyDescent="0.3">
      <c r="A79" s="200" t="s">
        <v>460</v>
      </c>
      <c r="B79" s="200">
        <v>35</v>
      </c>
      <c r="C79" s="200" t="str">
        <f t="shared" si="10"/>
        <v>ARCH-24-00435</v>
      </c>
      <c r="D79" s="205">
        <v>45374</v>
      </c>
      <c r="E79" s="200">
        <v>74</v>
      </c>
      <c r="F79" s="239" t="str">
        <f t="shared" si="9"/>
        <v>OFFICIAL RECEIPTS</v>
      </c>
      <c r="G79" s="200" t="s">
        <v>17</v>
      </c>
      <c r="H79" s="200" t="s">
        <v>464</v>
      </c>
      <c r="I79" s="200">
        <v>2018</v>
      </c>
      <c r="J79" s="200">
        <v>2018</v>
      </c>
      <c r="K79" s="200">
        <f>2025-Table13[[#This Row],[LATEST YEAR]]</f>
        <v>7</v>
      </c>
      <c r="L79" s="200">
        <f>VLOOKUP(Table13[[#This Row],[GRDS ITEM NO]],RETENTION1,4,0)</f>
        <v>10</v>
      </c>
      <c r="M79" s="200">
        <f>Table13[[#This Row],[RETENTION PERIOD (NO. OF YEAR/S)]]-Table13[[#This Row],[NO. YEARS AS OF  Y2025]]</f>
        <v>3</v>
      </c>
      <c r="N79" s="200" t="s">
        <v>419</v>
      </c>
      <c r="O79" s="201"/>
    </row>
    <row r="80" spans="1:15" s="241" customFormat="1" x14ac:dyDescent="0.3">
      <c r="A80" s="200" t="s">
        <v>460</v>
      </c>
      <c r="B80" s="200">
        <v>36</v>
      </c>
      <c r="C80" s="200" t="str">
        <f t="shared" si="10"/>
        <v>ARCH-24-00436</v>
      </c>
      <c r="D80" s="205">
        <v>45374</v>
      </c>
      <c r="E80" s="200">
        <v>74</v>
      </c>
      <c r="F80" s="239" t="str">
        <f t="shared" si="9"/>
        <v>OFFICIAL RECEIPTS</v>
      </c>
      <c r="G80" s="200" t="s">
        <v>17</v>
      </c>
      <c r="H80" s="200" t="s">
        <v>464</v>
      </c>
      <c r="I80" s="200">
        <v>2018</v>
      </c>
      <c r="J80" s="200">
        <v>2018</v>
      </c>
      <c r="K80" s="200">
        <f>2025-Table13[[#This Row],[LATEST YEAR]]</f>
        <v>7</v>
      </c>
      <c r="L80" s="200">
        <f>VLOOKUP(Table13[[#This Row],[GRDS ITEM NO]],RETENTION1,4,0)</f>
        <v>10</v>
      </c>
      <c r="M80" s="200">
        <f>Table13[[#This Row],[RETENTION PERIOD (NO. OF YEAR/S)]]-Table13[[#This Row],[NO. YEARS AS OF  Y2025]]</f>
        <v>3</v>
      </c>
      <c r="N80" s="200" t="s">
        <v>419</v>
      </c>
      <c r="O80" s="201"/>
    </row>
    <row r="81" spans="1:15" s="241" customFormat="1" x14ac:dyDescent="0.3">
      <c r="A81" s="200" t="s">
        <v>460</v>
      </c>
      <c r="B81" s="200">
        <v>37</v>
      </c>
      <c r="C81" s="200" t="str">
        <f t="shared" si="10"/>
        <v>ARCH-24-00437</v>
      </c>
      <c r="D81" s="205">
        <v>45374</v>
      </c>
      <c r="E81" s="200">
        <v>74</v>
      </c>
      <c r="F81" s="239" t="str">
        <f t="shared" si="9"/>
        <v>OFFICIAL RECEIPTS</v>
      </c>
      <c r="G81" s="200" t="s">
        <v>17</v>
      </c>
      <c r="H81" s="200" t="s">
        <v>464</v>
      </c>
      <c r="I81" s="200">
        <v>2018</v>
      </c>
      <c r="J81" s="200">
        <v>2018</v>
      </c>
      <c r="K81" s="200">
        <f>2025-Table13[[#This Row],[LATEST YEAR]]</f>
        <v>7</v>
      </c>
      <c r="L81" s="200">
        <f>VLOOKUP(Table13[[#This Row],[GRDS ITEM NO]],RETENTION1,4,0)</f>
        <v>10</v>
      </c>
      <c r="M81" s="200">
        <f>Table13[[#This Row],[RETENTION PERIOD (NO. OF YEAR/S)]]-Table13[[#This Row],[NO. YEARS AS OF  Y2025]]</f>
        <v>3</v>
      </c>
      <c r="N81" s="200" t="s">
        <v>419</v>
      </c>
      <c r="O81" s="201"/>
    </row>
    <row r="82" spans="1:15" s="241" customFormat="1" x14ac:dyDescent="0.3">
      <c r="A82" s="200" t="s">
        <v>460</v>
      </c>
      <c r="B82" s="200">
        <v>38</v>
      </c>
      <c r="C82" s="200" t="str">
        <f t="shared" si="10"/>
        <v>ARCH-24-00438</v>
      </c>
      <c r="D82" s="205">
        <v>45374</v>
      </c>
      <c r="E82" s="200">
        <v>74</v>
      </c>
      <c r="F82" s="239" t="str">
        <f t="shared" si="9"/>
        <v>OFFICIAL RECEIPTS</v>
      </c>
      <c r="G82" s="200" t="s">
        <v>17</v>
      </c>
      <c r="H82" s="200" t="s">
        <v>464</v>
      </c>
      <c r="I82" s="200">
        <v>2018</v>
      </c>
      <c r="J82" s="200">
        <v>2018</v>
      </c>
      <c r="K82" s="200">
        <f>2025-Table13[[#This Row],[LATEST YEAR]]</f>
        <v>7</v>
      </c>
      <c r="L82" s="200">
        <f>VLOOKUP(Table13[[#This Row],[GRDS ITEM NO]],RETENTION1,4,0)</f>
        <v>10</v>
      </c>
      <c r="M82" s="200">
        <f>Table13[[#This Row],[RETENTION PERIOD (NO. OF YEAR/S)]]-Table13[[#This Row],[NO. YEARS AS OF  Y2025]]</f>
        <v>3</v>
      </c>
      <c r="N82" s="200" t="s">
        <v>419</v>
      </c>
      <c r="O82" s="201"/>
    </row>
    <row r="83" spans="1:15" s="245" customFormat="1" x14ac:dyDescent="0.3">
      <c r="A83" s="201" t="s">
        <v>478</v>
      </c>
      <c r="B83" s="201">
        <v>1</v>
      </c>
      <c r="C83" s="201" t="str">
        <f>_xlfn.CONCAT(A83,B83)</f>
        <v>ARCH-24-0051</v>
      </c>
      <c r="D83" s="206">
        <v>44348</v>
      </c>
      <c r="E83" s="201" t="s">
        <v>104</v>
      </c>
      <c r="F83" s="244" t="str">
        <f t="shared" si="9"/>
        <v>EMPLOYER-MEMBER APPLICATIONS (R1, R1A, R8)</v>
      </c>
      <c r="G83" s="201" t="s">
        <v>34</v>
      </c>
      <c r="H83" s="201"/>
      <c r="I83" s="201"/>
      <c r="J83" s="201"/>
      <c r="K83" s="201">
        <f>2025-Table13[[#This Row],[LATEST YEAR]]</f>
        <v>2025</v>
      </c>
      <c r="L83" s="201">
        <f>VLOOKUP(Table13[[#This Row],[GRDS ITEM NO]],RETENTION1,4,0)</f>
        <v>1</v>
      </c>
      <c r="M83" s="201">
        <f>Table13[[#This Row],[RETENTION PERIOD (NO. OF YEAR/S)]]-Table13[[#This Row],[NO. YEARS AS OF  Y2025]]</f>
        <v>-2024</v>
      </c>
      <c r="N83" s="201"/>
      <c r="O83" s="201"/>
    </row>
    <row r="84" spans="1:15" s="247" customFormat="1" x14ac:dyDescent="0.3">
      <c r="A84" s="209" t="s">
        <v>479</v>
      </c>
      <c r="B84" s="209">
        <v>1</v>
      </c>
      <c r="C84" s="209" t="str">
        <f t="shared" ref="C84:C101" si="11">_xlfn.CONCAT(A84,B84)</f>
        <v>ARCH-24-0061</v>
      </c>
      <c r="D84" s="210">
        <v>45484</v>
      </c>
      <c r="E84" s="209" t="s">
        <v>22</v>
      </c>
      <c r="F84" s="246" t="str">
        <f t="shared" si="9"/>
        <v>APPLICATIONS (RD,RO,EC MED, RF, MAT, SO, RR, SS, PLP, ACOP)</v>
      </c>
      <c r="G84" s="209" t="s">
        <v>34</v>
      </c>
      <c r="H84" s="209" t="s">
        <v>35</v>
      </c>
      <c r="I84" s="209" t="s">
        <v>480</v>
      </c>
      <c r="J84" s="209">
        <v>1999</v>
      </c>
      <c r="K84" s="209">
        <f>2025-Table13[[#This Row],[LATEST YEAR]]</f>
        <v>26</v>
      </c>
      <c r="L84" s="209">
        <f>VLOOKUP(Table13[[#This Row],[GRDS ITEM NO]],RETENTION1,4,0)</f>
        <v>1</v>
      </c>
      <c r="M84" s="209">
        <f>Table13[[#This Row],[RETENTION PERIOD (NO. OF YEAR/S)]]-Table13[[#This Row],[NO. YEARS AS OF  Y2025]]</f>
        <v>-25</v>
      </c>
      <c r="N84" s="209" t="s">
        <v>419</v>
      </c>
      <c r="O84" s="209" t="s">
        <v>481</v>
      </c>
    </row>
    <row r="85" spans="1:15" s="247" customFormat="1" x14ac:dyDescent="0.3">
      <c r="A85" s="209" t="s">
        <v>479</v>
      </c>
      <c r="B85" s="209">
        <v>2</v>
      </c>
      <c r="C85" s="209" t="str">
        <f t="shared" si="11"/>
        <v>ARCH-24-0062</v>
      </c>
      <c r="D85" s="210">
        <v>45484</v>
      </c>
      <c r="E85" s="209" t="s">
        <v>22</v>
      </c>
      <c r="F85" s="246" t="str">
        <f t="shared" si="9"/>
        <v>APPLICATIONS (RD,RO,EC MED, RF, MAT, SO, RR, SS, PLP, ACOP)</v>
      </c>
      <c r="G85" s="209" t="s">
        <v>34</v>
      </c>
      <c r="H85" s="209" t="s">
        <v>35</v>
      </c>
      <c r="I85" s="209">
        <v>1999</v>
      </c>
      <c r="J85" s="209">
        <v>1999</v>
      </c>
      <c r="K85" s="209">
        <f>2025-Table13[[#This Row],[LATEST YEAR]]</f>
        <v>26</v>
      </c>
      <c r="L85" s="209">
        <f>VLOOKUP(Table13[[#This Row],[GRDS ITEM NO]],RETENTION1,4,0)</f>
        <v>1</v>
      </c>
      <c r="M85" s="209">
        <f>Table13[[#This Row],[RETENTION PERIOD (NO. OF YEAR/S)]]-Table13[[#This Row],[NO. YEARS AS OF  Y2025]]</f>
        <v>-25</v>
      </c>
      <c r="N85" s="209" t="s">
        <v>419</v>
      </c>
      <c r="O85" s="209" t="s">
        <v>482</v>
      </c>
    </row>
    <row r="86" spans="1:15" s="241" customFormat="1" x14ac:dyDescent="0.3">
      <c r="A86" s="200" t="s">
        <v>479</v>
      </c>
      <c r="B86" s="200">
        <v>3</v>
      </c>
      <c r="C86" s="200" t="str">
        <f t="shared" si="11"/>
        <v>ARCH-24-0063</v>
      </c>
      <c r="D86" s="205">
        <v>45484</v>
      </c>
      <c r="E86" s="200" t="s">
        <v>22</v>
      </c>
      <c r="F86" s="239" t="str">
        <f t="shared" si="9"/>
        <v>APPLICATIONS (RD,RO,EC MED, RF, MAT, SO, RR, SS, PLP, ACOP)</v>
      </c>
      <c r="G86" s="200" t="s">
        <v>34</v>
      </c>
      <c r="H86" s="200" t="s">
        <v>35</v>
      </c>
      <c r="I86" s="200">
        <v>1999</v>
      </c>
      <c r="J86" s="200">
        <v>1999</v>
      </c>
      <c r="K86" s="200">
        <f>2025-Table13[[#This Row],[LATEST YEAR]]</f>
        <v>26</v>
      </c>
      <c r="L86" s="200">
        <f>VLOOKUP(Table13[[#This Row],[GRDS ITEM NO]],RETENTION1,4,0)</f>
        <v>1</v>
      </c>
      <c r="M86" s="200">
        <f>Table13[[#This Row],[RETENTION PERIOD (NO. OF YEAR/S)]]-Table13[[#This Row],[NO. YEARS AS OF  Y2025]]</f>
        <v>-25</v>
      </c>
      <c r="N86" s="200" t="s">
        <v>419</v>
      </c>
      <c r="O86" s="201"/>
    </row>
    <row r="87" spans="1:15" s="247" customFormat="1" x14ac:dyDescent="0.3">
      <c r="A87" s="209" t="s">
        <v>479</v>
      </c>
      <c r="B87" s="209">
        <v>4</v>
      </c>
      <c r="C87" s="209" t="str">
        <f t="shared" si="11"/>
        <v>ARCH-24-0064</v>
      </c>
      <c r="D87" s="210">
        <v>45484</v>
      </c>
      <c r="E87" s="209" t="s">
        <v>22</v>
      </c>
      <c r="F87" s="246" t="str">
        <f t="shared" si="9"/>
        <v>APPLICATIONS (RD,RO,EC MED, RF, MAT, SO, RR, SS, PLP, ACOP)</v>
      </c>
      <c r="G87" s="209" t="s">
        <v>34</v>
      </c>
      <c r="H87" s="209" t="s">
        <v>35</v>
      </c>
      <c r="I87" s="209" t="s">
        <v>281</v>
      </c>
      <c r="J87" s="209">
        <v>2014</v>
      </c>
      <c r="K87" s="209">
        <f>2025-Table13[[#This Row],[LATEST YEAR]]</f>
        <v>11</v>
      </c>
      <c r="L87" s="209">
        <f>VLOOKUP(Table13[[#This Row],[GRDS ITEM NO]],RETENTION1,4,0)</f>
        <v>1</v>
      </c>
      <c r="M87" s="209">
        <f>Table13[[#This Row],[RETENTION PERIOD (NO. OF YEAR/S)]]-Table13[[#This Row],[NO. YEARS AS OF  Y2025]]</f>
        <v>-10</v>
      </c>
      <c r="N87" s="209" t="s">
        <v>310</v>
      </c>
      <c r="O87" s="209" t="s">
        <v>483</v>
      </c>
    </row>
    <row r="88" spans="1:15" s="241" customFormat="1" x14ac:dyDescent="0.3">
      <c r="A88" s="200" t="s">
        <v>479</v>
      </c>
      <c r="B88" s="200">
        <v>5</v>
      </c>
      <c r="C88" s="200" t="str">
        <f t="shared" si="11"/>
        <v>ARCH-24-0065</v>
      </c>
      <c r="D88" s="205">
        <v>45484</v>
      </c>
      <c r="E88" s="200" t="s">
        <v>22</v>
      </c>
      <c r="F88" s="239" t="str">
        <f t="shared" si="9"/>
        <v>APPLICATIONS (RD,RO,EC MED, RF, MAT, SO, RR, SS, PLP, ACOP)</v>
      </c>
      <c r="G88" s="200" t="s">
        <v>34</v>
      </c>
      <c r="H88" s="200" t="s">
        <v>35</v>
      </c>
      <c r="I88" s="200">
        <v>2016</v>
      </c>
      <c r="J88" s="200">
        <v>2016</v>
      </c>
      <c r="K88" s="200">
        <f>2025-Table13[[#This Row],[LATEST YEAR]]</f>
        <v>9</v>
      </c>
      <c r="L88" s="200">
        <f>VLOOKUP(Table13[[#This Row],[GRDS ITEM NO]],RETENTION1,4,0)</f>
        <v>1</v>
      </c>
      <c r="M88" s="200">
        <f>Table13[[#This Row],[RETENTION PERIOD (NO. OF YEAR/S)]]-Table13[[#This Row],[NO. YEARS AS OF  Y2025]]</f>
        <v>-8</v>
      </c>
      <c r="N88" s="200" t="s">
        <v>310</v>
      </c>
      <c r="O88" s="201"/>
    </row>
    <row r="89" spans="1:15" s="247" customFormat="1" x14ac:dyDescent="0.3">
      <c r="A89" s="209" t="s">
        <v>479</v>
      </c>
      <c r="B89" s="209">
        <v>6</v>
      </c>
      <c r="C89" s="209" t="str">
        <f t="shared" si="11"/>
        <v>ARCH-24-0066</v>
      </c>
      <c r="D89" s="210">
        <v>45484</v>
      </c>
      <c r="E89" s="209" t="s">
        <v>22</v>
      </c>
      <c r="F89" s="246" t="str">
        <f t="shared" si="9"/>
        <v>APPLICATIONS (RD,RO,EC MED, RF, MAT, SO, RR, SS, PLP, ACOP)</v>
      </c>
      <c r="G89" s="209" t="s">
        <v>34</v>
      </c>
      <c r="H89" s="209" t="s">
        <v>35</v>
      </c>
      <c r="I89" s="209">
        <v>2016</v>
      </c>
      <c r="J89" s="209">
        <v>2016</v>
      </c>
      <c r="K89" s="209">
        <f>2025-Table13[[#This Row],[LATEST YEAR]]</f>
        <v>9</v>
      </c>
      <c r="L89" s="209">
        <f>VLOOKUP(Table13[[#This Row],[GRDS ITEM NO]],RETENTION1,4,0)</f>
        <v>1</v>
      </c>
      <c r="M89" s="209">
        <f>Table13[[#This Row],[RETENTION PERIOD (NO. OF YEAR/S)]]-Table13[[#This Row],[NO. YEARS AS OF  Y2025]]</f>
        <v>-8</v>
      </c>
      <c r="N89" s="209" t="s">
        <v>310</v>
      </c>
      <c r="O89" s="209" t="s">
        <v>484</v>
      </c>
    </row>
    <row r="90" spans="1:15" s="241" customFormat="1" x14ac:dyDescent="0.3">
      <c r="A90" s="200" t="s">
        <v>479</v>
      </c>
      <c r="B90" s="200">
        <v>7</v>
      </c>
      <c r="C90" s="200" t="str">
        <f t="shared" si="11"/>
        <v>ARCH-24-0067</v>
      </c>
      <c r="D90" s="205">
        <v>45484</v>
      </c>
      <c r="E90" s="200" t="s">
        <v>22</v>
      </c>
      <c r="F90" s="239" t="str">
        <f t="shared" si="9"/>
        <v>APPLICATIONS (RD,RO,EC MED, RF, MAT, SO, RR, SS, PLP, ACOP)</v>
      </c>
      <c r="G90" s="200" t="s">
        <v>34</v>
      </c>
      <c r="H90" s="200" t="s">
        <v>141</v>
      </c>
      <c r="I90" s="200">
        <v>2016</v>
      </c>
      <c r="J90" s="200">
        <v>2016</v>
      </c>
      <c r="K90" s="200">
        <f>2025-Table13[[#This Row],[LATEST YEAR]]</f>
        <v>9</v>
      </c>
      <c r="L90" s="200">
        <f>VLOOKUP(Table13[[#This Row],[GRDS ITEM NO]],RETENTION1,4,0)</f>
        <v>1</v>
      </c>
      <c r="M90" s="200">
        <f>Table13[[#This Row],[RETENTION PERIOD (NO. OF YEAR/S)]]-Table13[[#This Row],[NO. YEARS AS OF  Y2025]]</f>
        <v>-8</v>
      </c>
      <c r="N90" s="200" t="s">
        <v>310</v>
      </c>
      <c r="O90" s="201"/>
    </row>
    <row r="91" spans="1:15" s="247" customFormat="1" x14ac:dyDescent="0.3">
      <c r="A91" s="209" t="s">
        <v>479</v>
      </c>
      <c r="B91" s="209">
        <v>8</v>
      </c>
      <c r="C91" s="209" t="str">
        <f t="shared" si="11"/>
        <v>ARCH-24-0068</v>
      </c>
      <c r="D91" s="210">
        <v>45484</v>
      </c>
      <c r="E91" s="209" t="s">
        <v>22</v>
      </c>
      <c r="F91" s="246" t="str">
        <f t="shared" si="9"/>
        <v>APPLICATIONS (RD,RO,EC MED, RF, MAT, SO, RR, SS, PLP, ACOP)</v>
      </c>
      <c r="G91" s="209" t="s">
        <v>34</v>
      </c>
      <c r="H91" s="209" t="s">
        <v>141</v>
      </c>
      <c r="I91" s="209">
        <v>2018</v>
      </c>
      <c r="J91" s="209">
        <v>2018</v>
      </c>
      <c r="K91" s="209">
        <f>2025-Table13[[#This Row],[LATEST YEAR]]</f>
        <v>7</v>
      </c>
      <c r="L91" s="209">
        <f>VLOOKUP(Table13[[#This Row],[GRDS ITEM NO]],RETENTION1,4,0)</f>
        <v>1</v>
      </c>
      <c r="M91" s="209">
        <f>Table13[[#This Row],[RETENTION PERIOD (NO. OF YEAR/S)]]-Table13[[#This Row],[NO. YEARS AS OF  Y2025]]</f>
        <v>-6</v>
      </c>
      <c r="N91" s="209" t="s">
        <v>310</v>
      </c>
      <c r="O91" s="209" t="s">
        <v>485</v>
      </c>
    </row>
    <row r="92" spans="1:15" s="241" customFormat="1" x14ac:dyDescent="0.3">
      <c r="A92" s="200" t="s">
        <v>479</v>
      </c>
      <c r="B92" s="200">
        <v>9</v>
      </c>
      <c r="C92" s="200" t="str">
        <f t="shared" si="11"/>
        <v>ARCH-24-0069</v>
      </c>
      <c r="D92" s="205">
        <v>45484</v>
      </c>
      <c r="E92" s="200" t="s">
        <v>22</v>
      </c>
      <c r="F92" s="239" t="str">
        <f t="shared" si="9"/>
        <v>APPLICATIONS (RD,RO,EC MED, RF, MAT, SO, RR, SS, PLP, ACOP)</v>
      </c>
      <c r="G92" s="200" t="s">
        <v>34</v>
      </c>
      <c r="H92" s="200" t="s">
        <v>141</v>
      </c>
      <c r="I92" s="200">
        <v>2018</v>
      </c>
      <c r="J92" s="200">
        <v>2018</v>
      </c>
      <c r="K92" s="200">
        <f>2025-Table13[[#This Row],[LATEST YEAR]]</f>
        <v>7</v>
      </c>
      <c r="L92" s="200">
        <f>VLOOKUP(Table13[[#This Row],[GRDS ITEM NO]],RETENTION1,4,0)</f>
        <v>1</v>
      </c>
      <c r="M92" s="200">
        <f>Table13[[#This Row],[RETENTION PERIOD (NO. OF YEAR/S)]]-Table13[[#This Row],[NO. YEARS AS OF  Y2025]]</f>
        <v>-6</v>
      </c>
      <c r="N92" s="200" t="s">
        <v>310</v>
      </c>
      <c r="O92" s="201"/>
    </row>
    <row r="93" spans="1:15" s="241" customFormat="1" x14ac:dyDescent="0.3">
      <c r="A93" s="200" t="s">
        <v>479</v>
      </c>
      <c r="B93" s="200">
        <v>10</v>
      </c>
      <c r="C93" s="200" t="str">
        <f t="shared" si="11"/>
        <v>ARCH-24-00610</v>
      </c>
      <c r="D93" s="205">
        <v>45484</v>
      </c>
      <c r="E93" s="200" t="s">
        <v>22</v>
      </c>
      <c r="F93" s="239" t="str">
        <f t="shared" si="9"/>
        <v>APPLICATIONS (RD,RO,EC MED, RF, MAT, SO, RR, SS, PLP, ACOP)</v>
      </c>
      <c r="G93" s="200" t="s">
        <v>34</v>
      </c>
      <c r="H93" s="200" t="s">
        <v>141</v>
      </c>
      <c r="I93" s="200">
        <v>2018</v>
      </c>
      <c r="J93" s="200">
        <v>2018</v>
      </c>
      <c r="K93" s="200">
        <f>2025-Table13[[#This Row],[LATEST YEAR]]</f>
        <v>7</v>
      </c>
      <c r="L93" s="200">
        <f>VLOOKUP(Table13[[#This Row],[GRDS ITEM NO]],RETENTION1,4,0)</f>
        <v>1</v>
      </c>
      <c r="M93" s="200">
        <f>Table13[[#This Row],[RETENTION PERIOD (NO. OF YEAR/S)]]-Table13[[#This Row],[NO. YEARS AS OF  Y2025]]</f>
        <v>-6</v>
      </c>
      <c r="N93" s="200" t="s">
        <v>310</v>
      </c>
      <c r="O93" s="201"/>
    </row>
    <row r="94" spans="1:15" s="241" customFormat="1" x14ac:dyDescent="0.3">
      <c r="A94" s="200" t="s">
        <v>479</v>
      </c>
      <c r="B94" s="200">
        <v>11</v>
      </c>
      <c r="C94" s="200" t="str">
        <f t="shared" si="11"/>
        <v>ARCH-24-00611</v>
      </c>
      <c r="D94" s="205">
        <v>45484</v>
      </c>
      <c r="E94" s="200" t="s">
        <v>22</v>
      </c>
      <c r="F94" s="239" t="str">
        <f t="shared" si="9"/>
        <v>APPLICATIONS (RD,RO,EC MED, RF, MAT, SO, RR, SS, PLP, ACOP)</v>
      </c>
      <c r="G94" s="200" t="s">
        <v>34</v>
      </c>
      <c r="H94" s="200" t="s">
        <v>141</v>
      </c>
      <c r="I94" s="200">
        <v>2018</v>
      </c>
      <c r="J94" s="200">
        <v>2018</v>
      </c>
      <c r="K94" s="200">
        <f>2025-Table13[[#This Row],[LATEST YEAR]]</f>
        <v>7</v>
      </c>
      <c r="L94" s="200">
        <f>VLOOKUP(Table13[[#This Row],[GRDS ITEM NO]],RETENTION1,4,0)</f>
        <v>1</v>
      </c>
      <c r="M94" s="200">
        <f>Table13[[#This Row],[RETENTION PERIOD (NO. OF YEAR/S)]]-Table13[[#This Row],[NO. YEARS AS OF  Y2025]]</f>
        <v>-6</v>
      </c>
      <c r="N94" s="200" t="s">
        <v>310</v>
      </c>
      <c r="O94" s="201"/>
    </row>
    <row r="95" spans="1:15" s="241" customFormat="1" x14ac:dyDescent="0.3">
      <c r="A95" s="200" t="s">
        <v>479</v>
      </c>
      <c r="B95" s="200">
        <v>12</v>
      </c>
      <c r="C95" s="200" t="str">
        <f t="shared" si="11"/>
        <v>ARCH-24-00612</v>
      </c>
      <c r="D95" s="205">
        <v>45484</v>
      </c>
      <c r="E95" s="200" t="s">
        <v>22</v>
      </c>
      <c r="F95" s="239" t="str">
        <f t="shared" si="9"/>
        <v>APPLICATIONS (RD,RO,EC MED, RF, MAT, SO, RR, SS, PLP, ACOP)</v>
      </c>
      <c r="G95" s="200" t="s">
        <v>34</v>
      </c>
      <c r="H95" s="200" t="s">
        <v>486</v>
      </c>
      <c r="I95" s="200">
        <v>2023</v>
      </c>
      <c r="J95" s="200">
        <v>2023</v>
      </c>
      <c r="K95" s="200">
        <f>2025-Table13[[#This Row],[LATEST YEAR]]</f>
        <v>2</v>
      </c>
      <c r="L95" s="200">
        <f>VLOOKUP(Table13[[#This Row],[GRDS ITEM NO]],RETENTION1,4,0)</f>
        <v>1</v>
      </c>
      <c r="M95" s="200">
        <f>Table13[[#This Row],[RETENTION PERIOD (NO. OF YEAR/S)]]-Table13[[#This Row],[NO. YEARS AS OF  Y2025]]</f>
        <v>-1</v>
      </c>
      <c r="N95" s="200" t="s">
        <v>310</v>
      </c>
      <c r="O95" s="201"/>
    </row>
    <row r="96" spans="1:15" s="241" customFormat="1" x14ac:dyDescent="0.3">
      <c r="A96" s="200" t="s">
        <v>479</v>
      </c>
      <c r="B96" s="200">
        <v>13</v>
      </c>
      <c r="C96" s="200" t="str">
        <f t="shared" si="11"/>
        <v>ARCH-24-00613</v>
      </c>
      <c r="D96" s="205">
        <v>45484</v>
      </c>
      <c r="E96" s="200" t="s">
        <v>22</v>
      </c>
      <c r="F96" s="239" t="str">
        <f t="shared" si="9"/>
        <v>APPLICATIONS (RD,RO,EC MED, RF, MAT, SO, RR, SS, PLP, ACOP)</v>
      </c>
      <c r="G96" s="200" t="s">
        <v>34</v>
      </c>
      <c r="H96" s="200" t="s">
        <v>487</v>
      </c>
      <c r="I96" s="200">
        <v>2023</v>
      </c>
      <c r="J96" s="200">
        <v>2023</v>
      </c>
      <c r="K96" s="200">
        <f>2025-Table13[[#This Row],[LATEST YEAR]]</f>
        <v>2</v>
      </c>
      <c r="L96" s="200">
        <f>VLOOKUP(Table13[[#This Row],[GRDS ITEM NO]],RETENTION1,4,0)</f>
        <v>1</v>
      </c>
      <c r="M96" s="200">
        <f>Table13[[#This Row],[RETENTION PERIOD (NO. OF YEAR/S)]]-Table13[[#This Row],[NO. YEARS AS OF  Y2025]]</f>
        <v>-1</v>
      </c>
      <c r="N96" s="200" t="s">
        <v>310</v>
      </c>
      <c r="O96" s="201"/>
    </row>
    <row r="97" spans="1:15" s="241" customFormat="1" x14ac:dyDescent="0.3">
      <c r="A97" s="200" t="s">
        <v>488</v>
      </c>
      <c r="B97" s="200">
        <v>1</v>
      </c>
      <c r="C97" s="200" t="str">
        <f t="shared" si="11"/>
        <v>ARCH-24-0071</v>
      </c>
      <c r="D97" s="205">
        <v>45484</v>
      </c>
      <c r="E97" s="200">
        <v>7</v>
      </c>
      <c r="F97" s="239" t="str">
        <f>VLOOKUP(E97,DESCRIP,2,0)</f>
        <v>CORRESPONDENCES
      FIELD INVESTIGATION REPORT
      SPECIAL CERTIFICATION
      OTHERS</v>
      </c>
      <c r="G97" s="200" t="s">
        <v>34</v>
      </c>
      <c r="H97" s="200" t="s">
        <v>489</v>
      </c>
      <c r="I97" s="200" t="s">
        <v>490</v>
      </c>
      <c r="J97" s="200">
        <v>2023</v>
      </c>
      <c r="K97" s="200">
        <f>2025-Table13[[#This Row],[LATEST YEAR]]</f>
        <v>2</v>
      </c>
      <c r="L97" s="200">
        <f>VLOOKUP(Table13[[#This Row],[GRDS ITEM NO]],RETENTION1,4,0)</f>
        <v>2</v>
      </c>
      <c r="M97" s="200">
        <f>Table13[[#This Row],[RETENTION PERIOD (NO. OF YEAR/S)]]-Table13[[#This Row],[NO. YEARS AS OF  Y2025]]</f>
        <v>0</v>
      </c>
      <c r="N97" s="200" t="s">
        <v>313</v>
      </c>
      <c r="O97" s="201"/>
    </row>
    <row r="98" spans="1:15" s="241" customFormat="1" x14ac:dyDescent="0.3">
      <c r="A98" s="200" t="s">
        <v>491</v>
      </c>
      <c r="B98" s="200">
        <v>1</v>
      </c>
      <c r="C98" s="200" t="str">
        <f t="shared" si="11"/>
        <v>ARCH-24-0081</v>
      </c>
      <c r="D98" s="205">
        <v>45510</v>
      </c>
      <c r="E98" s="200" t="s">
        <v>22</v>
      </c>
      <c r="F98" s="239" t="str">
        <f t="shared" ref="F98:F101" si="12">VLOOKUP(E98,DESCRIP,2,0)</f>
        <v>APPLICATIONS (RD,RO,EC MED, RF, MAT, SO, RR, SS, PLP, ACOP)</v>
      </c>
      <c r="G98" s="200" t="s">
        <v>34</v>
      </c>
      <c r="H98" s="200" t="s">
        <v>492</v>
      </c>
      <c r="I98" s="200" t="s">
        <v>493</v>
      </c>
      <c r="J98" s="200">
        <v>2022</v>
      </c>
      <c r="K98" s="200">
        <f>2025-Table13[[#This Row],[LATEST YEAR]]</f>
        <v>3</v>
      </c>
      <c r="L98" s="200">
        <f>VLOOKUP(Table13[[#This Row],[GRDS ITEM NO]],RETENTION1,4,0)</f>
        <v>1</v>
      </c>
      <c r="M98" s="200">
        <f>Table13[[#This Row],[RETENTION PERIOD (NO. OF YEAR/S)]]-Table13[[#This Row],[NO. YEARS AS OF  Y2025]]</f>
        <v>-2</v>
      </c>
      <c r="N98" s="200" t="s">
        <v>419</v>
      </c>
      <c r="O98" s="201"/>
    </row>
    <row r="99" spans="1:15" s="241" customFormat="1" x14ac:dyDescent="0.3">
      <c r="A99" s="200" t="s">
        <v>491</v>
      </c>
      <c r="B99" s="200">
        <v>2</v>
      </c>
      <c r="C99" s="200" t="str">
        <f t="shared" si="11"/>
        <v>ARCH-24-0082</v>
      </c>
      <c r="D99" s="205">
        <v>45510</v>
      </c>
      <c r="E99" s="200" t="s">
        <v>22</v>
      </c>
      <c r="F99" s="239" t="str">
        <f t="shared" si="12"/>
        <v>APPLICATIONS (RD,RO,EC MED, RF, MAT, SO, RR, SS, PLP, ACOP)</v>
      </c>
      <c r="G99" s="200" t="s">
        <v>34</v>
      </c>
      <c r="H99" s="200" t="s">
        <v>494</v>
      </c>
      <c r="I99" s="200" t="s">
        <v>495</v>
      </c>
      <c r="J99" s="200">
        <v>2023</v>
      </c>
      <c r="K99" s="200">
        <f>2025-Table13[[#This Row],[LATEST YEAR]]</f>
        <v>2</v>
      </c>
      <c r="L99" s="200">
        <f>VLOOKUP(Table13[[#This Row],[GRDS ITEM NO]],RETENTION1,4,0)</f>
        <v>1</v>
      </c>
      <c r="M99" s="200">
        <f>Table13[[#This Row],[RETENTION PERIOD (NO. OF YEAR/S)]]-Table13[[#This Row],[NO. YEARS AS OF  Y2025]]</f>
        <v>-1</v>
      </c>
      <c r="N99" s="200" t="s">
        <v>419</v>
      </c>
      <c r="O99" s="201"/>
    </row>
    <row r="100" spans="1:15" s="241" customFormat="1" x14ac:dyDescent="0.3">
      <c r="A100" s="200" t="s">
        <v>496</v>
      </c>
      <c r="B100" s="200">
        <v>1</v>
      </c>
      <c r="C100" s="200" t="str">
        <f t="shared" si="11"/>
        <v>ARCH-24-0091</v>
      </c>
      <c r="D100" s="205">
        <v>45576</v>
      </c>
      <c r="E100" s="200" t="s">
        <v>80</v>
      </c>
      <c r="F100" s="239" t="str">
        <f t="shared" si="12"/>
        <v>EMPLOYEE-MEMBER APPLICATIONS (E1, E4, NW1, OW1, RS1)</v>
      </c>
      <c r="G100" s="200" t="s">
        <v>34</v>
      </c>
      <c r="H100" s="200" t="s">
        <v>497</v>
      </c>
      <c r="I100" s="200" t="s">
        <v>498</v>
      </c>
      <c r="J100" s="200">
        <v>2024</v>
      </c>
      <c r="K100" s="200">
        <f>2025-Table13[[#This Row],[LATEST YEAR]]</f>
        <v>1</v>
      </c>
      <c r="L100" s="200">
        <f>VLOOKUP(Table13[[#This Row],[GRDS ITEM NO]],RETENTION1,4,0)</f>
        <v>1</v>
      </c>
      <c r="M100" s="200">
        <f>Table13[[#This Row],[RETENTION PERIOD (NO. OF YEAR/S)]]-Table13[[#This Row],[NO. YEARS AS OF  Y2025]]</f>
        <v>0</v>
      </c>
      <c r="N100" s="200" t="s">
        <v>310</v>
      </c>
      <c r="O100" s="201"/>
    </row>
    <row r="101" spans="1:15" s="256" customFormat="1" x14ac:dyDescent="0.3">
      <c r="A101" s="252" t="s">
        <v>499</v>
      </c>
      <c r="B101" s="252">
        <v>1</v>
      </c>
      <c r="C101" s="252" t="str">
        <f t="shared" si="11"/>
        <v>ARCH-25-011</v>
      </c>
      <c r="D101" s="253">
        <v>45798</v>
      </c>
      <c r="E101" s="252" t="s">
        <v>22</v>
      </c>
      <c r="F101" s="254" t="str">
        <f t="shared" si="12"/>
        <v>APPLICATIONS (RD,RO,EC MED, RF, MAT, SO, RR, SS, PLP, ACOP)</v>
      </c>
      <c r="G101" s="252" t="s">
        <v>34</v>
      </c>
      <c r="H101" s="252" t="s">
        <v>35</v>
      </c>
      <c r="I101" s="252" t="s">
        <v>500</v>
      </c>
      <c r="J101" s="252">
        <v>2012</v>
      </c>
      <c r="K101" s="255">
        <f>2025-Table13[[#This Row],[LATEST YEAR]]</f>
        <v>13</v>
      </c>
      <c r="L101" s="252">
        <f>VLOOKUP(Table13[[#This Row],[GRDS ITEM NO]],RETENTION1,4,0)</f>
        <v>1</v>
      </c>
      <c r="M101" s="252">
        <f>Table13[[#This Row],[RETENTION PERIOD (NO. OF YEAR/S)]]-Table13[[#This Row],[NO. YEARS AS OF  Y2025]]</f>
        <v>-12</v>
      </c>
      <c r="N101" s="252"/>
      <c r="O101" s="252"/>
    </row>
    <row r="102" spans="1:15" s="256" customFormat="1" x14ac:dyDescent="0.3">
      <c r="A102" s="252" t="s">
        <v>499</v>
      </c>
      <c r="B102" s="252">
        <v>2</v>
      </c>
      <c r="C102" s="252" t="str">
        <f>_xlfn.CONCAT(A102,B102)</f>
        <v>ARCH-25-012</v>
      </c>
      <c r="D102" s="253">
        <v>45798</v>
      </c>
      <c r="E102" s="252" t="s">
        <v>22</v>
      </c>
      <c r="F102" s="254" t="str">
        <f t="shared" ref="F102:F120" si="13">VLOOKUP(E102,DESCRIP,2,0)</f>
        <v>APPLICATIONS (RD,RO,EC MED, RF, MAT, SO, RR, SS, PLP, ACOP)</v>
      </c>
      <c r="G102" s="252" t="s">
        <v>34</v>
      </c>
      <c r="H102" s="252" t="s">
        <v>35</v>
      </c>
      <c r="I102" s="252" t="s">
        <v>501</v>
      </c>
      <c r="J102" s="252">
        <v>2014</v>
      </c>
      <c r="K102" s="255">
        <f>2025-Table13[[#This Row],[LATEST YEAR]]</f>
        <v>11</v>
      </c>
      <c r="L102" s="252">
        <f>VLOOKUP(Table13[[#This Row],[GRDS ITEM NO]],RETENTION1,4,0)</f>
        <v>1</v>
      </c>
      <c r="M102" s="252">
        <f>Table13[[#This Row],[RETENTION PERIOD (NO. OF YEAR/S)]]-Table13[[#This Row],[NO. YEARS AS OF  Y2025]]</f>
        <v>-10</v>
      </c>
      <c r="N102" s="252"/>
      <c r="O102" s="252"/>
    </row>
    <row r="103" spans="1:15" s="256" customFormat="1" x14ac:dyDescent="0.3">
      <c r="A103" s="252" t="s">
        <v>499</v>
      </c>
      <c r="B103" s="252">
        <v>3</v>
      </c>
      <c r="C103" s="252" t="str">
        <f>_xlfn.CONCAT(A103,B103)</f>
        <v>ARCH-25-013</v>
      </c>
      <c r="D103" s="253">
        <v>45798</v>
      </c>
      <c r="E103" s="252" t="s">
        <v>22</v>
      </c>
      <c r="F103" s="254" t="str">
        <f t="shared" si="13"/>
        <v>APPLICATIONS (RD,RO,EC MED, RF, MAT, SO, RR, SS, PLP, ACOP)</v>
      </c>
      <c r="G103" s="252" t="s">
        <v>34</v>
      </c>
      <c r="H103" s="252" t="s">
        <v>35</v>
      </c>
      <c r="I103" s="252" t="s">
        <v>502</v>
      </c>
      <c r="J103" s="252">
        <v>2013</v>
      </c>
      <c r="K103" s="255">
        <f>2025-Table13[[#This Row],[LATEST YEAR]]</f>
        <v>12</v>
      </c>
      <c r="L103" s="252">
        <f>VLOOKUP(Table13[[#This Row],[GRDS ITEM NO]],RETENTION1,4,0)</f>
        <v>1</v>
      </c>
      <c r="M103" s="252">
        <f>Table13[[#This Row],[RETENTION PERIOD (NO. OF YEAR/S)]]-Table13[[#This Row],[NO. YEARS AS OF  Y2025]]</f>
        <v>-11</v>
      </c>
      <c r="N103" s="252"/>
      <c r="O103" s="252"/>
    </row>
    <row r="104" spans="1:15" s="256" customFormat="1" x14ac:dyDescent="0.3">
      <c r="A104" s="252" t="s">
        <v>499</v>
      </c>
      <c r="B104" s="252">
        <v>4</v>
      </c>
      <c r="C104" s="252" t="str">
        <f>_xlfn.CONCAT(A104,B104)</f>
        <v>ARCH-25-014</v>
      </c>
      <c r="D104" s="253">
        <v>45798</v>
      </c>
      <c r="E104" s="252" t="s">
        <v>22</v>
      </c>
      <c r="F104" s="254" t="str">
        <f t="shared" si="13"/>
        <v>APPLICATIONS (RD,RO,EC MED, RF, MAT, SO, RR, SS, PLP, ACOP)</v>
      </c>
      <c r="G104" s="252" t="s">
        <v>34</v>
      </c>
      <c r="H104" s="252" t="s">
        <v>35</v>
      </c>
      <c r="I104" s="252" t="s">
        <v>503</v>
      </c>
      <c r="J104" s="252">
        <v>2013</v>
      </c>
      <c r="K104" s="255">
        <f>2025-Table13[[#This Row],[LATEST YEAR]]</f>
        <v>12</v>
      </c>
      <c r="L104" s="252">
        <f>VLOOKUP(Table13[[#This Row],[GRDS ITEM NO]],RETENTION1,4,0)</f>
        <v>1</v>
      </c>
      <c r="M104" s="252">
        <f>Table13[[#This Row],[RETENTION PERIOD (NO. OF YEAR/S)]]-Table13[[#This Row],[NO. YEARS AS OF  Y2025]]</f>
        <v>-11</v>
      </c>
      <c r="N104" s="252"/>
      <c r="O104" s="252"/>
    </row>
    <row r="105" spans="1:15" s="256" customFormat="1" x14ac:dyDescent="0.3">
      <c r="A105" s="252" t="s">
        <v>499</v>
      </c>
      <c r="B105" s="252">
        <v>5</v>
      </c>
      <c r="C105" s="252" t="str">
        <f t="shared" ref="C105:C106" si="14">_xlfn.CONCAT(A105,B105)</f>
        <v>ARCH-25-015</v>
      </c>
      <c r="D105" s="253">
        <v>45798</v>
      </c>
      <c r="E105" s="252" t="s">
        <v>22</v>
      </c>
      <c r="F105" s="254" t="str">
        <f t="shared" si="13"/>
        <v>APPLICATIONS (RD,RO,EC MED, RF, MAT, SO, RR, SS, PLP, ACOP)</v>
      </c>
      <c r="G105" s="252" t="s">
        <v>34</v>
      </c>
      <c r="H105" s="252" t="s">
        <v>35</v>
      </c>
      <c r="I105" s="252" t="s">
        <v>504</v>
      </c>
      <c r="J105" s="252">
        <v>2014</v>
      </c>
      <c r="K105" s="255">
        <f>2025-Table13[[#This Row],[LATEST YEAR]]</f>
        <v>11</v>
      </c>
      <c r="L105" s="252">
        <f>VLOOKUP(Table13[[#This Row],[GRDS ITEM NO]],RETENTION1,4,0)</f>
        <v>1</v>
      </c>
      <c r="M105" s="252">
        <f>Table13[[#This Row],[RETENTION PERIOD (NO. OF YEAR/S)]]-Table13[[#This Row],[NO. YEARS AS OF  Y2025]]</f>
        <v>-10</v>
      </c>
      <c r="N105" s="252"/>
      <c r="O105" s="252"/>
    </row>
    <row r="106" spans="1:15" s="256" customFormat="1" x14ac:dyDescent="0.3">
      <c r="A106" s="252" t="s">
        <v>505</v>
      </c>
      <c r="B106" s="252">
        <v>1</v>
      </c>
      <c r="C106" s="252" t="str">
        <f t="shared" si="14"/>
        <v>ARCH-25-031</v>
      </c>
      <c r="D106" s="253">
        <v>45799</v>
      </c>
      <c r="E106" s="252" t="s">
        <v>22</v>
      </c>
      <c r="F106" s="254" t="str">
        <f t="shared" si="13"/>
        <v>APPLICATIONS (RD,RO,EC MED, RF, MAT, SO, RR, SS, PLP, ACOP)</v>
      </c>
      <c r="G106" s="252" t="s">
        <v>34</v>
      </c>
      <c r="H106" s="252" t="s">
        <v>35</v>
      </c>
      <c r="I106" s="252" t="s">
        <v>506</v>
      </c>
      <c r="J106" s="252">
        <v>2018</v>
      </c>
      <c r="K106" s="255">
        <f>2025-Table13[[#This Row],[LATEST YEAR]]</f>
        <v>7</v>
      </c>
      <c r="L106" s="252">
        <f>VLOOKUP(Table13[[#This Row],[GRDS ITEM NO]],RETENTION1,4,0)</f>
        <v>1</v>
      </c>
      <c r="M106" s="252">
        <f>Table13[[#This Row],[RETENTION PERIOD (NO. OF YEAR/S)]]-Table13[[#This Row],[NO. YEARS AS OF  Y2025]]</f>
        <v>-6</v>
      </c>
      <c r="N106" s="252"/>
      <c r="O106" s="252"/>
    </row>
    <row r="107" spans="1:15" s="256" customFormat="1" x14ac:dyDescent="0.3">
      <c r="A107" s="252" t="s">
        <v>507</v>
      </c>
      <c r="B107" s="257">
        <v>1</v>
      </c>
      <c r="C107" s="252" t="str">
        <f>_xlfn.CONCAT(A107,B107)</f>
        <v>ARCH-25-021</v>
      </c>
      <c r="D107" s="253">
        <v>45805</v>
      </c>
      <c r="E107" s="252" t="s">
        <v>80</v>
      </c>
      <c r="F107" s="254" t="str">
        <f t="shared" si="13"/>
        <v>EMPLOYEE-MEMBER APPLICATIONS (E1, E4, NW1, OW1, RS1)</v>
      </c>
      <c r="G107" s="252" t="s">
        <v>34</v>
      </c>
      <c r="H107" s="252" t="s">
        <v>455</v>
      </c>
      <c r="I107" s="252" t="s">
        <v>508</v>
      </c>
      <c r="J107" s="252">
        <v>2014</v>
      </c>
      <c r="K107" s="255">
        <f>2025-Table13[[#This Row],[LATEST YEAR]]</f>
        <v>11</v>
      </c>
      <c r="L107" s="252">
        <f>VLOOKUP(Table13[[#This Row],[GRDS ITEM NO]],RETENTION1,4,0)</f>
        <v>1</v>
      </c>
      <c r="M107" s="252">
        <f>Table13[[#This Row],[RETENTION PERIOD (NO. OF YEAR/S)]]-Table13[[#This Row],[NO. YEARS AS OF  Y2025]]</f>
        <v>-10</v>
      </c>
      <c r="N107" s="252"/>
      <c r="O107" s="252"/>
    </row>
    <row r="108" spans="1:15" s="256" customFormat="1" x14ac:dyDescent="0.3">
      <c r="A108" s="252" t="s">
        <v>507</v>
      </c>
      <c r="B108" s="257">
        <v>2</v>
      </c>
      <c r="C108" s="252" t="str">
        <f>_xlfn.CONCAT(A108,B108)</f>
        <v>ARCH-25-022</v>
      </c>
      <c r="D108" s="253">
        <v>45805</v>
      </c>
      <c r="E108" s="252" t="s">
        <v>80</v>
      </c>
      <c r="F108" s="254" t="str">
        <f t="shared" si="13"/>
        <v>EMPLOYEE-MEMBER APPLICATIONS (E1, E4, NW1, OW1, RS1)</v>
      </c>
      <c r="G108" s="252" t="s">
        <v>34</v>
      </c>
      <c r="H108" s="252" t="s">
        <v>455</v>
      </c>
      <c r="I108" s="252" t="s">
        <v>509</v>
      </c>
      <c r="J108" s="252">
        <v>2017</v>
      </c>
      <c r="K108" s="255">
        <f>2025-Table13[[#This Row],[LATEST YEAR]]</f>
        <v>8</v>
      </c>
      <c r="L108" s="252">
        <f>VLOOKUP(Table13[[#This Row],[GRDS ITEM NO]],RETENTION1,4,0)</f>
        <v>1</v>
      </c>
      <c r="M108" s="252">
        <f>Table13[[#This Row],[RETENTION PERIOD (NO. OF YEAR/S)]]-Table13[[#This Row],[NO. YEARS AS OF  Y2025]]</f>
        <v>-7</v>
      </c>
      <c r="N108" s="252"/>
      <c r="O108" s="252"/>
    </row>
    <row r="109" spans="1:15" s="256" customFormat="1" x14ac:dyDescent="0.3">
      <c r="A109" s="252" t="s">
        <v>507</v>
      </c>
      <c r="B109" s="257">
        <v>3</v>
      </c>
      <c r="C109" s="252" t="str">
        <f t="shared" ref="C109:C117" si="15">_xlfn.CONCAT(A109,B109)</f>
        <v>ARCH-25-023</v>
      </c>
      <c r="D109" s="253">
        <v>45805</v>
      </c>
      <c r="E109" s="252" t="s">
        <v>80</v>
      </c>
      <c r="F109" s="254" t="str">
        <f t="shared" si="13"/>
        <v>EMPLOYEE-MEMBER APPLICATIONS (E1, E4, NW1, OW1, RS1)</v>
      </c>
      <c r="G109" s="252" t="s">
        <v>34</v>
      </c>
      <c r="H109" s="252" t="s">
        <v>455</v>
      </c>
      <c r="I109" s="252" t="s">
        <v>510</v>
      </c>
      <c r="J109" s="252">
        <v>2014</v>
      </c>
      <c r="K109" s="255">
        <f>2025-Table13[[#This Row],[LATEST YEAR]]</f>
        <v>11</v>
      </c>
      <c r="L109" s="252">
        <f>VLOOKUP(Table13[[#This Row],[GRDS ITEM NO]],RETENTION1,4,0)</f>
        <v>1</v>
      </c>
      <c r="M109" s="252">
        <f>Table13[[#This Row],[RETENTION PERIOD (NO. OF YEAR/S)]]-Table13[[#This Row],[NO. YEARS AS OF  Y2025]]</f>
        <v>-10</v>
      </c>
      <c r="N109" s="252"/>
      <c r="O109" s="252"/>
    </row>
    <row r="110" spans="1:15" s="256" customFormat="1" x14ac:dyDescent="0.3">
      <c r="A110" s="252" t="s">
        <v>507</v>
      </c>
      <c r="B110" s="257">
        <v>4</v>
      </c>
      <c r="C110" s="252" t="str">
        <f t="shared" si="15"/>
        <v>ARCH-25-024</v>
      </c>
      <c r="D110" s="253">
        <v>45805</v>
      </c>
      <c r="E110" s="252" t="s">
        <v>80</v>
      </c>
      <c r="F110" s="254" t="str">
        <f t="shared" si="13"/>
        <v>EMPLOYEE-MEMBER APPLICATIONS (E1, E4, NW1, OW1, RS1)</v>
      </c>
      <c r="G110" s="252" t="s">
        <v>34</v>
      </c>
      <c r="H110" s="252" t="s">
        <v>455</v>
      </c>
      <c r="I110" s="252" t="s">
        <v>511</v>
      </c>
      <c r="J110" s="252">
        <v>2016</v>
      </c>
      <c r="K110" s="255">
        <f>2025-Table13[[#This Row],[LATEST YEAR]]</f>
        <v>9</v>
      </c>
      <c r="L110" s="252">
        <f>VLOOKUP(Table13[[#This Row],[GRDS ITEM NO]],RETENTION1,4,0)</f>
        <v>1</v>
      </c>
      <c r="M110" s="252">
        <f>Table13[[#This Row],[RETENTION PERIOD (NO. OF YEAR/S)]]-Table13[[#This Row],[NO. YEARS AS OF  Y2025]]</f>
        <v>-8</v>
      </c>
      <c r="N110" s="252"/>
      <c r="O110" s="252"/>
    </row>
    <row r="111" spans="1:15" s="256" customFormat="1" x14ac:dyDescent="0.3">
      <c r="A111" s="252" t="s">
        <v>507</v>
      </c>
      <c r="B111" s="257">
        <v>5</v>
      </c>
      <c r="C111" s="252" t="str">
        <f t="shared" si="15"/>
        <v>ARCH-25-025</v>
      </c>
      <c r="D111" s="253">
        <v>45805</v>
      </c>
      <c r="E111" s="252" t="s">
        <v>80</v>
      </c>
      <c r="F111" s="254" t="str">
        <f t="shared" si="13"/>
        <v>EMPLOYEE-MEMBER APPLICATIONS (E1, E4, NW1, OW1, RS1)</v>
      </c>
      <c r="G111" s="252" t="s">
        <v>34</v>
      </c>
      <c r="H111" s="252" t="s">
        <v>455</v>
      </c>
      <c r="I111" s="252" t="s">
        <v>512</v>
      </c>
      <c r="J111" s="252">
        <v>2016</v>
      </c>
      <c r="K111" s="255">
        <f>2025-Table13[[#This Row],[LATEST YEAR]]</f>
        <v>9</v>
      </c>
      <c r="L111" s="252">
        <f>VLOOKUP(Table13[[#This Row],[GRDS ITEM NO]],RETENTION1,4,0)</f>
        <v>1</v>
      </c>
      <c r="M111" s="252">
        <f>Table13[[#This Row],[RETENTION PERIOD (NO. OF YEAR/S)]]-Table13[[#This Row],[NO. YEARS AS OF  Y2025]]</f>
        <v>-8</v>
      </c>
      <c r="N111" s="252"/>
      <c r="O111" s="252"/>
    </row>
    <row r="112" spans="1:15" s="258" customFormat="1" x14ac:dyDescent="0.3">
      <c r="A112" s="252" t="s">
        <v>513</v>
      </c>
      <c r="B112" s="255">
        <v>1</v>
      </c>
      <c r="C112" s="255" t="str">
        <f t="shared" si="15"/>
        <v>ARCH-25-041</v>
      </c>
      <c r="D112" s="253">
        <v>45968</v>
      </c>
      <c r="E112" s="252">
        <v>74</v>
      </c>
      <c r="F112" s="254" t="str">
        <f t="shared" si="13"/>
        <v>OFFICIAL RECEIPTS</v>
      </c>
      <c r="G112" s="252" t="s">
        <v>17</v>
      </c>
      <c r="H112" s="252" t="s">
        <v>514</v>
      </c>
      <c r="I112" s="252" t="s">
        <v>515</v>
      </c>
      <c r="J112" s="252">
        <v>2024</v>
      </c>
      <c r="K112" s="252">
        <f>2025-Table13[[#This Row],[LATEST YEAR]]</f>
        <v>1</v>
      </c>
      <c r="L112" s="252">
        <f>VLOOKUP(Table13[[#This Row],[GRDS ITEM NO]],RETENTION1,4,0)</f>
        <v>10</v>
      </c>
      <c r="M112" s="252">
        <f>Table13[[#This Row],[RETENTION PERIOD (NO. OF YEAR/S)]]-Table13[[#This Row],[NO. YEARS AS OF  Y2025]]</f>
        <v>9</v>
      </c>
      <c r="N112" s="255"/>
      <c r="O112" s="255"/>
    </row>
    <row r="113" spans="1:15" s="258" customFormat="1" x14ac:dyDescent="0.3">
      <c r="A113" s="252" t="s">
        <v>513</v>
      </c>
      <c r="B113" s="255">
        <v>2</v>
      </c>
      <c r="C113" s="255" t="str">
        <f t="shared" si="15"/>
        <v>ARCH-25-042</v>
      </c>
      <c r="D113" s="253">
        <v>45968</v>
      </c>
      <c r="E113" s="252">
        <v>74</v>
      </c>
      <c r="F113" s="254" t="str">
        <f t="shared" si="13"/>
        <v>OFFICIAL RECEIPTS</v>
      </c>
      <c r="G113" s="252" t="s">
        <v>17</v>
      </c>
      <c r="H113" s="252" t="s">
        <v>514</v>
      </c>
      <c r="I113" s="252" t="s">
        <v>516</v>
      </c>
      <c r="J113" s="252">
        <v>2024</v>
      </c>
      <c r="K113" s="252">
        <f>2025-Table13[[#This Row],[LATEST YEAR]]</f>
        <v>1</v>
      </c>
      <c r="L113" s="252">
        <f>VLOOKUP(Table13[[#This Row],[GRDS ITEM NO]],RETENTION1,4,0)</f>
        <v>10</v>
      </c>
      <c r="M113" s="252">
        <f>Table13[[#This Row],[RETENTION PERIOD (NO. OF YEAR/S)]]-Table13[[#This Row],[NO. YEARS AS OF  Y2025]]</f>
        <v>9</v>
      </c>
      <c r="N113" s="255"/>
      <c r="O113" s="255"/>
    </row>
    <row r="114" spans="1:15" s="258" customFormat="1" x14ac:dyDescent="0.3">
      <c r="A114" s="252" t="s">
        <v>513</v>
      </c>
      <c r="B114" s="255">
        <v>3</v>
      </c>
      <c r="C114" s="255" t="str">
        <f t="shared" si="15"/>
        <v>ARCH-25-043</v>
      </c>
      <c r="D114" s="253">
        <v>45968</v>
      </c>
      <c r="E114" s="252">
        <v>74</v>
      </c>
      <c r="F114" s="254" t="str">
        <f t="shared" si="13"/>
        <v>OFFICIAL RECEIPTS</v>
      </c>
      <c r="G114" s="252" t="s">
        <v>17</v>
      </c>
      <c r="H114" s="252" t="s">
        <v>514</v>
      </c>
      <c r="I114" s="252" t="s">
        <v>517</v>
      </c>
      <c r="J114" s="252">
        <v>2024</v>
      </c>
      <c r="K114" s="252">
        <f>2025-Table13[[#This Row],[LATEST YEAR]]</f>
        <v>1</v>
      </c>
      <c r="L114" s="252">
        <f>VLOOKUP(Table13[[#This Row],[GRDS ITEM NO]],RETENTION1,4,0)</f>
        <v>10</v>
      </c>
      <c r="M114" s="252">
        <f>Table13[[#This Row],[RETENTION PERIOD (NO. OF YEAR/S)]]-Table13[[#This Row],[NO. YEARS AS OF  Y2025]]</f>
        <v>9</v>
      </c>
      <c r="N114" s="255"/>
      <c r="O114" s="255"/>
    </row>
    <row r="115" spans="1:15" s="258" customFormat="1" x14ac:dyDescent="0.3">
      <c r="A115" s="252" t="s">
        <v>513</v>
      </c>
      <c r="B115" s="255">
        <v>4</v>
      </c>
      <c r="C115" s="255" t="str">
        <f t="shared" si="15"/>
        <v>ARCH-25-044</v>
      </c>
      <c r="D115" s="253">
        <v>45968</v>
      </c>
      <c r="E115" s="252">
        <v>74</v>
      </c>
      <c r="F115" s="254" t="str">
        <f t="shared" si="13"/>
        <v>OFFICIAL RECEIPTS</v>
      </c>
      <c r="G115" s="252" t="s">
        <v>17</v>
      </c>
      <c r="H115" s="252" t="s">
        <v>514</v>
      </c>
      <c r="I115" s="252" t="s">
        <v>518</v>
      </c>
      <c r="J115" s="252">
        <v>2024</v>
      </c>
      <c r="K115" s="252">
        <f>2025-Table13[[#This Row],[LATEST YEAR]]</f>
        <v>1</v>
      </c>
      <c r="L115" s="252">
        <f>VLOOKUP(Table13[[#This Row],[GRDS ITEM NO]],RETENTION1,4,0)</f>
        <v>10</v>
      </c>
      <c r="M115" s="252">
        <f>Table13[[#This Row],[RETENTION PERIOD (NO. OF YEAR/S)]]-Table13[[#This Row],[NO. YEARS AS OF  Y2025]]</f>
        <v>9</v>
      </c>
      <c r="N115" s="255"/>
      <c r="O115" s="255"/>
    </row>
    <row r="116" spans="1:15" s="258" customFormat="1" x14ac:dyDescent="0.3">
      <c r="A116" s="252" t="s">
        <v>513</v>
      </c>
      <c r="B116" s="255">
        <v>5</v>
      </c>
      <c r="C116" s="255" t="str">
        <f t="shared" si="15"/>
        <v>ARCH-25-045</v>
      </c>
      <c r="D116" s="253">
        <v>45968</v>
      </c>
      <c r="E116" s="252">
        <v>74</v>
      </c>
      <c r="F116" s="254" t="str">
        <f t="shared" si="13"/>
        <v>OFFICIAL RECEIPTS</v>
      </c>
      <c r="G116" s="252" t="s">
        <v>17</v>
      </c>
      <c r="H116" s="252" t="s">
        <v>514</v>
      </c>
      <c r="I116" s="252" t="s">
        <v>519</v>
      </c>
      <c r="J116" s="252">
        <v>2024</v>
      </c>
      <c r="K116" s="252">
        <f>2025-Table13[[#This Row],[LATEST YEAR]]</f>
        <v>1</v>
      </c>
      <c r="L116" s="252">
        <f>VLOOKUP(Table13[[#This Row],[GRDS ITEM NO]],RETENTION1,4,0)</f>
        <v>10</v>
      </c>
      <c r="M116" s="252">
        <f>Table13[[#This Row],[RETENTION PERIOD (NO. OF YEAR/S)]]-Table13[[#This Row],[NO. YEARS AS OF  Y2025]]</f>
        <v>9</v>
      </c>
      <c r="N116" s="255"/>
      <c r="O116" s="255"/>
    </row>
    <row r="117" spans="1:15" s="258" customFormat="1" x14ac:dyDescent="0.3">
      <c r="A117" s="252" t="s">
        <v>513</v>
      </c>
      <c r="B117" s="255">
        <v>6</v>
      </c>
      <c r="C117" s="255" t="str">
        <f t="shared" si="15"/>
        <v>ARCH-25-046</v>
      </c>
      <c r="D117" s="253">
        <v>45968</v>
      </c>
      <c r="E117" s="252">
        <v>74</v>
      </c>
      <c r="F117" s="254" t="str">
        <f t="shared" si="13"/>
        <v>OFFICIAL RECEIPTS</v>
      </c>
      <c r="G117" s="252" t="s">
        <v>17</v>
      </c>
      <c r="H117" s="252" t="s">
        <v>514</v>
      </c>
      <c r="I117" s="252" t="s">
        <v>520</v>
      </c>
      <c r="J117" s="252">
        <v>2024</v>
      </c>
      <c r="K117" s="252">
        <f>2025-Table13[[#This Row],[LATEST YEAR]]</f>
        <v>1</v>
      </c>
      <c r="L117" s="252">
        <f>VLOOKUP(Table13[[#This Row],[GRDS ITEM NO]],RETENTION1,4,0)</f>
        <v>10</v>
      </c>
      <c r="M117" s="252">
        <f>Table13[[#This Row],[RETENTION PERIOD (NO. OF YEAR/S)]]-Table13[[#This Row],[NO. YEARS AS OF  Y2025]]</f>
        <v>9</v>
      </c>
      <c r="N117" s="255"/>
      <c r="O117" s="255"/>
    </row>
    <row r="118" spans="1:15" s="258" customFormat="1" x14ac:dyDescent="0.3">
      <c r="A118" s="252" t="s">
        <v>513</v>
      </c>
      <c r="B118" s="255">
        <v>8</v>
      </c>
      <c r="C118" s="255" t="s">
        <v>521</v>
      </c>
      <c r="D118" s="253">
        <v>45973</v>
      </c>
      <c r="E118" s="252">
        <v>74</v>
      </c>
      <c r="F118" s="254" t="str">
        <f t="shared" si="13"/>
        <v>OFFICIAL RECEIPTS</v>
      </c>
      <c r="G118" s="252" t="s">
        <v>17</v>
      </c>
      <c r="H118" s="252" t="s">
        <v>522</v>
      </c>
      <c r="I118" s="252" t="s">
        <v>523</v>
      </c>
      <c r="J118" s="252">
        <v>2025</v>
      </c>
      <c r="K118" s="252">
        <f>2025-Table13[[#This Row],[LATEST YEAR]]</f>
        <v>0</v>
      </c>
      <c r="L118" s="252">
        <f>VLOOKUP(Table13[[#This Row],[GRDS ITEM NO]],RETENTION1,4,0)</f>
        <v>10</v>
      </c>
      <c r="M118" s="252">
        <f>Table13[[#This Row],[RETENTION PERIOD (NO. OF YEAR/S)]]-Table13[[#This Row],[NO. YEARS AS OF  Y2025]]</f>
        <v>10</v>
      </c>
      <c r="N118" s="255"/>
      <c r="O118" s="255"/>
    </row>
    <row r="119" spans="1:15" s="258" customFormat="1" x14ac:dyDescent="0.3">
      <c r="A119" s="252" t="s">
        <v>513</v>
      </c>
      <c r="B119" s="255">
        <v>9</v>
      </c>
      <c r="C119" s="255" t="s">
        <v>524</v>
      </c>
      <c r="D119" s="253">
        <v>45975</v>
      </c>
      <c r="E119" s="252">
        <v>74</v>
      </c>
      <c r="F119" s="254" t="str">
        <f t="shared" si="13"/>
        <v>OFFICIAL RECEIPTS</v>
      </c>
      <c r="G119" s="252" t="s">
        <v>17</v>
      </c>
      <c r="H119" s="252" t="s">
        <v>522</v>
      </c>
      <c r="I119" s="252" t="s">
        <v>525</v>
      </c>
      <c r="J119" s="252">
        <v>2025</v>
      </c>
      <c r="K119" s="252">
        <f>2025-Table13[[#This Row],[LATEST YEAR]]</f>
        <v>0</v>
      </c>
      <c r="L119" s="252">
        <f>VLOOKUP(Table13[[#This Row],[GRDS ITEM NO]],RETENTION1,4,0)</f>
        <v>10</v>
      </c>
      <c r="M119" s="252">
        <f>Table13[[#This Row],[RETENTION PERIOD (NO. OF YEAR/S)]]-Table13[[#This Row],[NO. YEARS AS OF  Y2025]]</f>
        <v>10</v>
      </c>
      <c r="N119" s="255"/>
      <c r="O119" s="255"/>
    </row>
    <row r="120" spans="1:15" s="275" customFormat="1" x14ac:dyDescent="0.3">
      <c r="A120" s="270" t="s">
        <v>526</v>
      </c>
      <c r="B120" s="271">
        <v>1</v>
      </c>
      <c r="C120" s="271" t="str">
        <f t="shared" ref="C120:C129" si="16">_xlfn.CONCAT(A120,B120)</f>
        <v>ARCH-26-011</v>
      </c>
      <c r="D120" s="272">
        <v>46052</v>
      </c>
      <c r="E120" s="270" t="s">
        <v>80</v>
      </c>
      <c r="F120" s="273" t="str">
        <f t="shared" si="13"/>
        <v>EMPLOYEE-MEMBER APPLICATIONS (E1, E4, NW1, OW1, RS1)</v>
      </c>
      <c r="G120" s="270" t="s">
        <v>34</v>
      </c>
      <c r="H120" s="270" t="s">
        <v>527</v>
      </c>
      <c r="I120" s="274" t="s">
        <v>528</v>
      </c>
      <c r="J120" s="270">
        <v>2026</v>
      </c>
      <c r="K120" s="270">
        <f>2025-Table13[[#This Row],[LATEST YEAR]]</f>
        <v>-1</v>
      </c>
      <c r="L120" s="270">
        <f>VLOOKUP(Table13[[#This Row],[GRDS ITEM NO]],RETENTION1,4,0)</f>
        <v>1</v>
      </c>
      <c r="M120" s="270">
        <f>Table13[[#This Row],[RETENTION PERIOD (NO. OF YEAR/S)]]-Table13[[#This Row],[NO. YEARS AS OF  Y2025]]</f>
        <v>2</v>
      </c>
      <c r="N120" s="271"/>
      <c r="O120" s="271"/>
    </row>
    <row r="121" spans="1:15" s="275" customFormat="1" x14ac:dyDescent="0.3">
      <c r="A121" s="270" t="s">
        <v>529</v>
      </c>
      <c r="B121" s="271">
        <v>1</v>
      </c>
      <c r="C121" s="271" t="str">
        <f t="shared" si="16"/>
        <v>ARCH-26-021</v>
      </c>
      <c r="D121" s="272">
        <v>46055</v>
      </c>
      <c r="E121" s="270" t="s">
        <v>80</v>
      </c>
      <c r="F121" s="276" t="str">
        <f t="shared" ref="F121:F134" si="17">VLOOKUP(E121,DESCRIP,2,0)</f>
        <v>EMPLOYEE-MEMBER APPLICATIONS (E1, E4, NW1, OW1, RS1)</v>
      </c>
      <c r="G121" s="270" t="s">
        <v>454</v>
      </c>
      <c r="H121" s="270" t="s">
        <v>455</v>
      </c>
      <c r="I121" s="270" t="s">
        <v>530</v>
      </c>
      <c r="J121" s="270">
        <v>2025</v>
      </c>
      <c r="K121" s="270">
        <f>2025-Table13[[#This Row],[LATEST YEAR]]</f>
        <v>0</v>
      </c>
      <c r="L121" s="270">
        <f>VLOOKUP(Table13[[#This Row],[GRDS ITEM NO]],RETENTION1,4,0)</f>
        <v>1</v>
      </c>
      <c r="M121" s="270">
        <f>Table13[[#This Row],[RETENTION PERIOD (NO. OF YEAR/S)]]-Table13[[#This Row],[NO. YEARS AS OF  Y2025]]</f>
        <v>1</v>
      </c>
      <c r="N121" s="271"/>
      <c r="O121" s="271"/>
    </row>
    <row r="122" spans="1:15" s="275" customFormat="1" x14ac:dyDescent="0.3">
      <c r="A122" s="369" t="s">
        <v>531</v>
      </c>
      <c r="B122" s="370">
        <v>1</v>
      </c>
      <c r="C122" s="370" t="str">
        <f t="shared" si="16"/>
        <v>ARCH-26-031</v>
      </c>
      <c r="D122" s="371">
        <v>46073</v>
      </c>
      <c r="E122" s="369" t="s">
        <v>22</v>
      </c>
      <c r="F122" s="276" t="str">
        <f t="shared" si="17"/>
        <v>APPLICATIONS (RD,RO,EC MED, RF, MAT, SO, RR, SS, PLP, ACOP)</v>
      </c>
      <c r="G122" s="270" t="s">
        <v>34</v>
      </c>
      <c r="H122" s="270" t="s">
        <v>532</v>
      </c>
      <c r="I122" s="270" t="s">
        <v>533</v>
      </c>
      <c r="J122" s="270">
        <v>2024</v>
      </c>
      <c r="K122" s="270">
        <f>2025-Table13[[#This Row],[LATEST YEAR]]</f>
        <v>1</v>
      </c>
      <c r="L122" s="270">
        <f>VLOOKUP(Table13[[#This Row],[GRDS ITEM NO]],RETENTION1,4,0)</f>
        <v>1</v>
      </c>
      <c r="M122" s="270">
        <f>Table13[[#This Row],[RETENTION PERIOD (NO. OF YEAR/S)]]-Table13[[#This Row],[NO. YEARS AS OF  Y2025]]</f>
        <v>0</v>
      </c>
      <c r="N122" s="271"/>
      <c r="O122" s="271"/>
    </row>
    <row r="123" spans="1:15" s="275" customFormat="1" x14ac:dyDescent="0.3">
      <c r="A123" s="369" t="s">
        <v>531</v>
      </c>
      <c r="B123" s="370">
        <v>2</v>
      </c>
      <c r="C123" s="370" t="str">
        <f t="shared" si="16"/>
        <v>ARCH-26-032</v>
      </c>
      <c r="D123" s="371">
        <v>46073</v>
      </c>
      <c r="E123" s="369" t="s">
        <v>22</v>
      </c>
      <c r="F123" s="276" t="str">
        <f t="shared" si="17"/>
        <v>APPLICATIONS (RD,RO,EC MED, RF, MAT, SO, RR, SS, PLP, ACOP)</v>
      </c>
      <c r="G123" s="270" t="s">
        <v>34</v>
      </c>
      <c r="H123" s="270" t="s">
        <v>532</v>
      </c>
      <c r="I123" s="270" t="s">
        <v>534</v>
      </c>
      <c r="J123" s="270">
        <v>2023</v>
      </c>
      <c r="K123" s="270">
        <f>2025-Table13[[#This Row],[LATEST YEAR]]</f>
        <v>2</v>
      </c>
      <c r="L123" s="270">
        <f>VLOOKUP(Table13[[#This Row],[GRDS ITEM NO]],RETENTION1,4,0)</f>
        <v>1</v>
      </c>
      <c r="M123" s="270">
        <f>Table13[[#This Row],[RETENTION PERIOD (NO. OF YEAR/S)]]-Table13[[#This Row],[NO. YEARS AS OF  Y2025]]</f>
        <v>-1</v>
      </c>
      <c r="N123" s="271"/>
      <c r="O123" s="271"/>
    </row>
    <row r="124" spans="1:15" s="275" customFormat="1" x14ac:dyDescent="0.3">
      <c r="A124" s="369" t="s">
        <v>531</v>
      </c>
      <c r="B124" s="370">
        <v>3</v>
      </c>
      <c r="C124" s="370" t="str">
        <f t="shared" si="16"/>
        <v>ARCH-26-033</v>
      </c>
      <c r="D124" s="371">
        <v>46073</v>
      </c>
      <c r="E124" s="369" t="s">
        <v>22</v>
      </c>
      <c r="F124" s="276" t="str">
        <f t="shared" si="17"/>
        <v>APPLICATIONS (RD,RO,EC MED, RF, MAT, SO, RR, SS, PLP, ACOP)</v>
      </c>
      <c r="G124" s="270" t="s">
        <v>34</v>
      </c>
      <c r="H124" s="270" t="s">
        <v>532</v>
      </c>
      <c r="I124" s="270" t="s">
        <v>535</v>
      </c>
      <c r="J124" s="270">
        <v>2023</v>
      </c>
      <c r="K124" s="270">
        <f>2025-Table13[[#This Row],[LATEST YEAR]]</f>
        <v>2</v>
      </c>
      <c r="L124" s="270">
        <f>VLOOKUP(Table13[[#This Row],[GRDS ITEM NO]],RETENTION1,4,0)</f>
        <v>1</v>
      </c>
      <c r="M124" s="270">
        <f>Table13[[#This Row],[RETENTION PERIOD (NO. OF YEAR/S)]]-Table13[[#This Row],[NO. YEARS AS OF  Y2025]]</f>
        <v>-1</v>
      </c>
      <c r="N124" s="271"/>
      <c r="O124" s="271"/>
    </row>
    <row r="125" spans="1:15" s="275" customFormat="1" x14ac:dyDescent="0.3">
      <c r="A125" s="270" t="s">
        <v>529</v>
      </c>
      <c r="B125" s="271">
        <v>2</v>
      </c>
      <c r="C125" s="271" t="str">
        <f t="shared" si="16"/>
        <v>ARCH-26-022</v>
      </c>
      <c r="D125" s="272">
        <v>46076</v>
      </c>
      <c r="E125" s="270" t="s">
        <v>80</v>
      </c>
      <c r="F125" s="276" t="str">
        <f t="shared" si="17"/>
        <v>EMPLOYEE-MEMBER APPLICATIONS (E1, E4, NW1, OW1, RS1)</v>
      </c>
      <c r="G125" s="270" t="s">
        <v>454</v>
      </c>
      <c r="H125" s="270" t="s">
        <v>455</v>
      </c>
      <c r="I125" s="270" t="s">
        <v>536</v>
      </c>
      <c r="J125" s="270">
        <v>2025</v>
      </c>
      <c r="K125" s="270">
        <f>2025-Table13[[#This Row],[LATEST YEAR]]</f>
        <v>0</v>
      </c>
      <c r="L125" s="270">
        <f>VLOOKUP(Table13[[#This Row],[GRDS ITEM NO]],RETENTION1,4,0)</f>
        <v>1</v>
      </c>
      <c r="M125" s="270">
        <f>Table13[[#This Row],[RETENTION PERIOD (NO. OF YEAR/S)]]-Table13[[#This Row],[NO. YEARS AS OF  Y2025]]</f>
        <v>1</v>
      </c>
      <c r="N125" s="271"/>
      <c r="O125" s="271"/>
    </row>
    <row r="126" spans="1:15" s="275" customFormat="1" x14ac:dyDescent="0.3">
      <c r="A126" s="369" t="s">
        <v>537</v>
      </c>
      <c r="B126" s="370">
        <v>1</v>
      </c>
      <c r="C126" s="370" t="str">
        <f t="shared" si="16"/>
        <v>ARCH-26-041</v>
      </c>
      <c r="D126" s="371">
        <v>46091</v>
      </c>
      <c r="E126" s="369" t="s">
        <v>80</v>
      </c>
      <c r="F126" s="276" t="str">
        <f t="shared" si="17"/>
        <v>EMPLOYEE-MEMBER APPLICATIONS (E1, E4, NW1, OW1, RS1)</v>
      </c>
      <c r="G126" s="270" t="s">
        <v>34</v>
      </c>
      <c r="H126" s="270" t="s">
        <v>538</v>
      </c>
      <c r="I126" s="270" t="s">
        <v>539</v>
      </c>
      <c r="J126" s="270">
        <v>2020</v>
      </c>
      <c r="K126" s="270">
        <f>2025-Table13[[#This Row],[LATEST YEAR]]</f>
        <v>5</v>
      </c>
      <c r="L126" s="270">
        <f>VLOOKUP(Table13[[#This Row],[GRDS ITEM NO]],RETENTION1,4,0)</f>
        <v>1</v>
      </c>
      <c r="M126" s="270">
        <f>Table13[[#This Row],[RETENTION PERIOD (NO. OF YEAR/S)]]-Table13[[#This Row],[NO. YEARS AS OF  Y2025]]</f>
        <v>-4</v>
      </c>
      <c r="N126" s="271"/>
      <c r="O126" s="271"/>
    </row>
    <row r="127" spans="1:15" s="275" customFormat="1" x14ac:dyDescent="0.3">
      <c r="A127" s="369" t="s">
        <v>537</v>
      </c>
      <c r="B127" s="370">
        <v>2</v>
      </c>
      <c r="C127" s="370" t="str">
        <f t="shared" si="16"/>
        <v>ARCH-26-042</v>
      </c>
      <c r="D127" s="371">
        <v>46091</v>
      </c>
      <c r="E127" s="369" t="s">
        <v>80</v>
      </c>
      <c r="F127" s="276" t="str">
        <f t="shared" si="17"/>
        <v>EMPLOYEE-MEMBER APPLICATIONS (E1, E4, NW1, OW1, RS1)</v>
      </c>
      <c r="G127" s="270" t="s">
        <v>34</v>
      </c>
      <c r="H127" s="270" t="s">
        <v>538</v>
      </c>
      <c r="I127" s="270" t="s">
        <v>540</v>
      </c>
      <c r="J127" s="270">
        <v>2022</v>
      </c>
      <c r="K127" s="270">
        <f>2025-Table13[[#This Row],[LATEST YEAR]]</f>
        <v>3</v>
      </c>
      <c r="L127" s="270">
        <f>VLOOKUP(Table13[[#This Row],[GRDS ITEM NO]],RETENTION1,4,0)</f>
        <v>1</v>
      </c>
      <c r="M127" s="270">
        <f>Table13[[#This Row],[RETENTION PERIOD (NO. OF YEAR/S)]]-Table13[[#This Row],[NO. YEARS AS OF  Y2025]]</f>
        <v>-2</v>
      </c>
      <c r="N127" s="271"/>
      <c r="O127" s="271"/>
    </row>
    <row r="128" spans="1:15" s="275" customFormat="1" x14ac:dyDescent="0.3">
      <c r="A128" s="270" t="s">
        <v>529</v>
      </c>
      <c r="B128" s="271">
        <v>3</v>
      </c>
      <c r="C128" s="271" t="str">
        <f t="shared" si="16"/>
        <v>ARCH-26-023</v>
      </c>
      <c r="D128" s="272">
        <v>46097</v>
      </c>
      <c r="E128" s="270" t="s">
        <v>80</v>
      </c>
      <c r="F128" s="276" t="str">
        <f t="shared" si="17"/>
        <v>EMPLOYEE-MEMBER APPLICATIONS (E1, E4, NW1, OW1, RS1)</v>
      </c>
      <c r="G128" s="270" t="s">
        <v>454</v>
      </c>
      <c r="H128" s="270" t="s">
        <v>538</v>
      </c>
      <c r="I128" s="270" t="s">
        <v>541</v>
      </c>
      <c r="J128" s="270">
        <v>2024</v>
      </c>
      <c r="K128" s="270">
        <f>2025-Table13[[#This Row],[LATEST YEAR]]</f>
        <v>1</v>
      </c>
      <c r="L128" s="270">
        <f>VLOOKUP(Table13[[#This Row],[GRDS ITEM NO]],RETENTION1,4,0)</f>
        <v>1</v>
      </c>
      <c r="M128" s="270">
        <f>Table13[[#This Row],[RETENTION PERIOD (NO. OF YEAR/S)]]-Table13[[#This Row],[NO. YEARS AS OF  Y2025]]</f>
        <v>0</v>
      </c>
      <c r="N128" s="271"/>
      <c r="O128" s="271"/>
    </row>
    <row r="129" spans="1:15" s="275" customFormat="1" x14ac:dyDescent="0.3">
      <c r="A129" s="270" t="s">
        <v>531</v>
      </c>
      <c r="B129" s="271">
        <v>4</v>
      </c>
      <c r="C129" s="271" t="str">
        <f t="shared" si="16"/>
        <v>ARCH-26-034</v>
      </c>
      <c r="D129" s="272">
        <v>46097</v>
      </c>
      <c r="E129" s="270" t="s">
        <v>22</v>
      </c>
      <c r="F129" s="276" t="str">
        <f t="shared" si="17"/>
        <v>APPLICATIONS (RD,RO,EC MED, RF, MAT, SO, RR, SS, PLP, ACOP)</v>
      </c>
      <c r="G129" s="270" t="s">
        <v>34</v>
      </c>
      <c r="H129" s="270" t="s">
        <v>532</v>
      </c>
      <c r="I129" s="270" t="s">
        <v>542</v>
      </c>
      <c r="J129" s="270">
        <v>2023</v>
      </c>
      <c r="K129" s="270">
        <f>2025-Table13[[#This Row],[LATEST YEAR]]</f>
        <v>2</v>
      </c>
      <c r="L129" s="270">
        <f>VLOOKUP(Table13[[#This Row],[GRDS ITEM NO]],RETENTION1,4,0)</f>
        <v>1</v>
      </c>
      <c r="M129" s="270">
        <f>Table13[[#This Row],[RETENTION PERIOD (NO. OF YEAR/S)]]-Table13[[#This Row],[NO. YEARS AS OF  Y2025]]</f>
        <v>-1</v>
      </c>
      <c r="N129" s="271"/>
      <c r="O129" s="271"/>
    </row>
    <row r="130" spans="1:15" s="275" customFormat="1" x14ac:dyDescent="0.3">
      <c r="A130" s="270" t="s">
        <v>537</v>
      </c>
      <c r="B130" s="271">
        <v>3</v>
      </c>
      <c r="C130" s="271" t="str">
        <f t="shared" ref="C130:C132" si="18">_xlfn.CONCAT(A130,B130)</f>
        <v>ARCH-26-043</v>
      </c>
      <c r="D130" s="272">
        <v>46097</v>
      </c>
      <c r="E130" s="270" t="s">
        <v>80</v>
      </c>
      <c r="F130" s="276" t="str">
        <f t="shared" si="17"/>
        <v>EMPLOYEE-MEMBER APPLICATIONS (E1, E4, NW1, OW1, RS1)</v>
      </c>
      <c r="G130" s="270" t="s">
        <v>34</v>
      </c>
      <c r="H130" s="270" t="s">
        <v>538</v>
      </c>
      <c r="I130" s="270" t="s">
        <v>543</v>
      </c>
      <c r="J130" s="270">
        <v>2023</v>
      </c>
      <c r="K130" s="270">
        <f>2025-Table13[[#This Row],[LATEST YEAR]]</f>
        <v>2</v>
      </c>
      <c r="L130" s="270">
        <f>VLOOKUP(Table13[[#This Row],[GRDS ITEM NO]],RETENTION1,4,0)</f>
        <v>1</v>
      </c>
      <c r="M130" s="270">
        <f>Table13[[#This Row],[RETENTION PERIOD (NO. OF YEAR/S)]]-Table13[[#This Row],[NO. YEARS AS OF  Y2025]]</f>
        <v>-1</v>
      </c>
      <c r="N130" s="271"/>
      <c r="O130" s="271"/>
    </row>
    <row r="131" spans="1:15" s="275" customFormat="1" x14ac:dyDescent="0.3">
      <c r="A131" s="270" t="s">
        <v>537</v>
      </c>
      <c r="B131" s="271">
        <v>4</v>
      </c>
      <c r="C131" s="271" t="str">
        <f t="shared" si="18"/>
        <v>ARCH-26-044</v>
      </c>
      <c r="D131" s="272">
        <v>46097</v>
      </c>
      <c r="E131" s="270" t="s">
        <v>80</v>
      </c>
      <c r="F131" s="276" t="str">
        <f t="shared" si="17"/>
        <v>EMPLOYEE-MEMBER APPLICATIONS (E1, E4, NW1, OW1, RS1)</v>
      </c>
      <c r="G131" s="270" t="s">
        <v>34</v>
      </c>
      <c r="H131" s="270" t="s">
        <v>538</v>
      </c>
      <c r="I131" s="270" t="s">
        <v>544</v>
      </c>
      <c r="J131" s="270">
        <v>2023</v>
      </c>
      <c r="K131" s="270">
        <f>2025-Table13[[#This Row],[LATEST YEAR]]</f>
        <v>2</v>
      </c>
      <c r="L131" s="270">
        <f>VLOOKUP(Table13[[#This Row],[GRDS ITEM NO]],RETENTION1,4,0)</f>
        <v>1</v>
      </c>
      <c r="M131" s="270">
        <f>Table13[[#This Row],[RETENTION PERIOD (NO. OF YEAR/S)]]-Table13[[#This Row],[NO. YEARS AS OF  Y2025]]</f>
        <v>-1</v>
      </c>
      <c r="N131" s="271"/>
      <c r="O131" s="271"/>
    </row>
    <row r="132" spans="1:15" s="275" customFormat="1" x14ac:dyDescent="0.3">
      <c r="A132" s="270" t="s">
        <v>537</v>
      </c>
      <c r="B132" s="271">
        <v>5</v>
      </c>
      <c r="C132" s="271" t="str">
        <f t="shared" si="18"/>
        <v>ARCH-26-045</v>
      </c>
      <c r="D132" s="272">
        <v>46097</v>
      </c>
      <c r="E132" s="270" t="s">
        <v>80</v>
      </c>
      <c r="F132" s="276" t="str">
        <f t="shared" si="17"/>
        <v>EMPLOYEE-MEMBER APPLICATIONS (E1, E4, NW1, OW1, RS1)</v>
      </c>
      <c r="G132" s="270" t="s">
        <v>34</v>
      </c>
      <c r="H132" s="270" t="s">
        <v>538</v>
      </c>
      <c r="I132" s="270" t="s">
        <v>545</v>
      </c>
      <c r="J132" s="270">
        <v>2023</v>
      </c>
      <c r="K132" s="270">
        <f>2025-Table13[[#This Row],[LATEST YEAR]]</f>
        <v>2</v>
      </c>
      <c r="L132" s="270">
        <f>VLOOKUP(Table13[[#This Row],[GRDS ITEM NO]],RETENTION1,4,0)</f>
        <v>1</v>
      </c>
      <c r="M132" s="270">
        <f>Table13[[#This Row],[RETENTION PERIOD (NO. OF YEAR/S)]]-Table13[[#This Row],[NO. YEARS AS OF  Y2025]]</f>
        <v>-1</v>
      </c>
      <c r="N132" s="271"/>
      <c r="O132" s="271"/>
    </row>
    <row r="133" spans="1:15" s="275" customFormat="1" x14ac:dyDescent="0.3">
      <c r="A133" s="270" t="s">
        <v>537</v>
      </c>
      <c r="B133" s="271">
        <v>6</v>
      </c>
      <c r="C133" s="271" t="str">
        <f t="shared" ref="C133:C139" si="19">_xlfn.CONCAT(A133,B133)</f>
        <v>ARCH-26-046</v>
      </c>
      <c r="D133" s="272">
        <v>46097</v>
      </c>
      <c r="E133" s="270" t="s">
        <v>80</v>
      </c>
      <c r="F133" s="276" t="str">
        <f t="shared" si="17"/>
        <v>EMPLOYEE-MEMBER APPLICATIONS (E1, E4, NW1, OW1, RS1)</v>
      </c>
      <c r="G133" s="270" t="s">
        <v>34</v>
      </c>
      <c r="H133" s="270" t="s">
        <v>538</v>
      </c>
      <c r="I133" s="270" t="s">
        <v>546</v>
      </c>
      <c r="J133" s="270">
        <v>2023</v>
      </c>
      <c r="K133" s="270">
        <f>2025-Table13[[#This Row],[LATEST YEAR]]</f>
        <v>2</v>
      </c>
      <c r="L133" s="270">
        <f>VLOOKUP(Table13[[#This Row],[GRDS ITEM NO]],RETENTION1,4,0)</f>
        <v>1</v>
      </c>
      <c r="M133" s="270">
        <f>Table13[[#This Row],[RETENTION PERIOD (NO. OF YEAR/S)]]-Table13[[#This Row],[NO. YEARS AS OF  Y2025]]</f>
        <v>-1</v>
      </c>
      <c r="N133" s="271"/>
      <c r="O133" s="271"/>
    </row>
    <row r="134" spans="1:15" s="275" customFormat="1" x14ac:dyDescent="0.3">
      <c r="A134" s="270" t="s">
        <v>547</v>
      </c>
      <c r="B134" s="271">
        <v>1</v>
      </c>
      <c r="C134" s="271" t="str">
        <f t="shared" si="19"/>
        <v>ARCH-26-051</v>
      </c>
      <c r="D134" s="272">
        <v>46099</v>
      </c>
      <c r="E134" s="270">
        <v>26</v>
      </c>
      <c r="F134" s="276" t="str">
        <f t="shared" si="17"/>
        <v>REPORTS
-OTHERS (Batch Balance Sheet)</v>
      </c>
      <c r="G134" s="270" t="s">
        <v>17</v>
      </c>
      <c r="H134" s="270" t="s">
        <v>548</v>
      </c>
      <c r="I134" s="270" t="s">
        <v>357</v>
      </c>
      <c r="J134" s="270">
        <v>2024</v>
      </c>
      <c r="K134" s="270">
        <f>2025-Table13[[#This Row],[LATEST YEAR]]</f>
        <v>1</v>
      </c>
      <c r="L134" s="270">
        <f>VLOOKUP(Table13[[#This Row],[GRDS ITEM NO]],RETENTION1,4,0)</f>
        <v>2</v>
      </c>
      <c r="M134" s="270">
        <f>Table13[[#This Row],[RETENTION PERIOD (NO. OF YEAR/S)]]-Table13[[#This Row],[NO. YEARS AS OF  Y2025]]</f>
        <v>1</v>
      </c>
      <c r="N134" s="271"/>
      <c r="O134" s="271"/>
    </row>
    <row r="135" spans="1:15" s="275" customFormat="1" x14ac:dyDescent="0.3">
      <c r="A135" s="270" t="s">
        <v>537</v>
      </c>
      <c r="B135" s="271">
        <v>7</v>
      </c>
      <c r="C135" s="271" t="str">
        <f t="shared" si="19"/>
        <v>ARCH-26-047</v>
      </c>
      <c r="D135" s="272">
        <v>46155</v>
      </c>
      <c r="E135" s="270" t="s">
        <v>80</v>
      </c>
      <c r="F135" s="276" t="str">
        <f t="shared" ref="F135:F141" si="20">VLOOKUP(E135,DESCRIP,2,0)</f>
        <v>EMPLOYEE-MEMBER APPLICATIONS (E1, E4, NW1, OW1, RS1)</v>
      </c>
      <c r="G135" s="270" t="s">
        <v>34</v>
      </c>
      <c r="H135" s="270" t="s">
        <v>527</v>
      </c>
      <c r="I135" s="270" t="s">
        <v>549</v>
      </c>
      <c r="J135" s="270">
        <v>2025</v>
      </c>
      <c r="K135" s="270">
        <f>2025-Table13[[#This Row],[LATEST YEAR]]</f>
        <v>0</v>
      </c>
      <c r="L135" s="270">
        <f>VLOOKUP(Table13[[#This Row],[GRDS ITEM NO]],RETENTION1,4,0)</f>
        <v>1</v>
      </c>
      <c r="M135" s="270">
        <f>Table13[[#This Row],[RETENTION PERIOD (NO. OF YEAR/S)]]-Table13[[#This Row],[NO. YEARS AS OF  Y2025]]</f>
        <v>1</v>
      </c>
      <c r="N135" s="271"/>
      <c r="O135" s="271"/>
    </row>
    <row r="136" spans="1:15" s="275" customFormat="1" x14ac:dyDescent="0.3">
      <c r="A136" s="270" t="s">
        <v>531</v>
      </c>
      <c r="B136" s="271">
        <v>5</v>
      </c>
      <c r="C136" s="271" t="str">
        <f t="shared" si="19"/>
        <v>ARCH-26-035</v>
      </c>
      <c r="D136" s="272">
        <v>46164</v>
      </c>
      <c r="E136" s="270" t="s">
        <v>22</v>
      </c>
      <c r="F136" s="276" t="str">
        <f t="shared" si="20"/>
        <v>APPLICATIONS (RD,RO,EC MED, RF, MAT, SO, RR, SS, PLP, ACOP)</v>
      </c>
      <c r="G136" s="270" t="s">
        <v>34</v>
      </c>
      <c r="H136" s="270" t="s">
        <v>532</v>
      </c>
      <c r="I136" s="270" t="s">
        <v>550</v>
      </c>
      <c r="J136" s="270">
        <v>2025</v>
      </c>
      <c r="K136" s="270">
        <f>2025-Table13[[#This Row],[LATEST YEAR]]</f>
        <v>0</v>
      </c>
      <c r="L136" s="270">
        <f>VLOOKUP(Table13[[#This Row],[GRDS ITEM NO]],RETENTION1,4,0)</f>
        <v>1</v>
      </c>
      <c r="M136" s="270">
        <f>Table13[[#This Row],[RETENTION PERIOD (NO. OF YEAR/S)]]-Table13[[#This Row],[NO. YEARS AS OF  Y2025]]</f>
        <v>1</v>
      </c>
      <c r="N136" s="271"/>
      <c r="O136" s="271"/>
    </row>
    <row r="137" spans="1:15" s="275" customFormat="1" x14ac:dyDescent="0.3">
      <c r="A137" s="270" t="s">
        <v>531</v>
      </c>
      <c r="B137" s="271">
        <v>6</v>
      </c>
      <c r="C137" s="271" t="str">
        <f t="shared" si="19"/>
        <v>ARCH-26-036</v>
      </c>
      <c r="D137" s="272">
        <v>46164</v>
      </c>
      <c r="E137" s="270" t="s">
        <v>22</v>
      </c>
      <c r="F137" s="276" t="str">
        <f t="shared" si="20"/>
        <v>APPLICATIONS (RD,RO,EC MED, RF, MAT, SO, RR, SS, PLP, ACOP)</v>
      </c>
      <c r="G137" s="270" t="s">
        <v>34</v>
      </c>
      <c r="H137" s="270" t="s">
        <v>532</v>
      </c>
      <c r="I137" s="270" t="s">
        <v>551</v>
      </c>
      <c r="J137" s="270">
        <v>2025</v>
      </c>
      <c r="K137" s="270">
        <f>2025-Table13[[#This Row],[LATEST YEAR]]</f>
        <v>0</v>
      </c>
      <c r="L137" s="270">
        <f>VLOOKUP(Table13[[#This Row],[GRDS ITEM NO]],RETENTION1,4,0)</f>
        <v>1</v>
      </c>
      <c r="M137" s="270">
        <f>Table13[[#This Row],[RETENTION PERIOD (NO. OF YEAR/S)]]-Table13[[#This Row],[NO. YEARS AS OF  Y2025]]</f>
        <v>1</v>
      </c>
      <c r="N137" s="271"/>
      <c r="O137" s="271"/>
    </row>
    <row r="138" spans="1:15" s="275" customFormat="1" x14ac:dyDescent="0.3">
      <c r="A138" s="270" t="s">
        <v>537</v>
      </c>
      <c r="B138" s="271">
        <v>8</v>
      </c>
      <c r="C138" s="271" t="str">
        <f t="shared" si="19"/>
        <v>ARCH-26-048</v>
      </c>
      <c r="D138" s="272">
        <v>46165</v>
      </c>
      <c r="E138" s="270" t="s">
        <v>80</v>
      </c>
      <c r="F138" s="276" t="str">
        <f t="shared" si="20"/>
        <v>EMPLOYEE-MEMBER APPLICATIONS (E1, E4, NW1, OW1, RS1)</v>
      </c>
      <c r="G138" s="270" t="s">
        <v>34</v>
      </c>
      <c r="H138" s="270" t="s">
        <v>552</v>
      </c>
      <c r="I138" s="270" t="s">
        <v>549</v>
      </c>
      <c r="J138" s="270">
        <v>2025</v>
      </c>
      <c r="K138" s="270">
        <f>2025-Table13[[#This Row],[LATEST YEAR]]</f>
        <v>0</v>
      </c>
      <c r="L138" s="270">
        <f>VLOOKUP(Table13[[#This Row],[GRDS ITEM NO]],RETENTION1,4,0)</f>
        <v>1</v>
      </c>
      <c r="M138" s="270">
        <f>Table13[[#This Row],[RETENTION PERIOD (NO. OF YEAR/S)]]-Table13[[#This Row],[NO. YEARS AS OF  Y2025]]</f>
        <v>1</v>
      </c>
      <c r="N138" s="271"/>
      <c r="O138" s="271"/>
    </row>
    <row r="139" spans="1:15" s="275" customFormat="1" ht="13.5" customHeight="1" x14ac:dyDescent="0.3">
      <c r="A139" s="277" t="s">
        <v>526</v>
      </c>
      <c r="B139" s="271">
        <v>2</v>
      </c>
      <c r="C139" s="271" t="str">
        <f t="shared" si="19"/>
        <v>ARCH-26-012</v>
      </c>
      <c r="D139" s="272">
        <v>46217</v>
      </c>
      <c r="E139" s="270" t="s">
        <v>80</v>
      </c>
      <c r="F139" s="276" t="str">
        <f t="shared" si="20"/>
        <v>EMPLOYEE-MEMBER APPLICATIONS (E1, E4, NW1, OW1, RS1)</v>
      </c>
      <c r="G139" s="270" t="s">
        <v>34</v>
      </c>
      <c r="H139" s="270" t="s">
        <v>527</v>
      </c>
      <c r="I139" s="270" t="s">
        <v>553</v>
      </c>
      <c r="J139" s="270">
        <v>2026</v>
      </c>
      <c r="K139" s="270">
        <f>2025-Table13[[#This Row],[LATEST YEAR]]</f>
        <v>-1</v>
      </c>
      <c r="L139" s="270">
        <f>VLOOKUP(Table13[[#This Row],[GRDS ITEM NO]],RETENTION1,4,0)</f>
        <v>1</v>
      </c>
      <c r="M139" s="270">
        <f>Table13[[#This Row],[RETENTION PERIOD (NO. OF YEAR/S)]]-Table13[[#This Row],[NO. YEARS AS OF  Y2025]]</f>
        <v>2</v>
      </c>
      <c r="N139" s="271"/>
      <c r="O139" s="271"/>
    </row>
    <row r="140" spans="1:15" x14ac:dyDescent="0.3">
      <c r="A140" s="264" t="s">
        <v>554</v>
      </c>
      <c r="B140" s="265">
        <v>1</v>
      </c>
      <c r="C140" s="265" t="str">
        <f>_xlfn.CONCAT(A140,B140)</f>
        <v>ARCH-26-061</v>
      </c>
      <c r="D140" s="266">
        <v>46220</v>
      </c>
      <c r="E140" s="267">
        <v>74</v>
      </c>
      <c r="F140" s="268" t="str">
        <f t="shared" si="20"/>
        <v>OFFICIAL RECEIPTS</v>
      </c>
      <c r="G140" s="269" t="s">
        <v>447</v>
      </c>
      <c r="H140" s="197" t="s">
        <v>555</v>
      </c>
      <c r="I140" s="197" t="s">
        <v>556</v>
      </c>
      <c r="J140" s="269">
        <v>2024</v>
      </c>
      <c r="K140" s="269">
        <f>2025-Table13[[#This Row],[LATEST YEAR]]</f>
        <v>1</v>
      </c>
      <c r="L140" s="269">
        <f>VLOOKUP(Table13[[#This Row],[GRDS ITEM NO]],RETENTION1,4,0)</f>
        <v>10</v>
      </c>
      <c r="M140" s="269">
        <f>Table13[[#This Row],[RETENTION PERIOD (NO. OF YEAR/S)]]-Table13[[#This Row],[NO. YEARS AS OF  Y2025]]</f>
        <v>9</v>
      </c>
      <c r="N140" s="265"/>
      <c r="O140" s="201"/>
    </row>
    <row r="141" spans="1:15" x14ac:dyDescent="0.3">
      <c r="A141" s="269"/>
      <c r="B141" s="265"/>
      <c r="C141" s="265" t="str">
        <f>_xlfn.CONCAT(A141,B141)</f>
        <v/>
      </c>
      <c r="D141" s="266"/>
      <c r="E141" s="269"/>
      <c r="F141" s="268" t="e">
        <f t="shared" si="20"/>
        <v>#N/A</v>
      </c>
      <c r="G141" s="269"/>
      <c r="H141" s="269" t="s">
        <v>557</v>
      </c>
      <c r="I141" s="269"/>
      <c r="J141" s="269"/>
      <c r="K141" s="269">
        <f>2025-Table13[[#This Row],[LATEST YEAR]]</f>
        <v>2025</v>
      </c>
      <c r="L141" s="269" t="e">
        <f>VLOOKUP(Table13[[#This Row],[GRDS ITEM NO]],RETENTION1,4,0)</f>
        <v>#N/A</v>
      </c>
      <c r="M141" s="269" t="e">
        <f>Table13[[#This Row],[RETENTION PERIOD (NO. OF YEAR/S)]]-Table13[[#This Row],[NO. YEARS AS OF  Y2025]]</f>
        <v>#N/A</v>
      </c>
      <c r="N141" s="265"/>
      <c r="O141" s="201"/>
    </row>
    <row r="142" spans="1:15" x14ac:dyDescent="0.3">
      <c r="K142" s="202"/>
      <c r="L142" s="202"/>
      <c r="M142" s="202"/>
    </row>
    <row r="143" spans="1:15" x14ac:dyDescent="0.3">
      <c r="K143" s="202"/>
      <c r="L143" s="202"/>
      <c r="M143" s="202"/>
    </row>
    <row r="144" spans="1:15" x14ac:dyDescent="0.3">
      <c r="K144" s="202"/>
      <c r="L144" s="202"/>
      <c r="M144" s="202"/>
    </row>
    <row r="145" spans="11:13" x14ac:dyDescent="0.3">
      <c r="K145" s="202"/>
      <c r="L145" s="202"/>
      <c r="M145" s="202"/>
    </row>
    <row r="146" spans="11:13" x14ac:dyDescent="0.3">
      <c r="K146" s="202"/>
      <c r="L146" s="202"/>
      <c r="M146" s="202"/>
    </row>
    <row r="147" spans="11:13" x14ac:dyDescent="0.3">
      <c r="K147" s="202"/>
      <c r="L147" s="202"/>
      <c r="M147" s="202"/>
    </row>
    <row r="148" spans="11:13" x14ac:dyDescent="0.3">
      <c r="K148" s="202"/>
      <c r="L148" s="202"/>
      <c r="M148" s="202"/>
    </row>
    <row r="149" spans="11:13" x14ac:dyDescent="0.3">
      <c r="K149" s="202"/>
      <c r="L149" s="202"/>
      <c r="M149" s="202"/>
    </row>
    <row r="150" spans="11:13" x14ac:dyDescent="0.3">
      <c r="K150" s="202"/>
      <c r="L150" s="202"/>
      <c r="M150" s="202"/>
    </row>
    <row r="151" spans="11:13" x14ac:dyDescent="0.3">
      <c r="K151" s="202"/>
      <c r="L151" s="202"/>
      <c r="M151" s="202"/>
    </row>
    <row r="152" spans="11:13" x14ac:dyDescent="0.3">
      <c r="K152" s="202"/>
      <c r="L152" s="202"/>
      <c r="M152" s="202"/>
    </row>
    <row r="153" spans="11:13" x14ac:dyDescent="0.3">
      <c r="K153" s="202"/>
      <c r="L153" s="202"/>
      <c r="M153" s="202"/>
    </row>
    <row r="154" spans="11:13" x14ac:dyDescent="0.3">
      <c r="K154" s="202"/>
      <c r="L154" s="202"/>
      <c r="M154" s="202"/>
    </row>
    <row r="155" spans="11:13" x14ac:dyDescent="0.3">
      <c r="K155" s="202"/>
      <c r="L155" s="202"/>
      <c r="M155" s="202"/>
    </row>
    <row r="156" spans="11:13" x14ac:dyDescent="0.3">
      <c r="K156" s="202"/>
      <c r="L156" s="202"/>
      <c r="M156" s="202"/>
    </row>
    <row r="157" spans="11:13" x14ac:dyDescent="0.3">
      <c r="K157" s="202"/>
      <c r="L157" s="202"/>
      <c r="M157" s="202"/>
    </row>
    <row r="158" spans="11:13" x14ac:dyDescent="0.3">
      <c r="K158" s="202"/>
      <c r="L158" s="202"/>
      <c r="M158" s="202"/>
    </row>
    <row r="159" spans="11:13" x14ac:dyDescent="0.3">
      <c r="K159" s="202"/>
      <c r="L159" s="202"/>
      <c r="M159" s="202"/>
    </row>
    <row r="160" spans="11:13" x14ac:dyDescent="0.3">
      <c r="K160" s="202"/>
      <c r="L160" s="202"/>
      <c r="M160" s="202"/>
    </row>
    <row r="161" spans="11:13" x14ac:dyDescent="0.3">
      <c r="K161" s="202"/>
      <c r="L161" s="202"/>
      <c r="M161" s="202"/>
    </row>
    <row r="162" spans="11:13" x14ac:dyDescent="0.3">
      <c r="K162" s="202"/>
      <c r="L162" s="202"/>
      <c r="M162" s="202"/>
    </row>
    <row r="163" spans="11:13" x14ac:dyDescent="0.3">
      <c r="K163" s="202"/>
      <c r="L163" s="202"/>
      <c r="M163" s="202"/>
    </row>
    <row r="164" spans="11:13" x14ac:dyDescent="0.3">
      <c r="K164" s="202"/>
      <c r="L164" s="202"/>
      <c r="M164" s="202"/>
    </row>
    <row r="165" spans="11:13" x14ac:dyDescent="0.3">
      <c r="K165" s="202"/>
      <c r="L165" s="202"/>
      <c r="M165" s="202"/>
    </row>
    <row r="166" spans="11:13" x14ac:dyDescent="0.3">
      <c r="K166" s="202"/>
      <c r="L166" s="202"/>
      <c r="M166" s="202"/>
    </row>
    <row r="167" spans="11:13" x14ac:dyDescent="0.3">
      <c r="K167" s="202"/>
      <c r="L167" s="202"/>
      <c r="M167" s="202"/>
    </row>
    <row r="168" spans="11:13" x14ac:dyDescent="0.3">
      <c r="K168" s="202"/>
      <c r="L168" s="202"/>
      <c r="M168" s="202"/>
    </row>
    <row r="169" spans="11:13" x14ac:dyDescent="0.3">
      <c r="K169" s="202"/>
      <c r="L169" s="202"/>
      <c r="M169" s="202"/>
    </row>
    <row r="170" spans="11:13" x14ac:dyDescent="0.3">
      <c r="K170" s="202"/>
      <c r="L170" s="202"/>
      <c r="M170" s="202"/>
    </row>
    <row r="171" spans="11:13" x14ac:dyDescent="0.3">
      <c r="K171" s="202"/>
      <c r="L171" s="202"/>
      <c r="M171" s="202"/>
    </row>
    <row r="172" spans="11:13" x14ac:dyDescent="0.3">
      <c r="K172" s="202"/>
      <c r="L172" s="202"/>
      <c r="M172" s="202"/>
    </row>
    <row r="173" spans="11:13" x14ac:dyDescent="0.3">
      <c r="K173" s="202"/>
      <c r="L173" s="202"/>
      <c r="M173" s="202"/>
    </row>
    <row r="174" spans="11:13" x14ac:dyDescent="0.3">
      <c r="K174" s="202"/>
      <c r="L174" s="202"/>
      <c r="M174" s="202"/>
    </row>
    <row r="175" spans="11:13" x14ac:dyDescent="0.3">
      <c r="K175" s="202"/>
      <c r="L175" s="202"/>
      <c r="M175" s="202"/>
    </row>
    <row r="176" spans="11:13" x14ac:dyDescent="0.3">
      <c r="K176" s="202"/>
      <c r="L176" s="202"/>
      <c r="M176" s="202"/>
    </row>
    <row r="177" spans="11:13" x14ac:dyDescent="0.3">
      <c r="K177" s="202"/>
      <c r="L177" s="202"/>
      <c r="M177" s="202"/>
    </row>
    <row r="178" spans="11:13" x14ac:dyDescent="0.3">
      <c r="K178" s="202"/>
      <c r="L178" s="202"/>
      <c r="M178" s="202"/>
    </row>
    <row r="179" spans="11:13" x14ac:dyDescent="0.3">
      <c r="K179" s="202"/>
      <c r="L179" s="202"/>
      <c r="M179" s="202"/>
    </row>
    <row r="180" spans="11:13" x14ac:dyDescent="0.3">
      <c r="K180" s="202"/>
      <c r="L180" s="202"/>
      <c r="M180" s="202"/>
    </row>
    <row r="181" spans="11:13" x14ac:dyDescent="0.3">
      <c r="K181" s="202"/>
      <c r="L181" s="202"/>
      <c r="M181" s="202"/>
    </row>
    <row r="182" spans="11:13" x14ac:dyDescent="0.3">
      <c r="K182" s="202"/>
      <c r="L182" s="202"/>
      <c r="M182" s="202"/>
    </row>
    <row r="183" spans="11:13" x14ac:dyDescent="0.3">
      <c r="K183" s="202"/>
      <c r="L183" s="202"/>
      <c r="M183" s="202"/>
    </row>
    <row r="184" spans="11:13" x14ac:dyDescent="0.3">
      <c r="K184" s="202"/>
      <c r="L184" s="202"/>
      <c r="M184" s="202"/>
    </row>
    <row r="185" spans="11:13" x14ac:dyDescent="0.3">
      <c r="K185" s="202"/>
      <c r="L185" s="202"/>
      <c r="M185" s="202"/>
    </row>
    <row r="186" spans="11:13" x14ac:dyDescent="0.3">
      <c r="K186" s="202"/>
      <c r="L186" s="202"/>
      <c r="M186" s="202"/>
    </row>
    <row r="187" spans="11:13" x14ac:dyDescent="0.3">
      <c r="K187" s="202"/>
      <c r="L187" s="202"/>
      <c r="M187" s="202"/>
    </row>
    <row r="188" spans="11:13" x14ac:dyDescent="0.3">
      <c r="K188" s="202"/>
      <c r="L188" s="202"/>
      <c r="M188" s="202"/>
    </row>
    <row r="189" spans="11:13" x14ac:dyDescent="0.3">
      <c r="K189" s="202"/>
      <c r="L189" s="202"/>
      <c r="M189" s="202"/>
    </row>
    <row r="190" spans="11:13" x14ac:dyDescent="0.3">
      <c r="K190" s="202"/>
      <c r="L190" s="202"/>
      <c r="M190" s="202"/>
    </row>
    <row r="191" spans="11:13" x14ac:dyDescent="0.3">
      <c r="K191" s="202"/>
      <c r="L191" s="202"/>
      <c r="M191" s="202"/>
    </row>
    <row r="192" spans="11:13" x14ac:dyDescent="0.3">
      <c r="K192" s="202"/>
      <c r="L192" s="202"/>
      <c r="M192" s="202"/>
    </row>
    <row r="193" spans="11:13" x14ac:dyDescent="0.3">
      <c r="K193" s="202"/>
      <c r="L193" s="202"/>
      <c r="M193" s="202"/>
    </row>
    <row r="194" spans="11:13" x14ac:dyDescent="0.3">
      <c r="K194" s="202"/>
      <c r="L194" s="202"/>
      <c r="M194" s="202"/>
    </row>
    <row r="195" spans="11:13" x14ac:dyDescent="0.3">
      <c r="K195" s="202"/>
      <c r="L195" s="202"/>
      <c r="M195" s="202"/>
    </row>
    <row r="196" spans="11:13" x14ac:dyDescent="0.3">
      <c r="K196" s="202"/>
      <c r="L196" s="202"/>
      <c r="M196" s="202"/>
    </row>
    <row r="197" spans="11:13" x14ac:dyDescent="0.3">
      <c r="K197" s="202"/>
      <c r="L197" s="202"/>
      <c r="M197" s="202"/>
    </row>
    <row r="198" spans="11:13" x14ac:dyDescent="0.3">
      <c r="K198" s="202"/>
      <c r="L198" s="202"/>
      <c r="M198" s="202"/>
    </row>
    <row r="199" spans="11:13" x14ac:dyDescent="0.3">
      <c r="K199" s="202"/>
      <c r="L199" s="202"/>
      <c r="M199" s="202"/>
    </row>
  </sheetData>
  <phoneticPr fontId="37" type="noConversion"/>
  <conditionalFormatting sqref="C1:C1048576">
    <cfRule type="duplicateValues" dxfId="19" priority="1"/>
    <cfRule type="duplicateValues" dxfId="18" priority="8"/>
  </conditionalFormatting>
  <conditionalFormatting sqref="M1:M1048576">
    <cfRule type="containsBlanks" dxfId="17" priority="2">
      <formula>LEN(TRIM(M1))=0</formula>
    </cfRule>
  </conditionalFormatting>
  <conditionalFormatting sqref="M2:M1048576">
    <cfRule type="cellIs" dxfId="16" priority="6" operator="lessThanOrEqual">
      <formula>0</formula>
    </cfRule>
    <cfRule type="cellIs" dxfId="15" priority="7" operator="greaterThan">
      <formula>0</formula>
    </cfRule>
  </conditionalFormatting>
  <conditionalFormatting sqref="N1:N1048576">
    <cfRule type="containsText" dxfId="14" priority="3" operator="containsText" text="NOT APPLICABLE">
      <formula>NOT(ISERROR(SEARCH("NOT APPLICABLE",N1)))</formula>
    </cfRule>
    <cfRule type="cellIs" dxfId="13" priority="4" operator="equal">
      <formula>"UNSCANNED"</formula>
    </cfRule>
    <cfRule type="containsText" dxfId="12" priority="5" operator="containsText" text="SCANNED">
      <formula>NOT(ISERROR(SEARCH("SCANNED",N1)))</formula>
    </cfRule>
  </conditionalFormatting>
  <dataValidations count="5">
    <dataValidation type="list" allowBlank="1" showInputMessage="1" showErrorMessage="1" sqref="B1:B1048576" xr:uid="{3EE916B2-2B25-486C-8315-A4E029BD3B29}">
      <formula1>BOXNO</formula1>
    </dataValidation>
    <dataValidation type="list" allowBlank="1" showInputMessage="1" showErrorMessage="1" sqref="N1:N1048576" xr:uid="{C56F677E-776D-403B-B8B5-A719C32A0850}">
      <formula1>SCANNING</formula1>
    </dataValidation>
    <dataValidation type="list" allowBlank="1" showInputMessage="1" showErrorMessage="1" sqref="E1:E1048576" xr:uid="{B3E2DFFF-8DC5-4D95-B3D4-74A0D5BE4BAF}">
      <formula1>ITEMNO</formula1>
    </dataValidation>
    <dataValidation type="list" allowBlank="1" showInputMessage="1" showErrorMessage="1" sqref="A1:A1048576" xr:uid="{64B408AF-948E-4799-9152-D5B1BA327E84}">
      <formula1>ARCH2026</formula1>
    </dataValidation>
    <dataValidation type="list" allowBlank="1" showInputMessage="1" showErrorMessage="1" sqref="G1:G1048576" xr:uid="{C54F512F-4469-4B44-A84C-8DB868009572}">
      <formula1>SECTION</formula1>
    </dataValidation>
  </dataValidations>
  <pageMargins left="0.7" right="0.7" top="0.75" bottom="0.75" header="0.3" footer="0.3"/>
  <pageSetup scale="4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8BB7D-0D67-43E4-9FAD-2125FDB92B1D}">
  <sheetPr>
    <tabColor rgb="FFF5B8B8"/>
    <pageSetUpPr fitToPage="1"/>
  </sheetPr>
  <dimension ref="A1:E39"/>
  <sheetViews>
    <sheetView view="pageBreakPreview" zoomScale="60" zoomScaleNormal="100" workbookViewId="0">
      <selection sqref="A1:E9"/>
    </sheetView>
  </sheetViews>
  <sheetFormatPr defaultRowHeight="14.4" x14ac:dyDescent="0.3"/>
  <cols>
    <col min="1" max="1" width="26" customWidth="1"/>
    <col min="2" max="2" width="66.109375" customWidth="1"/>
    <col min="3" max="3" width="4.88671875" customWidth="1"/>
    <col min="4" max="4" width="27" customWidth="1"/>
    <col min="5" max="5" width="65.109375" customWidth="1"/>
  </cols>
  <sheetData>
    <row r="1" spans="1:5" ht="72.75" customHeight="1" x14ac:dyDescent="0.3">
      <c r="A1" s="103" t="s">
        <v>558</v>
      </c>
      <c r="B1" s="104" t="s">
        <v>559</v>
      </c>
      <c r="D1" s="103" t="s">
        <v>558</v>
      </c>
      <c r="E1" s="260" t="s">
        <v>559</v>
      </c>
    </row>
    <row r="2" spans="1:5" s="73" customFormat="1" ht="39.75" customHeight="1" x14ac:dyDescent="0.3">
      <c r="A2" s="105" t="s">
        <v>560</v>
      </c>
      <c r="B2" s="278" t="s">
        <v>561</v>
      </c>
      <c r="D2" s="259" t="s">
        <v>560</v>
      </c>
      <c r="E2" s="279" t="s">
        <v>562</v>
      </c>
    </row>
    <row r="3" spans="1:5" s="73" customFormat="1" ht="39.75" customHeight="1" x14ac:dyDescent="0.3">
      <c r="A3" s="101" t="s">
        <v>563</v>
      </c>
      <c r="B3" s="106" t="str">
        <f>VLOOKUP(B2,FORARCH,5,0)</f>
        <v>LGU ILIGAN CITY</v>
      </c>
      <c r="D3" s="101" t="s">
        <v>563</v>
      </c>
      <c r="E3" s="261" t="str">
        <f>VLOOKUP(E2,FORARCH,5,0)</f>
        <v>LGU ILIGAN CITY</v>
      </c>
    </row>
    <row r="4" spans="1:5" s="73" customFormat="1" ht="39.75" customHeight="1" x14ac:dyDescent="0.3">
      <c r="A4" s="101" t="s">
        <v>564</v>
      </c>
      <c r="B4" s="107" t="str">
        <f>VLOOKUP(B2,FORARCH,6,0)</f>
        <v>LGU ILIGAN PAYMENTS/RECEIPTS</v>
      </c>
      <c r="D4" s="101" t="s">
        <v>564</v>
      </c>
      <c r="E4" s="107" t="str">
        <f>VLOOKUP(E2,FORARCH,6,0)</f>
        <v>LGU ILIGAN PAYMENT/RECEIPTS 2021, 2022, 2023</v>
      </c>
    </row>
    <row r="5" spans="1:5" s="73" customFormat="1" ht="39.75" customHeight="1" x14ac:dyDescent="0.3">
      <c r="A5" s="101" t="s">
        <v>565</v>
      </c>
      <c r="B5" s="107">
        <f>VLOOKUP(B2,FORARCH,3,0)</f>
        <v>74</v>
      </c>
      <c r="D5" s="101" t="s">
        <v>565</v>
      </c>
      <c r="E5" s="107">
        <f>VLOOKUP(E2,FORARCH,3,0)</f>
        <v>74</v>
      </c>
    </row>
    <row r="6" spans="1:5" s="73" customFormat="1" ht="39.75" customHeight="1" x14ac:dyDescent="0.3">
      <c r="A6" s="101" t="s">
        <v>566</v>
      </c>
      <c r="B6" s="208" t="str">
        <f>VLOOKUP(B2,FORARCH,7,0)</f>
        <v>2022, 2023, 2024</v>
      </c>
      <c r="D6" s="101" t="s">
        <v>566</v>
      </c>
      <c r="E6" s="194" t="str">
        <f>VLOOKUP(E2,FORARCH,7,0)</f>
        <v>2021-2023</v>
      </c>
    </row>
    <row r="7" spans="1:5" s="73" customFormat="1" ht="39.75" customHeight="1" x14ac:dyDescent="0.3">
      <c r="A7" s="101" t="s">
        <v>567</v>
      </c>
      <c r="B7" s="107">
        <f>VLOOKUP(B2,FORARCH,9,0)</f>
        <v>1</v>
      </c>
      <c r="D7" s="101" t="s">
        <v>567</v>
      </c>
      <c r="E7" s="107">
        <f>VLOOKUP(E2,FORARCH,9,0)</f>
        <v>2</v>
      </c>
    </row>
    <row r="8" spans="1:5" s="73" customFormat="1" ht="39.75" customHeight="1" x14ac:dyDescent="0.3">
      <c r="A8" s="101" t="s">
        <v>568</v>
      </c>
      <c r="B8" s="107">
        <f>VLOOKUP(B2,FORARCH,10,0)</f>
        <v>10</v>
      </c>
      <c r="D8" s="101" t="s">
        <v>568</v>
      </c>
      <c r="E8" s="107">
        <f>VLOOKUP(E2,FORARCH,10,0)</f>
        <v>10</v>
      </c>
    </row>
    <row r="9" spans="1:5" s="73" customFormat="1" ht="39.75" customHeight="1" x14ac:dyDescent="0.3">
      <c r="A9" s="108" t="s">
        <v>569</v>
      </c>
      <c r="B9" s="109" t="s">
        <v>570</v>
      </c>
      <c r="D9" s="108" t="s">
        <v>569</v>
      </c>
      <c r="E9" s="109" t="s">
        <v>570</v>
      </c>
    </row>
    <row r="11" spans="1:5" ht="72.75" customHeight="1" x14ac:dyDescent="0.3">
      <c r="A11" s="103" t="s">
        <v>558</v>
      </c>
      <c r="B11" s="104" t="s">
        <v>559</v>
      </c>
      <c r="D11" s="103" t="s">
        <v>558</v>
      </c>
      <c r="E11" s="104" t="s">
        <v>559</v>
      </c>
    </row>
    <row r="12" spans="1:5" ht="39.75" customHeight="1" x14ac:dyDescent="0.3">
      <c r="A12" s="105" t="s">
        <v>560</v>
      </c>
      <c r="B12" s="263" t="s">
        <v>571</v>
      </c>
      <c r="D12" s="105" t="s">
        <v>560</v>
      </c>
      <c r="E12" s="263" t="s">
        <v>571</v>
      </c>
    </row>
    <row r="13" spans="1:5" s="73" customFormat="1" ht="39.75" customHeight="1" x14ac:dyDescent="0.3">
      <c r="A13" s="101" t="s">
        <v>563</v>
      </c>
      <c r="B13" s="106" t="str">
        <f>VLOOKUP(B12,FORARCH,5,0)</f>
        <v>MEMBER SERVICES SECTION</v>
      </c>
      <c r="D13" s="101" t="s">
        <v>563</v>
      </c>
      <c r="E13" s="106" t="str">
        <f>VLOOKUP(E12,FORARCH,5,0)</f>
        <v>MEMBER SERVICES SECTION</v>
      </c>
    </row>
    <row r="14" spans="1:5" s="73" customFormat="1" ht="39.75" customHeight="1" x14ac:dyDescent="0.3">
      <c r="A14" s="101" t="s">
        <v>564</v>
      </c>
      <c r="B14" s="107" t="str">
        <f>VLOOKUP(B12,FORARCH,6,0)</f>
        <v xml:space="preserve">REQUESTED MICROFILMS </v>
      </c>
      <c r="D14" s="101" t="s">
        <v>564</v>
      </c>
      <c r="E14" s="107" t="str">
        <f>VLOOKUP(E12,FORARCH,6,0)</f>
        <v xml:space="preserve">REQUESTED MICROFILMS </v>
      </c>
    </row>
    <row r="15" spans="1:5" s="73" customFormat="1" ht="39.75" customHeight="1" x14ac:dyDescent="0.3">
      <c r="A15" s="101" t="s">
        <v>565</v>
      </c>
      <c r="B15" s="107" t="str">
        <f>VLOOKUP(B12,FORARCH,3,0)</f>
        <v>SSSRDS 49</v>
      </c>
      <c r="D15" s="101" t="s">
        <v>565</v>
      </c>
      <c r="E15" s="107" t="str">
        <f>VLOOKUP(E12,FORARCH,3,0)</f>
        <v>SSSRDS 49</v>
      </c>
    </row>
    <row r="16" spans="1:5" s="73" customFormat="1" ht="39.75" customHeight="1" x14ac:dyDescent="0.3">
      <c r="A16" s="101" t="s">
        <v>566</v>
      </c>
      <c r="B16" s="194" t="str">
        <f>VLOOKUP(B12,FORARCH,7,0)</f>
        <v>JAN-DEC 2025</v>
      </c>
      <c r="D16" s="101" t="s">
        <v>566</v>
      </c>
      <c r="E16" s="194" t="str">
        <f>VLOOKUP(E12,FORARCH,7,0)</f>
        <v>JAN-DEC 2025</v>
      </c>
    </row>
    <row r="17" spans="1:5" s="73" customFormat="1" ht="39.75" customHeight="1" x14ac:dyDescent="0.3">
      <c r="A17" s="101" t="s">
        <v>567</v>
      </c>
      <c r="B17" s="107">
        <f>VLOOKUP(B12,FORARCH,9,0)</f>
        <v>0</v>
      </c>
      <c r="D17" s="101" t="s">
        <v>567</v>
      </c>
      <c r="E17" s="107">
        <f>VLOOKUP(E12,FORARCH,9,0)</f>
        <v>0</v>
      </c>
    </row>
    <row r="18" spans="1:5" s="73" customFormat="1" ht="39.75" customHeight="1" x14ac:dyDescent="0.3">
      <c r="A18" s="101" t="s">
        <v>568</v>
      </c>
      <c r="B18" s="107">
        <f>VLOOKUP(B12,FORARCH,10,0)</f>
        <v>1</v>
      </c>
      <c r="D18" s="101" t="s">
        <v>568</v>
      </c>
      <c r="E18" s="107">
        <f>VLOOKUP(E12,FORARCH,10,0)</f>
        <v>1</v>
      </c>
    </row>
    <row r="19" spans="1:5" s="73" customFormat="1" ht="39.75" customHeight="1" x14ac:dyDescent="0.3">
      <c r="A19" s="108" t="s">
        <v>569</v>
      </c>
      <c r="B19" s="109" t="s">
        <v>570</v>
      </c>
      <c r="D19" s="108" t="s">
        <v>569</v>
      </c>
      <c r="E19" s="109" t="s">
        <v>570</v>
      </c>
    </row>
    <row r="21" spans="1:5" ht="72.75" customHeight="1" x14ac:dyDescent="0.3">
      <c r="A21" s="103" t="s">
        <v>558</v>
      </c>
      <c r="B21" s="104" t="s">
        <v>559</v>
      </c>
      <c r="D21" s="103" t="s">
        <v>558</v>
      </c>
      <c r="E21" s="104" t="s">
        <v>559</v>
      </c>
    </row>
    <row r="22" spans="1:5" ht="39.75" customHeight="1" x14ac:dyDescent="0.3">
      <c r="A22" s="105" t="s">
        <v>560</v>
      </c>
      <c r="B22" s="263" t="s">
        <v>571</v>
      </c>
      <c r="D22" s="105" t="s">
        <v>560</v>
      </c>
      <c r="E22" s="263" t="s">
        <v>571</v>
      </c>
    </row>
    <row r="23" spans="1:5" s="73" customFormat="1" ht="39.75" customHeight="1" x14ac:dyDescent="0.3">
      <c r="A23" s="101" t="s">
        <v>563</v>
      </c>
      <c r="B23" s="106" t="str">
        <f>VLOOKUP(B22,FORARCH,5,0)</f>
        <v>MEMBER SERVICES SECTION</v>
      </c>
      <c r="D23" s="101" t="s">
        <v>563</v>
      </c>
      <c r="E23" s="106" t="str">
        <f>VLOOKUP(E22,FORARCH,5,0)</f>
        <v>MEMBER SERVICES SECTION</v>
      </c>
    </row>
    <row r="24" spans="1:5" s="73" customFormat="1" ht="39.75" customHeight="1" x14ac:dyDescent="0.3">
      <c r="A24" s="101" t="s">
        <v>564</v>
      </c>
      <c r="B24" s="107" t="str">
        <f>VLOOKUP(B22,FORARCH,6,0)</f>
        <v xml:space="preserve">REQUESTED MICROFILMS </v>
      </c>
      <c r="D24" s="101" t="s">
        <v>564</v>
      </c>
      <c r="E24" s="107" t="str">
        <f>VLOOKUP(E22,FORARCH,6,0)</f>
        <v xml:space="preserve">REQUESTED MICROFILMS </v>
      </c>
    </row>
    <row r="25" spans="1:5" s="73" customFormat="1" ht="39.75" customHeight="1" x14ac:dyDescent="0.3">
      <c r="A25" s="101" t="s">
        <v>565</v>
      </c>
      <c r="B25" s="107" t="str">
        <f>VLOOKUP(B22,FORARCH,3,0)</f>
        <v>SSSRDS 49</v>
      </c>
      <c r="D25" s="101" t="s">
        <v>565</v>
      </c>
      <c r="E25" s="107" t="str">
        <f>VLOOKUP(E22,FORARCH,3,0)</f>
        <v>SSSRDS 49</v>
      </c>
    </row>
    <row r="26" spans="1:5" s="73" customFormat="1" ht="39.75" customHeight="1" x14ac:dyDescent="0.3">
      <c r="A26" s="101" t="s">
        <v>566</v>
      </c>
      <c r="B26" s="194" t="str">
        <f>VLOOKUP(B22,FORARCH,7,0)</f>
        <v>JAN-DEC 2025</v>
      </c>
      <c r="D26" s="101" t="s">
        <v>566</v>
      </c>
      <c r="E26" s="194" t="str">
        <f>VLOOKUP(E22,FORARCH,7,0)</f>
        <v>JAN-DEC 2025</v>
      </c>
    </row>
    <row r="27" spans="1:5" s="73" customFormat="1" ht="39.75" customHeight="1" x14ac:dyDescent="0.3">
      <c r="A27" s="101" t="s">
        <v>567</v>
      </c>
      <c r="B27" s="107">
        <f>VLOOKUP(B22,FORARCH,9,0)</f>
        <v>0</v>
      </c>
      <c r="D27" s="101" t="s">
        <v>567</v>
      </c>
      <c r="E27" s="107">
        <f>VLOOKUP(E22,FORARCH,9,0)</f>
        <v>0</v>
      </c>
    </row>
    <row r="28" spans="1:5" s="73" customFormat="1" ht="39.75" customHeight="1" x14ac:dyDescent="0.3">
      <c r="A28" s="101" t="s">
        <v>568</v>
      </c>
      <c r="B28" s="107">
        <f>VLOOKUP(B22,FORARCH,10,0)</f>
        <v>1</v>
      </c>
      <c r="D28" s="101" t="s">
        <v>568</v>
      </c>
      <c r="E28" s="107">
        <f>VLOOKUP(E22,FORARCH,10,0)</f>
        <v>1</v>
      </c>
    </row>
    <row r="29" spans="1:5" s="73" customFormat="1" ht="39.75" customHeight="1" x14ac:dyDescent="0.3">
      <c r="A29" s="108" t="s">
        <v>569</v>
      </c>
      <c r="B29" s="109" t="s">
        <v>570</v>
      </c>
      <c r="D29" s="108" t="s">
        <v>569</v>
      </c>
      <c r="E29" s="109" t="s">
        <v>570</v>
      </c>
    </row>
    <row r="31" spans="1:5" ht="72.75" customHeight="1" x14ac:dyDescent="0.3">
      <c r="A31" s="103" t="s">
        <v>558</v>
      </c>
      <c r="B31" s="104" t="s">
        <v>559</v>
      </c>
      <c r="D31" s="103" t="s">
        <v>558</v>
      </c>
      <c r="E31" s="104" t="s">
        <v>559</v>
      </c>
    </row>
    <row r="32" spans="1:5" ht="39.75" customHeight="1" x14ac:dyDescent="0.3">
      <c r="A32" s="105" t="s">
        <v>560</v>
      </c>
      <c r="B32" s="102"/>
      <c r="D32" s="105" t="s">
        <v>560</v>
      </c>
      <c r="E32" s="102"/>
    </row>
    <row r="33" spans="1:5" s="73" customFormat="1" ht="39.75" customHeight="1" x14ac:dyDescent="0.3">
      <c r="A33" s="101" t="s">
        <v>563</v>
      </c>
      <c r="B33" s="106" t="e">
        <f>VLOOKUP(B32,FORARCH,5,0)</f>
        <v>#N/A</v>
      </c>
      <c r="D33" s="101" t="s">
        <v>563</v>
      </c>
      <c r="E33" s="106" t="e">
        <f>VLOOKUP(E32,FORARCH,5,0)</f>
        <v>#N/A</v>
      </c>
    </row>
    <row r="34" spans="1:5" s="73" customFormat="1" ht="39.75" customHeight="1" x14ac:dyDescent="0.3">
      <c r="A34" s="101" t="s">
        <v>564</v>
      </c>
      <c r="B34" s="107" t="e">
        <f>VLOOKUP(B32,FORARCH,6,0)</f>
        <v>#N/A</v>
      </c>
      <c r="D34" s="101" t="s">
        <v>564</v>
      </c>
      <c r="E34" s="107" t="e">
        <f>VLOOKUP(E32,FORARCH,6,0)</f>
        <v>#N/A</v>
      </c>
    </row>
    <row r="35" spans="1:5" s="73" customFormat="1" ht="39.75" customHeight="1" x14ac:dyDescent="0.3">
      <c r="A35" s="101" t="s">
        <v>565</v>
      </c>
      <c r="B35" s="107" t="e">
        <f>VLOOKUP(B32,FORARCH,3,0)</f>
        <v>#N/A</v>
      </c>
      <c r="D35" s="101" t="s">
        <v>565</v>
      </c>
      <c r="E35" s="107" t="e">
        <f>VLOOKUP(E32,FORARCH,3,0)</f>
        <v>#N/A</v>
      </c>
    </row>
    <row r="36" spans="1:5" s="73" customFormat="1" ht="39.75" customHeight="1" x14ac:dyDescent="0.3">
      <c r="A36" s="101" t="s">
        <v>566</v>
      </c>
      <c r="B36" s="194" t="e">
        <f>VLOOKUP(B32,FORARCH,7,0)</f>
        <v>#N/A</v>
      </c>
      <c r="D36" s="101" t="s">
        <v>566</v>
      </c>
      <c r="E36" s="194" t="e">
        <f>VLOOKUP(E32,FORARCH,7,0)</f>
        <v>#N/A</v>
      </c>
    </row>
    <row r="37" spans="1:5" s="73" customFormat="1" ht="39.75" customHeight="1" x14ac:dyDescent="0.3">
      <c r="A37" s="101" t="s">
        <v>567</v>
      </c>
      <c r="B37" s="107" t="e">
        <f>VLOOKUP(B32,FORARCH,9,0)</f>
        <v>#N/A</v>
      </c>
      <c r="D37" s="101" t="s">
        <v>567</v>
      </c>
      <c r="E37" s="107" t="e">
        <f>VLOOKUP(E32,FORARCH,9,0)</f>
        <v>#N/A</v>
      </c>
    </row>
    <row r="38" spans="1:5" s="73" customFormat="1" ht="39.75" customHeight="1" x14ac:dyDescent="0.3">
      <c r="A38" s="101" t="s">
        <v>568</v>
      </c>
      <c r="B38" s="107" t="e">
        <f>VLOOKUP(B32,FORARCH,10,0)</f>
        <v>#N/A</v>
      </c>
      <c r="D38" s="101" t="s">
        <v>568</v>
      </c>
      <c r="E38" s="107" t="e">
        <f>VLOOKUP(E32,FORARCH,10,0)</f>
        <v>#N/A</v>
      </c>
    </row>
    <row r="39" spans="1:5" s="73" customFormat="1" ht="39.75" customHeight="1" x14ac:dyDescent="0.3">
      <c r="A39" s="108" t="s">
        <v>569</v>
      </c>
      <c r="B39" s="109" t="s">
        <v>570</v>
      </c>
      <c r="D39" s="108" t="s">
        <v>569</v>
      </c>
      <c r="E39" s="109" t="s">
        <v>570</v>
      </c>
    </row>
  </sheetData>
  <conditionalFormatting sqref="B2">
    <cfRule type="duplicateValues" dxfId="11" priority="11"/>
    <cfRule type="duplicateValues" dxfId="10" priority="12"/>
  </conditionalFormatting>
  <conditionalFormatting sqref="B12">
    <cfRule type="duplicateValues" dxfId="9" priority="9"/>
    <cfRule type="duplicateValues" dxfId="8" priority="10"/>
  </conditionalFormatting>
  <conditionalFormatting sqref="B22">
    <cfRule type="duplicateValues" dxfId="7" priority="5"/>
    <cfRule type="duplicateValues" dxfId="6" priority="6"/>
  </conditionalFormatting>
  <conditionalFormatting sqref="E2">
    <cfRule type="duplicateValues" dxfId="5" priority="1"/>
    <cfRule type="duplicateValues" dxfId="4" priority="2"/>
  </conditionalFormatting>
  <conditionalFormatting sqref="E12">
    <cfRule type="duplicateValues" dxfId="3" priority="7"/>
    <cfRule type="duplicateValues" dxfId="2" priority="8"/>
  </conditionalFormatting>
  <conditionalFormatting sqref="E22">
    <cfRule type="duplicateValues" dxfId="1" priority="3"/>
    <cfRule type="duplicateValues" dxfId="0" priority="4"/>
  </conditionalFormatting>
  <pageMargins left="0.7" right="0.7" top="0.75" bottom="0.75" header="0.3" footer="0.3"/>
  <pageSetup paperSize="14" scale="47"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47FBC-6B7D-45D0-A9EB-589B1B1B3234}">
  <sheetPr>
    <tabColor theme="7" tint="0.39997558519241921"/>
  </sheetPr>
  <dimension ref="A1:L162"/>
  <sheetViews>
    <sheetView topLeftCell="A14" zoomScaleNormal="100" workbookViewId="0">
      <selection activeCell="B21" sqref="B21:F21"/>
    </sheetView>
  </sheetViews>
  <sheetFormatPr defaultRowHeight="14.4" x14ac:dyDescent="0.3"/>
  <cols>
    <col min="6" max="6" width="3.5546875" customWidth="1"/>
    <col min="7" max="7" width="13.6640625" hidden="1" customWidth="1"/>
    <col min="9" max="9" width="10.33203125" customWidth="1"/>
    <col min="12" max="12" width="13.88671875" customWidth="1"/>
  </cols>
  <sheetData>
    <row r="1" spans="1:12" x14ac:dyDescent="0.3">
      <c r="A1" s="4" t="s">
        <v>572</v>
      </c>
      <c r="B1" s="4"/>
      <c r="C1" s="4"/>
      <c r="D1" s="4"/>
      <c r="E1" s="4"/>
      <c r="F1" s="4"/>
      <c r="G1" s="4"/>
      <c r="H1" s="4"/>
      <c r="I1" s="4"/>
      <c r="J1" s="293" t="s">
        <v>573</v>
      </c>
      <c r="K1" s="293"/>
      <c r="L1" s="293"/>
    </row>
    <row r="2" spans="1:12" x14ac:dyDescent="0.3">
      <c r="A2" s="70" t="s">
        <v>574</v>
      </c>
      <c r="B2" s="4"/>
      <c r="C2" s="4"/>
      <c r="D2" s="4"/>
      <c r="E2" s="4"/>
      <c r="F2" s="4"/>
      <c r="G2" s="4"/>
      <c r="H2" s="71"/>
      <c r="I2" s="4"/>
      <c r="J2" s="4"/>
      <c r="K2" s="4"/>
      <c r="L2" s="4"/>
    </row>
    <row r="3" spans="1:12" x14ac:dyDescent="0.3">
      <c r="A3" s="294"/>
      <c r="B3" s="295"/>
      <c r="C3" s="295"/>
      <c r="D3" s="295"/>
      <c r="E3" s="295"/>
      <c r="F3" s="295"/>
      <c r="G3" s="48"/>
      <c r="H3" s="44" t="s">
        <v>575</v>
      </c>
      <c r="I3" s="18"/>
      <c r="J3" s="18"/>
      <c r="K3" s="18"/>
      <c r="L3" s="19"/>
    </row>
    <row r="4" spans="1:12" x14ac:dyDescent="0.3">
      <c r="A4" s="301" t="s">
        <v>576</v>
      </c>
      <c r="B4" s="302"/>
      <c r="C4" s="302"/>
      <c r="D4" s="302"/>
      <c r="E4" s="302"/>
      <c r="F4" s="302"/>
      <c r="G4" s="303"/>
      <c r="H4" s="1"/>
      <c r="I4" s="1"/>
      <c r="J4" s="1"/>
      <c r="K4" s="1"/>
      <c r="L4" s="20"/>
    </row>
    <row r="5" spans="1:12" x14ac:dyDescent="0.3">
      <c r="A5" s="304" t="s">
        <v>577</v>
      </c>
      <c r="B5" s="305"/>
      <c r="C5" s="305"/>
      <c r="D5" s="305"/>
      <c r="E5" s="305"/>
      <c r="F5" s="305"/>
      <c r="G5" s="306"/>
      <c r="H5" s="296" t="s">
        <v>578</v>
      </c>
      <c r="I5" s="297"/>
      <c r="J5" s="297"/>
      <c r="K5" s="297"/>
      <c r="L5" s="297"/>
    </row>
    <row r="6" spans="1:12" x14ac:dyDescent="0.3">
      <c r="A6" s="49"/>
      <c r="G6" s="50"/>
      <c r="H6" s="45"/>
      <c r="I6" s="23"/>
      <c r="J6" s="23"/>
      <c r="K6" s="23"/>
      <c r="L6" s="24"/>
    </row>
    <row r="7" spans="1:12" x14ac:dyDescent="0.3">
      <c r="A7" s="298" t="s">
        <v>579</v>
      </c>
      <c r="B7" s="299"/>
      <c r="C7" s="299"/>
      <c r="D7" s="299"/>
      <c r="E7" s="299"/>
      <c r="F7" s="299"/>
      <c r="G7" s="300"/>
      <c r="H7" s="46" t="s">
        <v>580</v>
      </c>
      <c r="I7" s="18"/>
      <c r="J7" s="18"/>
      <c r="K7" s="18"/>
      <c r="L7" s="19"/>
    </row>
    <row r="8" spans="1:12" x14ac:dyDescent="0.3">
      <c r="A8" s="49"/>
      <c r="B8" s="285"/>
      <c r="C8" s="285"/>
      <c r="D8" s="285"/>
      <c r="E8" s="285"/>
      <c r="G8" s="50"/>
      <c r="H8" s="286" t="s">
        <v>581</v>
      </c>
      <c r="I8" s="286"/>
      <c r="J8" s="286"/>
      <c r="K8" s="286"/>
      <c r="L8" s="286"/>
    </row>
    <row r="9" spans="1:12" x14ac:dyDescent="0.3">
      <c r="A9" s="51"/>
      <c r="B9" s="52"/>
      <c r="C9" s="52"/>
      <c r="D9" s="52"/>
      <c r="E9" s="52"/>
      <c r="F9" s="52"/>
      <c r="G9" s="53"/>
      <c r="H9" s="45"/>
      <c r="L9" s="26"/>
    </row>
    <row r="10" spans="1:12" x14ac:dyDescent="0.3">
      <c r="A10" s="54" t="s">
        <v>582</v>
      </c>
      <c r="B10" s="55"/>
      <c r="C10" s="55"/>
      <c r="D10" s="56"/>
      <c r="E10" s="47" t="s">
        <v>583</v>
      </c>
      <c r="F10" s="47"/>
      <c r="G10" s="47"/>
      <c r="H10" s="28"/>
      <c r="I10" s="61" t="s">
        <v>584</v>
      </c>
      <c r="J10" s="62"/>
      <c r="K10" s="62"/>
      <c r="L10" s="63"/>
    </row>
    <row r="11" spans="1:12" x14ac:dyDescent="0.3">
      <c r="A11" s="57"/>
      <c r="B11" s="287">
        <v>45224</v>
      </c>
      <c r="C11" s="287"/>
      <c r="D11" s="288"/>
      <c r="E11" s="289" t="s">
        <v>585</v>
      </c>
      <c r="F11" s="290"/>
      <c r="G11" s="290"/>
      <c r="H11" s="290"/>
      <c r="I11" s="291" t="s">
        <v>586</v>
      </c>
      <c r="J11" s="292"/>
      <c r="K11" s="292"/>
      <c r="L11" s="292"/>
    </row>
    <row r="12" spans="1:12" x14ac:dyDescent="0.3">
      <c r="A12" s="58"/>
      <c r="B12" s="59"/>
      <c r="C12" s="59"/>
      <c r="D12" s="60"/>
      <c r="E12" s="289"/>
      <c r="F12" s="290"/>
      <c r="G12" s="290"/>
      <c r="H12" s="290"/>
      <c r="I12" s="292"/>
      <c r="J12" s="292"/>
      <c r="K12" s="292"/>
      <c r="L12" s="292"/>
    </row>
    <row r="13" spans="1:12" x14ac:dyDescent="0.3">
      <c r="A13" s="29"/>
      <c r="B13" s="47"/>
      <c r="C13" s="47"/>
      <c r="D13" s="87"/>
      <c r="E13" s="47"/>
      <c r="F13" s="47"/>
      <c r="G13" s="47"/>
      <c r="H13" s="47"/>
      <c r="I13" s="86"/>
      <c r="J13" s="30"/>
      <c r="K13" s="30"/>
      <c r="L13" s="31"/>
    </row>
    <row r="14" spans="1:12" x14ac:dyDescent="0.3">
      <c r="A14" s="311" t="s">
        <v>587</v>
      </c>
      <c r="B14" s="313" t="s">
        <v>588</v>
      </c>
      <c r="C14" s="314"/>
      <c r="D14" s="314"/>
      <c r="E14" s="314"/>
      <c r="F14" s="314"/>
      <c r="G14" s="325" t="s">
        <v>589</v>
      </c>
      <c r="H14" s="319" t="s">
        <v>8</v>
      </c>
      <c r="I14" s="320"/>
      <c r="J14" s="328" t="s">
        <v>590</v>
      </c>
      <c r="K14" s="328"/>
      <c r="L14" s="329"/>
    </row>
    <row r="15" spans="1:12" x14ac:dyDescent="0.3">
      <c r="A15" s="311"/>
      <c r="B15" s="315"/>
      <c r="C15" s="316"/>
      <c r="D15" s="316"/>
      <c r="E15" s="316"/>
      <c r="F15" s="316"/>
      <c r="G15" s="326"/>
      <c r="H15" s="321"/>
      <c r="I15" s="322"/>
      <c r="J15" s="330"/>
      <c r="K15" s="330"/>
      <c r="L15" s="331"/>
    </row>
    <row r="16" spans="1:12" x14ac:dyDescent="0.3">
      <c r="A16" s="311"/>
      <c r="B16" s="315"/>
      <c r="C16" s="316"/>
      <c r="D16" s="316"/>
      <c r="E16" s="316"/>
      <c r="F16" s="316"/>
      <c r="G16" s="326"/>
      <c r="H16" s="321"/>
      <c r="I16" s="322"/>
      <c r="J16" s="330"/>
      <c r="K16" s="330"/>
      <c r="L16" s="331"/>
    </row>
    <row r="17" spans="1:12" ht="3.6" customHeight="1" x14ac:dyDescent="0.3">
      <c r="A17" s="312"/>
      <c r="B17" s="317"/>
      <c r="C17" s="318"/>
      <c r="D17" s="318"/>
      <c r="E17" s="318"/>
      <c r="F17" s="318"/>
      <c r="G17" s="327"/>
      <c r="H17" s="323"/>
      <c r="I17" s="324"/>
      <c r="J17" s="332"/>
      <c r="K17" s="332"/>
      <c r="L17" s="333"/>
    </row>
    <row r="18" spans="1:12" ht="66.599999999999994" customHeight="1" x14ac:dyDescent="0.3">
      <c r="A18" s="93">
        <v>26</v>
      </c>
      <c r="B18" s="337" t="str">
        <f>IFERROR(VLOOKUP(A18,DESCRIP,2,0),"-")</f>
        <v>REPORTS
-OTHERS (Batch Balance Sheet)</v>
      </c>
      <c r="C18" s="338"/>
      <c r="D18" s="338"/>
      <c r="E18" s="338"/>
      <c r="F18" s="338"/>
      <c r="G18" s="94" t="s">
        <v>591</v>
      </c>
      <c r="H18" s="307" t="s">
        <v>115</v>
      </c>
      <c r="I18" s="307"/>
      <c r="J18" s="308" t="str">
        <f t="shared" ref="J18:J21" si="0">IFERROR(VLOOKUP(A18,DESCRIP,3,0),"-")</f>
        <v xml:space="preserve">2 YEARS INCORPORATED IN THE ANNUAL REPORT
</v>
      </c>
      <c r="K18" s="308"/>
      <c r="L18" s="309"/>
    </row>
    <row r="19" spans="1:12" ht="66.599999999999994" customHeight="1" x14ac:dyDescent="0.3">
      <c r="A19" s="93">
        <v>74</v>
      </c>
      <c r="B19" s="337" t="str">
        <f t="shared" ref="B19:B21" si="1">IFERROR(VLOOKUP(A19,DESCRIP,2,0),"-")</f>
        <v>OFFICIAL RECEIPTS</v>
      </c>
      <c r="C19" s="338"/>
      <c r="D19" s="338"/>
      <c r="E19" s="338"/>
      <c r="F19" s="338"/>
      <c r="G19" s="94"/>
      <c r="H19" s="310" t="s">
        <v>592</v>
      </c>
      <c r="I19" s="310"/>
      <c r="J19" s="308" t="str">
        <f t="shared" si="0"/>
        <v xml:space="preserve">10 YEARS POST- AUDITED FINALLY SETTLED AND NOT INVOLVED IN ANY CASE
</v>
      </c>
      <c r="K19" s="308"/>
      <c r="L19" s="309"/>
    </row>
    <row r="20" spans="1:12" ht="66.599999999999994" customHeight="1" x14ac:dyDescent="0.3">
      <c r="A20" s="95" t="s">
        <v>22</v>
      </c>
      <c r="B20" s="337" t="str">
        <f t="shared" si="1"/>
        <v>APPLICATIONS (RD,RO,EC MED, RF, MAT, SO, RR, SS, PLP, ACOP)</v>
      </c>
      <c r="C20" s="338"/>
      <c r="D20" s="338"/>
      <c r="E20" s="338"/>
      <c r="F20" s="338"/>
      <c r="G20" s="94"/>
      <c r="H20" s="310" t="s">
        <v>593</v>
      </c>
      <c r="I20" s="310"/>
      <c r="J20" s="308" t="str">
        <f t="shared" si="0"/>
        <v>1 YEAR</v>
      </c>
      <c r="K20" s="308"/>
      <c r="L20" s="309"/>
    </row>
    <row r="21" spans="1:12" ht="66.599999999999994" customHeight="1" x14ac:dyDescent="0.3">
      <c r="A21" s="95" t="s">
        <v>80</v>
      </c>
      <c r="B21" s="337" t="str">
        <f t="shared" si="1"/>
        <v>EMPLOYEE-MEMBER APPLICATIONS (E1, E4, NW1, OW1, RS1)</v>
      </c>
      <c r="C21" s="338"/>
      <c r="D21" s="338"/>
      <c r="E21" s="338"/>
      <c r="F21" s="338"/>
      <c r="G21" s="94"/>
      <c r="H21" s="310" t="s">
        <v>594</v>
      </c>
      <c r="I21" s="310"/>
      <c r="J21" s="308" t="str">
        <f t="shared" si="0"/>
        <v xml:space="preserve">1 YEAR </v>
      </c>
      <c r="K21" s="308"/>
      <c r="L21" s="309"/>
    </row>
    <row r="22" spans="1:12" ht="66.599999999999994" customHeight="1" x14ac:dyDescent="0.3">
      <c r="A22" s="95" t="s">
        <v>104</v>
      </c>
      <c r="B22" s="337" t="str">
        <f t="shared" ref="B22:B23" si="2">IFERROR(VLOOKUP(A22,DESCRIP,2,0),"-")</f>
        <v>EMPLOYER-MEMBER APPLICATIONS (R1, R1A, R8)</v>
      </c>
      <c r="C22" s="338"/>
      <c r="D22" s="338"/>
      <c r="E22" s="338"/>
      <c r="F22" s="338"/>
      <c r="G22" s="94"/>
      <c r="H22" s="310" t="s">
        <v>475</v>
      </c>
      <c r="I22" s="310"/>
      <c r="J22" s="308" t="str">
        <f t="shared" ref="J22:J23" si="3">IFERROR(VLOOKUP(A22,DESCRIP,3,0),"-")</f>
        <v xml:space="preserve">1 YEAR </v>
      </c>
      <c r="K22" s="308"/>
      <c r="L22" s="309"/>
    </row>
    <row r="23" spans="1:12" ht="66.599999999999994" hidden="1" customHeight="1" x14ac:dyDescent="0.3">
      <c r="A23" s="95"/>
      <c r="B23" s="337" t="str">
        <f t="shared" si="2"/>
        <v>-</v>
      </c>
      <c r="C23" s="338"/>
      <c r="D23" s="338"/>
      <c r="E23" s="338"/>
      <c r="F23" s="338"/>
      <c r="G23" s="94"/>
      <c r="H23" s="310" t="s">
        <v>594</v>
      </c>
      <c r="I23" s="310"/>
      <c r="J23" s="308" t="str">
        <f t="shared" si="3"/>
        <v>-</v>
      </c>
      <c r="K23" s="308"/>
      <c r="L23" s="309"/>
    </row>
    <row r="24" spans="1:12" x14ac:dyDescent="0.3">
      <c r="A24" s="33" t="s">
        <v>595</v>
      </c>
      <c r="B24" s="36"/>
      <c r="C24" s="36"/>
      <c r="D24" s="36"/>
      <c r="E24" s="36"/>
      <c r="F24" s="37"/>
      <c r="G24" s="36"/>
      <c r="H24" s="22" t="s">
        <v>596</v>
      </c>
      <c r="I24" s="16"/>
      <c r="J24" s="36"/>
      <c r="K24" s="36"/>
      <c r="L24" s="37"/>
    </row>
    <row r="25" spans="1:12" x14ac:dyDescent="0.3">
      <c r="A25" s="33"/>
      <c r="B25" s="16"/>
      <c r="C25" s="342" t="s">
        <v>597</v>
      </c>
      <c r="D25" s="342"/>
      <c r="E25" s="342"/>
      <c r="F25" s="342"/>
      <c r="G25" s="43"/>
      <c r="H25" s="22"/>
      <c r="I25" s="343" t="s">
        <v>598</v>
      </c>
      <c r="J25" s="343"/>
      <c r="K25" s="16"/>
      <c r="L25" s="32"/>
    </row>
    <row r="26" spans="1:12" x14ac:dyDescent="0.3">
      <c r="A26" s="27"/>
      <c r="B26" s="34"/>
      <c r="C26" s="342"/>
      <c r="D26" s="342"/>
      <c r="E26" s="342"/>
      <c r="F26" s="342"/>
      <c r="G26" s="43"/>
      <c r="H26" s="22"/>
      <c r="I26" s="343"/>
      <c r="J26" s="343"/>
      <c r="K26" s="16"/>
      <c r="L26" s="32"/>
    </row>
    <row r="27" spans="1:12" x14ac:dyDescent="0.3">
      <c r="A27" s="35" t="s">
        <v>599</v>
      </c>
      <c r="B27" s="36"/>
      <c r="C27" s="36"/>
      <c r="D27" s="36"/>
      <c r="E27" s="36"/>
      <c r="F27" s="36"/>
      <c r="G27" s="36"/>
      <c r="H27" s="38" t="s">
        <v>600</v>
      </c>
      <c r="I27" s="36"/>
      <c r="J27" s="36"/>
      <c r="K27" s="36"/>
      <c r="L27" s="37"/>
    </row>
    <row r="28" spans="1:12" x14ac:dyDescent="0.3">
      <c r="A28" s="33"/>
      <c r="B28" s="16"/>
      <c r="C28" s="16"/>
      <c r="D28" s="16"/>
      <c r="E28" s="16"/>
      <c r="F28" s="16"/>
      <c r="G28" s="16"/>
      <c r="H28" s="22"/>
      <c r="I28" s="16"/>
      <c r="J28" s="16"/>
      <c r="K28" s="16"/>
      <c r="L28" s="32"/>
    </row>
    <row r="29" spans="1:12" x14ac:dyDescent="0.3">
      <c r="A29" s="33"/>
      <c r="C29" s="344" t="s">
        <v>601</v>
      </c>
      <c r="D29" s="344"/>
      <c r="E29" s="344"/>
      <c r="F29" s="344"/>
      <c r="G29" s="43"/>
      <c r="H29" s="33"/>
      <c r="I29" s="285" t="s">
        <v>602</v>
      </c>
      <c r="J29" s="285"/>
      <c r="K29" s="285"/>
      <c r="L29" s="32"/>
    </row>
    <row r="30" spans="1:12" ht="1.95" customHeight="1" x14ac:dyDescent="0.3">
      <c r="A30" s="33"/>
      <c r="C30" s="344"/>
      <c r="D30" s="344"/>
      <c r="E30" s="344"/>
      <c r="F30" s="344"/>
      <c r="G30" s="43"/>
      <c r="H30" s="33"/>
      <c r="L30" s="26"/>
    </row>
    <row r="31" spans="1:12" x14ac:dyDescent="0.3">
      <c r="A31" s="35" t="s">
        <v>603</v>
      </c>
      <c r="B31" s="36"/>
      <c r="C31" s="36"/>
      <c r="D31" s="36"/>
      <c r="E31" s="36"/>
      <c r="F31" s="36"/>
      <c r="G31" s="36"/>
      <c r="H31" s="36"/>
      <c r="I31" s="36"/>
      <c r="J31" s="36"/>
      <c r="K31" s="36"/>
      <c r="L31" s="19"/>
    </row>
    <row r="32" spans="1:12" x14ac:dyDescent="0.3">
      <c r="A32" s="33"/>
      <c r="L32" s="32"/>
    </row>
    <row r="33" spans="1:12" x14ac:dyDescent="0.3">
      <c r="A33" s="33"/>
      <c r="C33" t="s">
        <v>604</v>
      </c>
      <c r="L33" s="26"/>
    </row>
    <row r="34" spans="1:12" x14ac:dyDescent="0.3">
      <c r="A34" s="33"/>
      <c r="B34" t="s">
        <v>605</v>
      </c>
      <c r="L34" s="26"/>
    </row>
    <row r="35" spans="1:12" x14ac:dyDescent="0.3">
      <c r="A35" s="33"/>
      <c r="L35" s="26"/>
    </row>
    <row r="36" spans="1:12" x14ac:dyDescent="0.3">
      <c r="A36" s="33"/>
      <c r="H36" s="334" t="s">
        <v>606</v>
      </c>
      <c r="I36" s="334"/>
      <c r="J36" s="334"/>
      <c r="K36" s="334"/>
      <c r="L36" s="26"/>
    </row>
    <row r="37" spans="1:12" x14ac:dyDescent="0.3">
      <c r="A37" s="33"/>
      <c r="H37" s="336" t="s">
        <v>607</v>
      </c>
      <c r="I37" s="336"/>
      <c r="J37" s="336"/>
      <c r="K37" s="336"/>
      <c r="L37" s="26"/>
    </row>
    <row r="38" spans="1:12" x14ac:dyDescent="0.3">
      <c r="A38" s="33"/>
      <c r="H38" s="335" t="s">
        <v>608</v>
      </c>
      <c r="I38" s="335"/>
      <c r="J38" s="335"/>
      <c r="K38" s="335"/>
      <c r="L38" s="26"/>
    </row>
    <row r="39" spans="1:12" x14ac:dyDescent="0.3">
      <c r="A39" s="33"/>
      <c r="H39" s="335" t="s">
        <v>609</v>
      </c>
      <c r="I39" s="335"/>
      <c r="J39" s="335"/>
      <c r="K39" s="335"/>
      <c r="L39" s="26"/>
    </row>
    <row r="40" spans="1:12" x14ac:dyDescent="0.3">
      <c r="A40" s="27"/>
      <c r="B40" s="23"/>
      <c r="C40" s="23"/>
      <c r="D40" s="23"/>
      <c r="E40" s="23"/>
      <c r="F40" s="23"/>
      <c r="G40" s="23"/>
      <c r="H40" s="23"/>
      <c r="I40" s="23"/>
      <c r="J40" s="23"/>
      <c r="K40" s="23"/>
      <c r="L40" s="96" t="s">
        <v>610</v>
      </c>
    </row>
    <row r="47" spans="1:12" x14ac:dyDescent="0.3">
      <c r="J47" s="339"/>
      <c r="K47" s="339"/>
      <c r="L47" s="339"/>
    </row>
    <row r="48" spans="1:12" x14ac:dyDescent="0.3">
      <c r="A48" s="16"/>
      <c r="H48" s="17"/>
    </row>
    <row r="49" spans="1:12" x14ac:dyDescent="0.3">
      <c r="A49" s="302"/>
      <c r="B49" s="302"/>
      <c r="C49" s="302"/>
      <c r="D49" s="302"/>
      <c r="E49" s="302"/>
      <c r="F49" s="302"/>
      <c r="G49" s="39"/>
      <c r="H49" s="17"/>
    </row>
    <row r="50" spans="1:12" x14ac:dyDescent="0.3">
      <c r="A50" s="302"/>
      <c r="B50" s="302"/>
      <c r="C50" s="302"/>
      <c r="D50" s="302"/>
      <c r="E50" s="302"/>
      <c r="F50" s="302"/>
      <c r="G50" s="39"/>
      <c r="H50" s="1"/>
      <c r="I50" s="1"/>
      <c r="J50" s="1"/>
      <c r="K50" s="1"/>
      <c r="L50" s="1"/>
    </row>
    <row r="51" spans="1:12" x14ac:dyDescent="0.3">
      <c r="A51" s="40"/>
      <c r="B51" s="305"/>
      <c r="C51" s="305"/>
      <c r="D51" s="305"/>
      <c r="E51" s="305"/>
      <c r="F51" s="17"/>
      <c r="G51" s="17"/>
      <c r="H51" s="40"/>
    </row>
    <row r="52" spans="1:12" x14ac:dyDescent="0.3">
      <c r="A52" s="16"/>
      <c r="H52" s="40"/>
    </row>
    <row r="53" spans="1:12" x14ac:dyDescent="0.3">
      <c r="A53" s="285"/>
      <c r="B53" s="285"/>
      <c r="C53" s="285"/>
      <c r="D53" s="285"/>
      <c r="E53" s="285"/>
      <c r="F53" s="285"/>
      <c r="G53" s="25"/>
      <c r="H53" s="40"/>
    </row>
    <row r="54" spans="1:12" x14ac:dyDescent="0.3">
      <c r="A54" s="16"/>
      <c r="B54" s="285"/>
      <c r="C54" s="285"/>
      <c r="D54" s="285"/>
      <c r="E54" s="285"/>
      <c r="H54" s="40"/>
    </row>
    <row r="55" spans="1:12" x14ac:dyDescent="0.3">
      <c r="H55" s="40"/>
    </row>
    <row r="56" spans="1:12" x14ac:dyDescent="0.3">
      <c r="A56" s="17"/>
      <c r="H56" s="17"/>
    </row>
    <row r="57" spans="1:12" x14ac:dyDescent="0.3">
      <c r="A57" s="17"/>
      <c r="H57" s="17"/>
    </row>
    <row r="58" spans="1:12" x14ac:dyDescent="0.3">
      <c r="A58" s="340"/>
      <c r="B58" s="341"/>
      <c r="C58" s="341"/>
      <c r="D58" s="341"/>
      <c r="E58" s="341"/>
      <c r="F58" s="341"/>
      <c r="G58" s="341"/>
      <c r="H58" s="341"/>
      <c r="I58" s="341"/>
      <c r="J58" s="341"/>
      <c r="K58" s="341"/>
      <c r="L58" s="341"/>
    </row>
    <row r="59" spans="1:12" x14ac:dyDescent="0.3">
      <c r="A59" s="340"/>
      <c r="B59" s="341"/>
      <c r="C59" s="341"/>
      <c r="D59" s="341"/>
      <c r="E59" s="341"/>
      <c r="F59" s="341"/>
      <c r="G59" s="341"/>
      <c r="H59" s="341"/>
      <c r="I59" s="341"/>
      <c r="J59" s="341"/>
      <c r="K59" s="341"/>
      <c r="L59" s="341"/>
    </row>
    <row r="60" spans="1:12" x14ac:dyDescent="0.3">
      <c r="A60" s="1"/>
      <c r="B60" s="42"/>
      <c r="C60" s="5"/>
      <c r="D60" s="5"/>
      <c r="E60" s="5"/>
      <c r="F60" s="5"/>
      <c r="G60" s="5"/>
      <c r="H60" s="5"/>
      <c r="I60" s="5"/>
      <c r="J60" s="41"/>
      <c r="K60" s="41"/>
      <c r="L60" s="41"/>
    </row>
    <row r="61" spans="1:12" x14ac:dyDescent="0.3">
      <c r="A61" s="21"/>
    </row>
    <row r="62" spans="1:12" x14ac:dyDescent="0.3">
      <c r="A62" s="5"/>
      <c r="B62" s="16"/>
      <c r="C62" s="16"/>
      <c r="D62" s="16"/>
      <c r="E62" s="16"/>
      <c r="F62" s="16"/>
      <c r="G62" s="16"/>
      <c r="H62" s="16"/>
      <c r="I62" s="16"/>
      <c r="J62" s="16"/>
      <c r="K62" s="16"/>
      <c r="L62" s="16"/>
    </row>
    <row r="63" spans="1:12" x14ac:dyDescent="0.3">
      <c r="B63" s="16"/>
      <c r="C63" s="16"/>
      <c r="D63" s="16"/>
      <c r="E63" s="16"/>
      <c r="F63" s="16"/>
      <c r="G63" s="16"/>
      <c r="H63" s="16"/>
      <c r="I63" s="16"/>
      <c r="J63" s="16"/>
      <c r="K63" s="16"/>
      <c r="L63" s="16"/>
    </row>
    <row r="64" spans="1:12" x14ac:dyDescent="0.3">
      <c r="B64" s="16"/>
      <c r="C64" s="16"/>
      <c r="D64" s="16"/>
      <c r="E64" s="16"/>
      <c r="F64" s="16"/>
      <c r="G64" s="16"/>
      <c r="H64" s="16"/>
      <c r="I64" s="16"/>
      <c r="J64" s="16"/>
      <c r="K64" s="16"/>
      <c r="L64" s="16"/>
    </row>
    <row r="65" spans="2:12" x14ac:dyDescent="0.3">
      <c r="B65" s="16"/>
      <c r="C65" s="16"/>
      <c r="D65" s="16"/>
      <c r="E65" s="16"/>
      <c r="F65" s="16"/>
      <c r="G65" s="16"/>
      <c r="H65" s="16"/>
      <c r="I65" s="16"/>
      <c r="J65" s="16"/>
      <c r="K65" s="16"/>
      <c r="L65" s="16"/>
    </row>
    <row r="66" spans="2:12" x14ac:dyDescent="0.3">
      <c r="B66" s="16"/>
      <c r="C66" s="16"/>
      <c r="D66" s="16"/>
      <c r="E66" s="16"/>
      <c r="F66" s="16"/>
      <c r="G66" s="16"/>
      <c r="H66" s="16"/>
      <c r="I66" s="16"/>
      <c r="J66" s="16"/>
      <c r="K66" s="16"/>
      <c r="L66" s="16"/>
    </row>
    <row r="67" spans="2:12" x14ac:dyDescent="0.3">
      <c r="B67" s="16"/>
      <c r="C67" s="16"/>
      <c r="D67" s="16"/>
      <c r="E67" s="16"/>
      <c r="F67" s="16"/>
      <c r="G67" s="16"/>
      <c r="H67" s="16"/>
      <c r="I67" s="16"/>
      <c r="J67" s="16"/>
      <c r="K67" s="16"/>
      <c r="L67" s="16"/>
    </row>
    <row r="68" spans="2:12" x14ac:dyDescent="0.3">
      <c r="B68" s="16"/>
      <c r="C68" s="16"/>
      <c r="D68" s="16"/>
      <c r="E68" s="16"/>
      <c r="F68" s="16"/>
      <c r="G68" s="16"/>
      <c r="H68" s="16"/>
      <c r="I68" s="16"/>
      <c r="J68" s="16"/>
      <c r="K68" s="16"/>
      <c r="L68" s="16"/>
    </row>
    <row r="69" spans="2:12" x14ac:dyDescent="0.3">
      <c r="B69" s="16"/>
      <c r="C69" s="16"/>
      <c r="D69" s="16"/>
      <c r="E69" s="16"/>
      <c r="F69" s="16"/>
      <c r="G69" s="16"/>
      <c r="H69" s="16"/>
      <c r="I69" s="16"/>
      <c r="J69" s="16"/>
      <c r="K69" s="16"/>
      <c r="L69" s="16"/>
    </row>
    <row r="70" spans="2:12" x14ac:dyDescent="0.3">
      <c r="B70" s="16"/>
      <c r="C70" s="16"/>
      <c r="D70" s="16"/>
      <c r="E70" s="16"/>
      <c r="F70" s="16"/>
      <c r="G70" s="16"/>
      <c r="H70" s="16"/>
      <c r="I70" s="16"/>
      <c r="J70" s="16"/>
      <c r="K70" s="16"/>
      <c r="L70" s="16"/>
    </row>
    <row r="71" spans="2:12" x14ac:dyDescent="0.3">
      <c r="B71" s="16"/>
      <c r="C71" s="16"/>
      <c r="D71" s="16"/>
      <c r="E71" s="16"/>
      <c r="F71" s="16"/>
      <c r="G71" s="16"/>
      <c r="H71" s="16"/>
      <c r="I71" s="16"/>
      <c r="J71" s="16"/>
      <c r="K71" s="16"/>
      <c r="L71" s="16"/>
    </row>
    <row r="72" spans="2:12" x14ac:dyDescent="0.3">
      <c r="B72" s="16"/>
      <c r="C72" s="16"/>
      <c r="D72" s="16"/>
      <c r="E72" s="16"/>
      <c r="F72" s="16"/>
      <c r="G72" s="16"/>
      <c r="H72" s="16"/>
      <c r="I72" s="16"/>
      <c r="J72" s="16"/>
      <c r="K72" s="16"/>
      <c r="L72" s="16"/>
    </row>
    <row r="73" spans="2:12" x14ac:dyDescent="0.3">
      <c r="B73" s="16"/>
      <c r="C73" s="16"/>
      <c r="D73" s="16"/>
      <c r="E73" s="16"/>
      <c r="F73" s="16"/>
      <c r="G73" s="16"/>
      <c r="H73" s="16"/>
      <c r="I73" s="16"/>
      <c r="J73" s="16"/>
      <c r="K73" s="16"/>
      <c r="L73" s="16"/>
    </row>
    <row r="74" spans="2:12" x14ac:dyDescent="0.3">
      <c r="B74" s="16"/>
      <c r="C74" s="16"/>
      <c r="D74" s="16"/>
      <c r="E74" s="16"/>
      <c r="F74" s="16"/>
      <c r="G74" s="16"/>
      <c r="H74" s="16"/>
      <c r="I74" s="16"/>
      <c r="J74" s="16"/>
      <c r="K74" s="16"/>
      <c r="L74" s="16"/>
    </row>
    <row r="75" spans="2:12" x14ac:dyDescent="0.3">
      <c r="B75" s="16"/>
      <c r="C75" s="16"/>
      <c r="D75" s="16"/>
      <c r="E75" s="16"/>
      <c r="F75" s="16"/>
      <c r="G75" s="16"/>
      <c r="H75" s="16"/>
      <c r="I75" s="16"/>
      <c r="J75" s="16"/>
      <c r="K75" s="16"/>
      <c r="L75" s="16"/>
    </row>
    <row r="76" spans="2:12" x14ac:dyDescent="0.3">
      <c r="B76" s="16"/>
      <c r="C76" s="16"/>
      <c r="D76" s="16"/>
      <c r="E76" s="16"/>
      <c r="F76" s="16"/>
      <c r="G76" s="16"/>
      <c r="H76" s="16"/>
      <c r="I76" s="16"/>
      <c r="J76" s="16"/>
      <c r="K76" s="16"/>
      <c r="L76" s="16"/>
    </row>
    <row r="77" spans="2:12" x14ac:dyDescent="0.3">
      <c r="B77" s="16"/>
      <c r="C77" s="16"/>
      <c r="D77" s="16"/>
      <c r="E77" s="16"/>
      <c r="F77" s="16"/>
      <c r="G77" s="16"/>
      <c r="H77" s="16"/>
      <c r="I77" s="16"/>
      <c r="J77" s="16"/>
      <c r="K77" s="16"/>
      <c r="L77" s="16"/>
    </row>
    <row r="78" spans="2:12" x14ac:dyDescent="0.3">
      <c r="B78" s="16"/>
      <c r="C78" s="16"/>
      <c r="D78" s="16"/>
      <c r="E78" s="16"/>
      <c r="F78" s="16"/>
      <c r="G78" s="16"/>
      <c r="H78" s="16"/>
      <c r="I78" s="16"/>
      <c r="J78" s="16"/>
      <c r="K78" s="16"/>
      <c r="L78" s="16"/>
    </row>
    <row r="79" spans="2:12" x14ac:dyDescent="0.3">
      <c r="B79" s="16"/>
      <c r="C79" s="16"/>
      <c r="D79" s="16"/>
      <c r="E79" s="16"/>
      <c r="F79" s="16"/>
      <c r="G79" s="16"/>
      <c r="H79" s="16"/>
      <c r="I79" s="16"/>
      <c r="J79" s="16"/>
      <c r="K79" s="16"/>
      <c r="L79" s="16"/>
    </row>
    <row r="80" spans="2:12" x14ac:dyDescent="0.3">
      <c r="B80" s="16"/>
      <c r="C80" s="16"/>
      <c r="D80" s="16"/>
      <c r="E80" s="16"/>
      <c r="F80" s="16"/>
      <c r="G80" s="16"/>
      <c r="H80" s="16"/>
      <c r="I80" s="16"/>
      <c r="J80" s="16"/>
      <c r="K80" s="16"/>
      <c r="L80" s="16"/>
    </row>
    <row r="81" spans="2:12" x14ac:dyDescent="0.3">
      <c r="B81" s="16"/>
      <c r="C81" s="16"/>
      <c r="D81" s="16"/>
      <c r="E81" s="16"/>
      <c r="F81" s="16"/>
      <c r="G81" s="16"/>
      <c r="H81" s="16"/>
      <c r="I81" s="16"/>
      <c r="J81" s="16"/>
      <c r="K81" s="16"/>
      <c r="L81" s="16"/>
    </row>
    <row r="82" spans="2:12" x14ac:dyDescent="0.3">
      <c r="B82" s="16"/>
      <c r="C82" s="16"/>
      <c r="D82" s="16"/>
      <c r="E82" s="16"/>
      <c r="F82" s="16"/>
      <c r="G82" s="16"/>
      <c r="H82" s="16"/>
      <c r="I82" s="16"/>
      <c r="J82" s="16"/>
      <c r="K82" s="16"/>
      <c r="L82" s="16"/>
    </row>
    <row r="83" spans="2:12" x14ac:dyDescent="0.3">
      <c r="B83" s="16"/>
      <c r="C83" s="16"/>
      <c r="D83" s="16"/>
      <c r="E83" s="16"/>
      <c r="F83" s="16"/>
      <c r="G83" s="16"/>
      <c r="H83" s="16"/>
      <c r="I83" s="16"/>
      <c r="J83" s="16"/>
      <c r="K83" s="16"/>
      <c r="L83" s="16"/>
    </row>
    <row r="84" spans="2:12" x14ac:dyDescent="0.3">
      <c r="B84" s="16"/>
      <c r="C84" s="16"/>
      <c r="D84" s="16"/>
      <c r="E84" s="16"/>
      <c r="F84" s="16"/>
      <c r="G84" s="16"/>
      <c r="H84" s="16"/>
      <c r="I84" s="16"/>
      <c r="J84" s="16"/>
      <c r="K84" s="16"/>
      <c r="L84" s="16"/>
    </row>
    <row r="85" spans="2:12" x14ac:dyDescent="0.3">
      <c r="B85" s="16"/>
      <c r="C85" s="16"/>
      <c r="D85" s="16"/>
      <c r="E85" s="16"/>
      <c r="F85" s="16"/>
      <c r="G85" s="16"/>
      <c r="H85" s="16"/>
      <c r="I85" s="16"/>
      <c r="J85" s="16"/>
      <c r="K85" s="16"/>
      <c r="L85" s="16"/>
    </row>
    <row r="86" spans="2:12" x14ac:dyDescent="0.3">
      <c r="B86" s="16"/>
      <c r="C86" s="16"/>
      <c r="D86" s="16"/>
      <c r="E86" s="16"/>
      <c r="F86" s="16"/>
      <c r="G86" s="16"/>
      <c r="H86" s="16"/>
      <c r="I86" s="16"/>
      <c r="J86" s="16"/>
      <c r="K86" s="16"/>
      <c r="L86" s="16"/>
    </row>
    <row r="87" spans="2:12" x14ac:dyDescent="0.3">
      <c r="B87" s="16"/>
      <c r="C87" s="16"/>
      <c r="D87" s="16"/>
      <c r="E87" s="16"/>
      <c r="F87" s="16"/>
      <c r="G87" s="16"/>
      <c r="H87" s="16"/>
      <c r="I87" s="16"/>
      <c r="J87" s="16"/>
      <c r="K87" s="16"/>
      <c r="L87" s="16"/>
    </row>
    <row r="88" spans="2:12" x14ac:dyDescent="0.3">
      <c r="B88" s="16"/>
      <c r="C88" s="16"/>
      <c r="D88" s="16"/>
      <c r="E88" s="16"/>
      <c r="F88" s="16"/>
      <c r="G88" s="16"/>
      <c r="H88" s="16"/>
      <c r="I88" s="16"/>
      <c r="J88" s="16"/>
      <c r="K88" s="16"/>
      <c r="L88" s="16"/>
    </row>
    <row r="89" spans="2:12" x14ac:dyDescent="0.3">
      <c r="B89" s="16"/>
      <c r="C89" s="16"/>
      <c r="D89" s="16"/>
      <c r="E89" s="16"/>
      <c r="F89" s="16"/>
      <c r="G89" s="16"/>
      <c r="H89" s="16"/>
      <c r="I89" s="16"/>
      <c r="J89" s="16"/>
      <c r="K89" s="16"/>
      <c r="L89" s="16"/>
    </row>
    <row r="90" spans="2:12" x14ac:dyDescent="0.3">
      <c r="B90" s="16"/>
      <c r="C90" s="16"/>
      <c r="D90" s="16"/>
      <c r="E90" s="16"/>
      <c r="F90" s="16"/>
      <c r="G90" s="16"/>
      <c r="H90" s="16"/>
      <c r="I90" s="16"/>
      <c r="J90" s="16"/>
      <c r="K90" s="16"/>
      <c r="L90" s="16"/>
    </row>
    <row r="91" spans="2:12" x14ac:dyDescent="0.3">
      <c r="B91" s="16"/>
      <c r="C91" s="16"/>
      <c r="D91" s="16"/>
      <c r="E91" s="16"/>
      <c r="F91" s="16"/>
      <c r="G91" s="16"/>
      <c r="H91" s="16"/>
      <c r="I91" s="16"/>
      <c r="J91" s="16"/>
      <c r="K91" s="16"/>
      <c r="L91" s="16"/>
    </row>
    <row r="94" spans="2:12" x14ac:dyDescent="0.3">
      <c r="B94" s="16"/>
      <c r="C94" s="16"/>
      <c r="D94" s="16"/>
      <c r="E94" s="16"/>
      <c r="F94" s="16"/>
      <c r="G94" s="16"/>
      <c r="H94" s="16"/>
      <c r="I94" s="16"/>
      <c r="J94" s="16"/>
      <c r="K94" s="16"/>
      <c r="L94" s="16"/>
    </row>
    <row r="101" spans="1:12" x14ac:dyDescent="0.3">
      <c r="H101" s="335"/>
      <c r="I101" s="335"/>
      <c r="J101" s="335"/>
      <c r="K101" s="335"/>
    </row>
    <row r="102" spans="1:12" x14ac:dyDescent="0.3">
      <c r="H102" s="335"/>
      <c r="I102" s="335"/>
      <c r="J102" s="335"/>
      <c r="K102" s="335"/>
    </row>
    <row r="107" spans="1:12" x14ac:dyDescent="0.3">
      <c r="J107" s="339"/>
      <c r="K107" s="339"/>
      <c r="L107" s="339"/>
    </row>
    <row r="108" spans="1:12" x14ac:dyDescent="0.3">
      <c r="A108" s="16"/>
      <c r="H108" s="17"/>
    </row>
    <row r="109" spans="1:12" x14ac:dyDescent="0.3">
      <c r="A109" s="302"/>
      <c r="B109" s="302"/>
      <c r="C109" s="302"/>
      <c r="D109" s="302"/>
      <c r="E109" s="302"/>
      <c r="F109" s="302"/>
      <c r="G109" s="39"/>
      <c r="H109" s="17"/>
    </row>
    <row r="110" spans="1:12" x14ac:dyDescent="0.3">
      <c r="A110" s="302"/>
      <c r="B110" s="302"/>
      <c r="C110" s="302"/>
      <c r="D110" s="302"/>
      <c r="E110" s="302"/>
      <c r="F110" s="302"/>
      <c r="G110" s="39"/>
      <c r="H110" s="1"/>
      <c r="I110" s="1"/>
      <c r="J110" s="1"/>
      <c r="K110" s="1"/>
      <c r="L110" s="1"/>
    </row>
    <row r="111" spans="1:12" x14ac:dyDescent="0.3">
      <c r="A111" s="40"/>
      <c r="B111" s="305"/>
      <c r="C111" s="305"/>
      <c r="D111" s="305"/>
      <c r="E111" s="305"/>
      <c r="F111" s="17"/>
      <c r="G111" s="17"/>
      <c r="H111" s="40"/>
    </row>
    <row r="112" spans="1:12" x14ac:dyDescent="0.3">
      <c r="A112" s="16"/>
      <c r="H112" s="40"/>
    </row>
    <row r="113" spans="1:12" x14ac:dyDescent="0.3">
      <c r="A113" s="285"/>
      <c r="B113" s="285"/>
      <c r="C113" s="285"/>
      <c r="D113" s="285"/>
      <c r="E113" s="285"/>
      <c r="F113" s="285"/>
      <c r="G113" s="25"/>
      <c r="H113" s="40"/>
    </row>
    <row r="114" spans="1:12" x14ac:dyDescent="0.3">
      <c r="A114" s="16"/>
      <c r="B114" s="285"/>
      <c r="C114" s="285"/>
      <c r="D114" s="285"/>
      <c r="E114" s="285"/>
      <c r="H114" s="40"/>
    </row>
    <row r="115" spans="1:12" x14ac:dyDescent="0.3">
      <c r="H115" s="40"/>
    </row>
    <row r="116" spans="1:12" x14ac:dyDescent="0.3">
      <c r="A116" s="17"/>
      <c r="H116" s="17"/>
    </row>
    <row r="117" spans="1:12" x14ac:dyDescent="0.3">
      <c r="A117" s="17"/>
      <c r="H117" s="17"/>
    </row>
    <row r="118" spans="1:12" x14ac:dyDescent="0.3">
      <c r="A118" s="340"/>
      <c r="B118" s="341"/>
      <c r="C118" s="341"/>
      <c r="D118" s="341"/>
      <c r="E118" s="341"/>
      <c r="F118" s="341"/>
      <c r="G118" s="341"/>
      <c r="H118" s="341"/>
      <c r="I118" s="341"/>
      <c r="J118" s="341"/>
      <c r="K118" s="341"/>
      <c r="L118" s="341"/>
    </row>
    <row r="119" spans="1:12" x14ac:dyDescent="0.3">
      <c r="A119" s="340"/>
      <c r="B119" s="341"/>
      <c r="C119" s="341"/>
      <c r="D119" s="341"/>
      <c r="E119" s="341"/>
      <c r="F119" s="341"/>
      <c r="G119" s="341"/>
      <c r="H119" s="341"/>
      <c r="I119" s="341"/>
      <c r="J119" s="341"/>
      <c r="K119" s="341"/>
      <c r="L119" s="341"/>
    </row>
    <row r="120" spans="1:12" x14ac:dyDescent="0.3">
      <c r="A120" s="1"/>
      <c r="B120" s="5"/>
      <c r="C120" s="5"/>
      <c r="D120" s="5"/>
      <c r="E120" s="5"/>
      <c r="F120" s="5"/>
      <c r="G120" s="5"/>
      <c r="H120" s="5"/>
      <c r="I120" s="5"/>
      <c r="J120" s="41"/>
      <c r="K120" s="41"/>
      <c r="L120" s="41"/>
    </row>
    <row r="121" spans="1:12" x14ac:dyDescent="0.3">
      <c r="A121" s="17"/>
    </row>
    <row r="122" spans="1:12" x14ac:dyDescent="0.3">
      <c r="B122" s="16"/>
      <c r="C122" s="16"/>
      <c r="D122" s="16"/>
      <c r="E122" s="16"/>
      <c r="F122" s="16"/>
      <c r="G122" s="16"/>
      <c r="H122" s="16"/>
      <c r="I122" s="16"/>
      <c r="J122" s="16"/>
      <c r="K122" s="16"/>
      <c r="L122" s="16"/>
    </row>
    <row r="123" spans="1:12" x14ac:dyDescent="0.3">
      <c r="B123" s="16"/>
      <c r="C123" s="16"/>
      <c r="D123" s="16"/>
      <c r="E123" s="16"/>
      <c r="F123" s="16"/>
      <c r="G123" s="16"/>
      <c r="H123" s="16"/>
      <c r="I123" s="16"/>
      <c r="J123" s="16"/>
      <c r="K123" s="16"/>
      <c r="L123" s="16"/>
    </row>
    <row r="124" spans="1:12" x14ac:dyDescent="0.3">
      <c r="B124" s="16"/>
      <c r="C124" s="16"/>
      <c r="D124" s="16"/>
      <c r="E124" s="16"/>
      <c r="F124" s="16"/>
      <c r="G124" s="16"/>
      <c r="H124" s="16"/>
      <c r="I124" s="16"/>
      <c r="J124" s="16"/>
      <c r="K124" s="16"/>
      <c r="L124" s="16"/>
    </row>
    <row r="125" spans="1:12" x14ac:dyDescent="0.3">
      <c r="B125" s="16"/>
      <c r="C125" s="16"/>
      <c r="D125" s="16"/>
      <c r="E125" s="16"/>
      <c r="F125" s="16"/>
      <c r="G125" s="16"/>
      <c r="H125" s="16"/>
      <c r="I125" s="16"/>
      <c r="J125" s="16"/>
      <c r="K125" s="16"/>
      <c r="L125" s="16"/>
    </row>
    <row r="126" spans="1:12" x14ac:dyDescent="0.3">
      <c r="B126" s="16"/>
      <c r="C126" s="16"/>
      <c r="D126" s="16"/>
      <c r="E126" s="16"/>
      <c r="F126" s="16"/>
      <c r="G126" s="16"/>
      <c r="H126" s="16"/>
      <c r="I126" s="16"/>
      <c r="J126" s="16"/>
      <c r="K126" s="16"/>
      <c r="L126" s="16"/>
    </row>
    <row r="127" spans="1:12" x14ac:dyDescent="0.3">
      <c r="B127" s="16"/>
      <c r="C127" s="16"/>
      <c r="D127" s="16"/>
      <c r="E127" s="16"/>
      <c r="F127" s="16"/>
      <c r="G127" s="16"/>
      <c r="H127" s="16"/>
      <c r="I127" s="16"/>
      <c r="J127" s="16"/>
      <c r="K127" s="16"/>
      <c r="L127" s="16"/>
    </row>
    <row r="128" spans="1:12" x14ac:dyDescent="0.3">
      <c r="B128" s="16"/>
      <c r="C128" s="16"/>
      <c r="D128" s="16"/>
      <c r="E128" s="16"/>
      <c r="F128" s="16"/>
      <c r="G128" s="16"/>
      <c r="H128" s="16"/>
      <c r="I128" s="16"/>
      <c r="J128" s="16"/>
      <c r="K128" s="16"/>
      <c r="L128" s="16"/>
    </row>
    <row r="129" spans="2:12" x14ac:dyDescent="0.3">
      <c r="B129" s="16"/>
      <c r="C129" s="16"/>
      <c r="D129" s="16"/>
      <c r="E129" s="16"/>
      <c r="F129" s="16"/>
      <c r="G129" s="16"/>
      <c r="H129" s="16"/>
      <c r="I129" s="16"/>
      <c r="J129" s="16"/>
      <c r="K129" s="16"/>
      <c r="L129" s="16"/>
    </row>
    <row r="130" spans="2:12" x14ac:dyDescent="0.3">
      <c r="B130" s="16"/>
      <c r="C130" s="16"/>
      <c r="D130" s="16"/>
      <c r="E130" s="16"/>
      <c r="F130" s="16"/>
      <c r="G130" s="16"/>
      <c r="H130" s="16"/>
      <c r="I130" s="16"/>
      <c r="J130" s="16"/>
      <c r="K130" s="16"/>
      <c r="L130" s="16"/>
    </row>
    <row r="131" spans="2:12" x14ac:dyDescent="0.3">
      <c r="B131" s="16"/>
      <c r="C131" s="16"/>
      <c r="D131" s="16"/>
      <c r="E131" s="16"/>
      <c r="F131" s="16"/>
      <c r="G131" s="16"/>
      <c r="H131" s="16"/>
      <c r="I131" s="16"/>
      <c r="J131" s="16"/>
      <c r="K131" s="16"/>
      <c r="L131" s="16"/>
    </row>
    <row r="132" spans="2:12" x14ac:dyDescent="0.3">
      <c r="B132" s="16"/>
      <c r="C132" s="16"/>
      <c r="D132" s="16"/>
      <c r="E132" s="16"/>
      <c r="F132" s="16"/>
      <c r="G132" s="16"/>
      <c r="H132" s="16"/>
      <c r="I132" s="16"/>
      <c r="J132" s="16"/>
      <c r="K132" s="16"/>
      <c r="L132" s="16"/>
    </row>
    <row r="133" spans="2:12" x14ac:dyDescent="0.3">
      <c r="B133" s="16"/>
      <c r="C133" s="16"/>
      <c r="D133" s="16"/>
      <c r="E133" s="16"/>
      <c r="F133" s="16"/>
      <c r="G133" s="16"/>
      <c r="H133" s="16"/>
      <c r="I133" s="16"/>
      <c r="J133" s="16"/>
      <c r="K133" s="16"/>
      <c r="L133" s="16"/>
    </row>
    <row r="134" spans="2:12" x14ac:dyDescent="0.3">
      <c r="B134" s="16"/>
      <c r="C134" s="16"/>
      <c r="D134" s="16"/>
      <c r="E134" s="16"/>
      <c r="F134" s="16"/>
      <c r="G134" s="16"/>
      <c r="H134" s="16"/>
      <c r="I134" s="16"/>
      <c r="J134" s="16"/>
      <c r="K134" s="16"/>
      <c r="L134" s="16"/>
    </row>
    <row r="135" spans="2:12" x14ac:dyDescent="0.3">
      <c r="B135" s="16"/>
      <c r="C135" s="16"/>
      <c r="D135" s="16"/>
      <c r="E135" s="16"/>
      <c r="F135" s="16"/>
      <c r="G135" s="16"/>
      <c r="H135" s="16"/>
      <c r="I135" s="16"/>
      <c r="J135" s="16"/>
      <c r="K135" s="16"/>
      <c r="L135" s="16"/>
    </row>
    <row r="136" spans="2:12" x14ac:dyDescent="0.3">
      <c r="B136" s="16"/>
      <c r="C136" s="16"/>
      <c r="D136" s="16"/>
      <c r="E136" s="16"/>
      <c r="F136" s="16"/>
      <c r="G136" s="16"/>
      <c r="H136" s="16"/>
      <c r="I136" s="16"/>
      <c r="J136" s="16"/>
      <c r="K136" s="16"/>
      <c r="L136" s="16"/>
    </row>
    <row r="137" spans="2:12" x14ac:dyDescent="0.3">
      <c r="B137" s="16"/>
      <c r="C137" s="16"/>
      <c r="D137" s="16"/>
      <c r="E137" s="16"/>
      <c r="F137" s="16"/>
      <c r="G137" s="16"/>
      <c r="H137" s="16"/>
      <c r="I137" s="16"/>
      <c r="J137" s="16"/>
      <c r="K137" s="16"/>
      <c r="L137" s="16"/>
    </row>
    <row r="138" spans="2:12" x14ac:dyDescent="0.3">
      <c r="B138" s="16"/>
      <c r="C138" s="16"/>
      <c r="D138" s="16"/>
      <c r="E138" s="16"/>
      <c r="F138" s="16"/>
      <c r="G138" s="16"/>
      <c r="H138" s="16"/>
      <c r="I138" s="16"/>
      <c r="J138" s="16"/>
      <c r="K138" s="16"/>
      <c r="L138" s="16"/>
    </row>
    <row r="139" spans="2:12" x14ac:dyDescent="0.3">
      <c r="B139" s="16"/>
      <c r="C139" s="16"/>
      <c r="D139" s="16"/>
      <c r="E139" s="16"/>
      <c r="F139" s="16"/>
      <c r="G139" s="16"/>
      <c r="H139" s="16"/>
      <c r="I139" s="16"/>
      <c r="J139" s="16"/>
      <c r="K139" s="16"/>
      <c r="L139" s="16"/>
    </row>
    <row r="140" spans="2:12" x14ac:dyDescent="0.3">
      <c r="B140" s="16"/>
      <c r="C140" s="16"/>
      <c r="D140" s="16"/>
      <c r="E140" s="16"/>
      <c r="F140" s="16"/>
      <c r="G140" s="16"/>
      <c r="H140" s="16"/>
      <c r="I140" s="16"/>
      <c r="J140" s="16"/>
      <c r="K140" s="16"/>
      <c r="L140" s="16"/>
    </row>
    <row r="141" spans="2:12" x14ac:dyDescent="0.3">
      <c r="B141" s="16"/>
      <c r="C141" s="16"/>
      <c r="D141" s="16"/>
      <c r="E141" s="16"/>
      <c r="F141" s="16"/>
      <c r="G141" s="16"/>
      <c r="H141" s="16"/>
      <c r="I141" s="16"/>
      <c r="J141" s="16"/>
      <c r="K141" s="16"/>
      <c r="L141" s="16"/>
    </row>
    <row r="142" spans="2:12" x14ac:dyDescent="0.3">
      <c r="B142" s="16"/>
      <c r="C142" s="16"/>
      <c r="D142" s="16"/>
      <c r="E142" s="16"/>
      <c r="F142" s="16"/>
      <c r="G142" s="16"/>
      <c r="H142" s="16"/>
      <c r="I142" s="16"/>
      <c r="J142" s="16"/>
      <c r="K142" s="16"/>
      <c r="L142" s="16"/>
    </row>
    <row r="143" spans="2:12" x14ac:dyDescent="0.3">
      <c r="B143" s="16"/>
      <c r="C143" s="16"/>
      <c r="D143" s="16"/>
      <c r="E143" s="16"/>
      <c r="F143" s="16"/>
      <c r="G143" s="16"/>
      <c r="H143" s="16"/>
      <c r="I143" s="16"/>
      <c r="J143" s="16"/>
      <c r="K143" s="16"/>
      <c r="L143" s="16"/>
    </row>
    <row r="144" spans="2:12" x14ac:dyDescent="0.3">
      <c r="B144" s="16"/>
      <c r="C144" s="16"/>
      <c r="D144" s="16"/>
      <c r="E144" s="16"/>
      <c r="F144" s="16"/>
      <c r="G144" s="16"/>
      <c r="H144" s="16"/>
      <c r="I144" s="16"/>
      <c r="J144" s="16"/>
      <c r="K144" s="16"/>
      <c r="L144" s="16"/>
    </row>
    <row r="145" spans="2:12" x14ac:dyDescent="0.3">
      <c r="B145" s="16"/>
      <c r="C145" s="16"/>
      <c r="D145" s="16"/>
      <c r="E145" s="16"/>
      <c r="F145" s="16"/>
      <c r="G145" s="16"/>
      <c r="H145" s="16"/>
      <c r="I145" s="16"/>
      <c r="J145" s="16"/>
      <c r="K145" s="16"/>
      <c r="L145" s="16"/>
    </row>
    <row r="146" spans="2:12" x14ac:dyDescent="0.3">
      <c r="B146" s="16"/>
      <c r="C146" s="16"/>
      <c r="D146" s="16"/>
      <c r="E146" s="16"/>
      <c r="F146" s="16"/>
      <c r="G146" s="16"/>
      <c r="H146" s="16"/>
      <c r="I146" s="16"/>
      <c r="J146" s="16"/>
      <c r="K146" s="16"/>
      <c r="L146" s="16"/>
    </row>
    <row r="147" spans="2:12" x14ac:dyDescent="0.3">
      <c r="B147" s="16"/>
      <c r="C147" s="16"/>
      <c r="D147" s="16"/>
      <c r="E147" s="16"/>
      <c r="F147" s="16"/>
      <c r="G147" s="16"/>
      <c r="H147" s="16"/>
      <c r="I147" s="16"/>
      <c r="J147" s="16"/>
      <c r="K147" s="16"/>
      <c r="L147" s="16"/>
    </row>
    <row r="148" spans="2:12" x14ac:dyDescent="0.3">
      <c r="B148" s="16"/>
      <c r="C148" s="16"/>
      <c r="D148" s="16"/>
      <c r="E148" s="16"/>
      <c r="F148" s="16"/>
      <c r="G148" s="16"/>
      <c r="H148" s="16"/>
      <c r="I148" s="16"/>
      <c r="J148" s="16"/>
      <c r="K148" s="16"/>
      <c r="L148" s="16"/>
    </row>
    <row r="149" spans="2:12" x14ac:dyDescent="0.3">
      <c r="B149" s="16"/>
      <c r="C149" s="16"/>
      <c r="D149" s="16"/>
      <c r="E149" s="16"/>
      <c r="F149" s="16"/>
      <c r="G149" s="16"/>
      <c r="H149" s="16"/>
      <c r="I149" s="16"/>
      <c r="J149" s="16"/>
      <c r="K149" s="16"/>
      <c r="L149" s="16"/>
    </row>
    <row r="150" spans="2:12" x14ac:dyDescent="0.3">
      <c r="B150" s="16"/>
      <c r="C150" s="16"/>
      <c r="D150" s="16"/>
      <c r="E150" s="16"/>
      <c r="F150" s="16"/>
      <c r="G150" s="16"/>
      <c r="H150" s="16"/>
      <c r="I150" s="16"/>
      <c r="J150" s="16"/>
      <c r="K150" s="16"/>
      <c r="L150" s="16"/>
    </row>
    <row r="151" spans="2:12" x14ac:dyDescent="0.3">
      <c r="B151" s="16"/>
      <c r="C151" s="16"/>
      <c r="D151" s="16"/>
      <c r="E151" s="16"/>
      <c r="F151" s="16"/>
      <c r="G151" s="16"/>
      <c r="H151" s="16"/>
      <c r="I151" s="16"/>
      <c r="J151" s="16"/>
      <c r="K151" s="16"/>
      <c r="L151" s="16"/>
    </row>
    <row r="154" spans="2:12" x14ac:dyDescent="0.3">
      <c r="B154" s="16"/>
      <c r="C154" s="16"/>
      <c r="D154" s="16"/>
      <c r="E154" s="16"/>
      <c r="F154" s="16"/>
      <c r="G154" s="16"/>
      <c r="H154" s="16"/>
      <c r="I154" s="16"/>
      <c r="J154" s="16"/>
      <c r="K154" s="16"/>
      <c r="L154" s="16"/>
    </row>
    <row r="161" spans="8:11" x14ac:dyDescent="0.3">
      <c r="H161" s="335"/>
      <c r="I161" s="335"/>
      <c r="J161" s="335"/>
      <c r="K161" s="335"/>
    </row>
    <row r="162" spans="8:11" x14ac:dyDescent="0.3">
      <c r="H162" s="335"/>
      <c r="I162" s="335"/>
      <c r="J162" s="335"/>
      <c r="K162" s="335"/>
    </row>
  </sheetData>
  <mergeCells count="64">
    <mergeCell ref="A53:F53"/>
    <mergeCell ref="C25:F26"/>
    <mergeCell ref="I25:J26"/>
    <mergeCell ref="C29:F30"/>
    <mergeCell ref="B19:F19"/>
    <mergeCell ref="J19:L19"/>
    <mergeCell ref="B20:F20"/>
    <mergeCell ref="J20:L20"/>
    <mergeCell ref="B21:F21"/>
    <mergeCell ref="J21:L21"/>
    <mergeCell ref="H39:K39"/>
    <mergeCell ref="J47:L47"/>
    <mergeCell ref="A49:F49"/>
    <mergeCell ref="A50:F50"/>
    <mergeCell ref="B51:E51"/>
    <mergeCell ref="I29:K29"/>
    <mergeCell ref="A118:A119"/>
    <mergeCell ref="B118:I119"/>
    <mergeCell ref="J118:L119"/>
    <mergeCell ref="J58:L59"/>
    <mergeCell ref="H101:K101"/>
    <mergeCell ref="H102:K102"/>
    <mergeCell ref="H161:K161"/>
    <mergeCell ref="H162:K162"/>
    <mergeCell ref="B18:F18"/>
    <mergeCell ref="B22:F22"/>
    <mergeCell ref="J22:L22"/>
    <mergeCell ref="B23:F23"/>
    <mergeCell ref="J23:L23"/>
    <mergeCell ref="J107:L107"/>
    <mergeCell ref="A109:F109"/>
    <mergeCell ref="A110:F110"/>
    <mergeCell ref="B111:E111"/>
    <mergeCell ref="A113:F113"/>
    <mergeCell ref="B114:E114"/>
    <mergeCell ref="B54:E54"/>
    <mergeCell ref="A58:A59"/>
    <mergeCell ref="B58:I59"/>
    <mergeCell ref="H36:K36"/>
    <mergeCell ref="H38:K38"/>
    <mergeCell ref="H37:K37"/>
    <mergeCell ref="H21:I21"/>
    <mergeCell ref="H22:I22"/>
    <mergeCell ref="H23:I23"/>
    <mergeCell ref="H18:I18"/>
    <mergeCell ref="J18:L18"/>
    <mergeCell ref="H19:I19"/>
    <mergeCell ref="H20:I20"/>
    <mergeCell ref="A14:A17"/>
    <mergeCell ref="B14:F17"/>
    <mergeCell ref="H14:I17"/>
    <mergeCell ref="G14:G17"/>
    <mergeCell ref="J14:L17"/>
    <mergeCell ref="J1:L1"/>
    <mergeCell ref="A3:F3"/>
    <mergeCell ref="H5:L5"/>
    <mergeCell ref="A7:G7"/>
    <mergeCell ref="A4:G4"/>
    <mergeCell ref="A5:G5"/>
    <mergeCell ref="B8:E8"/>
    <mergeCell ref="H8:L8"/>
    <mergeCell ref="B11:D11"/>
    <mergeCell ref="E11:H12"/>
    <mergeCell ref="I11:L12"/>
  </mergeCells>
  <dataValidations count="1">
    <dataValidation type="list" allowBlank="1" showInputMessage="1" showErrorMessage="1" sqref="A18:A23" xr:uid="{F1448FD0-3055-441D-8236-53DC8EC3F1E8}">
      <formula1>ITEMNO</formula1>
    </dataValidation>
  </dataValidations>
  <hyperlinks>
    <hyperlink ref="I11" r:id="rId1" xr:uid="{9923F1E0-11AB-40D2-927E-495EC65D0A4F}"/>
  </hyperlinks>
  <pageMargins left="0.7" right="0.7" top="0.75" bottom="0.75" header="0.3" footer="0.3"/>
  <pageSetup paperSize="9" scale="84" orientation="portrait" verticalDpi="0" r:id="rId2"/>
  <rowBreaks count="1" manualBreakCount="1">
    <brk id="40"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47BCC-3F1E-4F4E-BF64-7F744F08C337}">
  <sheetPr>
    <tabColor theme="7" tint="0.39997558519241921"/>
  </sheetPr>
  <dimension ref="A1:L162"/>
  <sheetViews>
    <sheetView topLeftCell="A18" zoomScale="55" zoomScaleNormal="55" workbookViewId="0">
      <selection activeCell="H18" sqref="H18:I18"/>
    </sheetView>
  </sheetViews>
  <sheetFormatPr defaultRowHeight="14.4" x14ac:dyDescent="0.3"/>
  <cols>
    <col min="6" max="6" width="3.5546875" customWidth="1"/>
    <col min="7" max="7" width="13.6640625" hidden="1" customWidth="1"/>
    <col min="9" max="9" width="10.33203125" customWidth="1"/>
    <col min="12" max="12" width="13.88671875" customWidth="1"/>
  </cols>
  <sheetData>
    <row r="1" spans="1:12" x14ac:dyDescent="0.3">
      <c r="A1" s="4" t="s">
        <v>572</v>
      </c>
      <c r="B1" s="4"/>
      <c r="C1" s="4"/>
      <c r="D1" s="4"/>
      <c r="E1" s="4"/>
      <c r="F1" s="4"/>
      <c r="G1" s="4"/>
      <c r="H1" s="4"/>
      <c r="I1" s="4"/>
      <c r="J1" s="293" t="s">
        <v>573</v>
      </c>
      <c r="K1" s="293"/>
      <c r="L1" s="293"/>
    </row>
    <row r="2" spans="1:12" x14ac:dyDescent="0.3">
      <c r="A2" s="70" t="s">
        <v>574</v>
      </c>
      <c r="B2" s="4"/>
      <c r="C2" s="4"/>
      <c r="D2" s="4"/>
      <c r="E2" s="4"/>
      <c r="F2" s="4"/>
      <c r="G2" s="4"/>
      <c r="H2" s="71"/>
      <c r="I2" s="4"/>
      <c r="J2" s="4"/>
      <c r="K2" s="4"/>
      <c r="L2" s="4"/>
    </row>
    <row r="3" spans="1:12" x14ac:dyDescent="0.3">
      <c r="A3" s="294"/>
      <c r="B3" s="295"/>
      <c r="C3" s="295"/>
      <c r="D3" s="295"/>
      <c r="E3" s="295"/>
      <c r="F3" s="295"/>
      <c r="G3" s="48"/>
      <c r="H3" s="44" t="s">
        <v>575</v>
      </c>
      <c r="I3" s="18"/>
      <c r="J3" s="18"/>
      <c r="K3" s="18"/>
      <c r="L3" s="19"/>
    </row>
    <row r="4" spans="1:12" x14ac:dyDescent="0.3">
      <c r="A4" s="301" t="s">
        <v>576</v>
      </c>
      <c r="B4" s="302"/>
      <c r="C4" s="302"/>
      <c r="D4" s="302"/>
      <c r="E4" s="302"/>
      <c r="F4" s="302"/>
      <c r="G4" s="303"/>
      <c r="H4" s="1"/>
      <c r="I4" s="1"/>
      <c r="J4" s="1"/>
      <c r="K4" s="1"/>
      <c r="L4" s="20"/>
    </row>
    <row r="5" spans="1:12" x14ac:dyDescent="0.3">
      <c r="A5" s="304" t="s">
        <v>577</v>
      </c>
      <c r="B5" s="305"/>
      <c r="C5" s="305"/>
      <c r="D5" s="305"/>
      <c r="E5" s="305"/>
      <c r="F5" s="305"/>
      <c r="G5" s="306"/>
      <c r="H5" s="296" t="s">
        <v>578</v>
      </c>
      <c r="I5" s="297"/>
      <c r="J5" s="297"/>
      <c r="K5" s="297"/>
      <c r="L5" s="297"/>
    </row>
    <row r="6" spans="1:12" x14ac:dyDescent="0.3">
      <c r="A6" s="49"/>
      <c r="G6" s="50"/>
      <c r="H6" s="45"/>
      <c r="I6" s="23"/>
      <c r="J6" s="23"/>
      <c r="K6" s="23"/>
      <c r="L6" s="24"/>
    </row>
    <row r="7" spans="1:12" x14ac:dyDescent="0.3">
      <c r="A7" s="298" t="s">
        <v>579</v>
      </c>
      <c r="B7" s="299"/>
      <c r="C7" s="299"/>
      <c r="D7" s="299"/>
      <c r="E7" s="299"/>
      <c r="F7" s="299"/>
      <c r="G7" s="300"/>
      <c r="H7" s="46" t="s">
        <v>580</v>
      </c>
      <c r="I7" s="18"/>
      <c r="J7" s="18"/>
      <c r="K7" s="18"/>
      <c r="L7" s="19"/>
    </row>
    <row r="8" spans="1:12" x14ac:dyDescent="0.3">
      <c r="A8" s="49"/>
      <c r="B8" s="285"/>
      <c r="C8" s="285"/>
      <c r="D8" s="285"/>
      <c r="E8" s="285"/>
      <c r="G8" s="50"/>
      <c r="H8" s="286" t="s">
        <v>581</v>
      </c>
      <c r="I8" s="286"/>
      <c r="J8" s="286"/>
      <c r="K8" s="286"/>
      <c r="L8" s="286"/>
    </row>
    <row r="9" spans="1:12" x14ac:dyDescent="0.3">
      <c r="A9" s="51"/>
      <c r="B9" s="52"/>
      <c r="C9" s="52"/>
      <c r="D9" s="52"/>
      <c r="E9" s="52"/>
      <c r="F9" s="52"/>
      <c r="G9" s="53"/>
      <c r="H9" s="45"/>
      <c r="L9" s="26"/>
    </row>
    <row r="10" spans="1:12" x14ac:dyDescent="0.3">
      <c r="A10" s="54" t="s">
        <v>582</v>
      </c>
      <c r="B10" s="55"/>
      <c r="C10" s="55"/>
      <c r="D10" s="56"/>
      <c r="E10" s="47" t="s">
        <v>583</v>
      </c>
      <c r="F10" s="47"/>
      <c r="G10" s="47"/>
      <c r="H10" s="28"/>
      <c r="I10" s="61" t="s">
        <v>584</v>
      </c>
      <c r="J10" s="62"/>
      <c r="K10" s="62"/>
      <c r="L10" s="63"/>
    </row>
    <row r="11" spans="1:12" x14ac:dyDescent="0.3">
      <c r="A11" s="57"/>
      <c r="B11" s="287">
        <v>45353</v>
      </c>
      <c r="C11" s="287"/>
      <c r="D11" s="288"/>
      <c r="E11" s="289" t="s">
        <v>585</v>
      </c>
      <c r="F11" s="290"/>
      <c r="G11" s="290"/>
      <c r="H11" s="290"/>
      <c r="I11" s="291" t="s">
        <v>586</v>
      </c>
      <c r="J11" s="292"/>
      <c r="K11" s="292"/>
      <c r="L11" s="292"/>
    </row>
    <row r="12" spans="1:12" x14ac:dyDescent="0.3">
      <c r="A12" s="58"/>
      <c r="B12" s="59"/>
      <c r="C12" s="59"/>
      <c r="D12" s="60"/>
      <c r="E12" s="289"/>
      <c r="F12" s="290"/>
      <c r="G12" s="290"/>
      <c r="H12" s="290"/>
      <c r="I12" s="292"/>
      <c r="J12" s="292"/>
      <c r="K12" s="292"/>
      <c r="L12" s="292"/>
    </row>
    <row r="13" spans="1:12" x14ac:dyDescent="0.3">
      <c r="A13" s="29"/>
      <c r="B13" s="47"/>
      <c r="C13" s="47"/>
      <c r="D13" s="87"/>
      <c r="E13" s="47"/>
      <c r="F13" s="47"/>
      <c r="G13" s="47"/>
      <c r="H13" s="47"/>
      <c r="I13" s="86"/>
      <c r="J13" s="30"/>
      <c r="K13" s="30"/>
      <c r="L13" s="31"/>
    </row>
    <row r="14" spans="1:12" x14ac:dyDescent="0.3">
      <c r="A14" s="311" t="s">
        <v>587</v>
      </c>
      <c r="B14" s="313" t="s">
        <v>588</v>
      </c>
      <c r="C14" s="314"/>
      <c r="D14" s="314"/>
      <c r="E14" s="314"/>
      <c r="F14" s="314"/>
      <c r="G14" s="325" t="s">
        <v>589</v>
      </c>
      <c r="H14" s="319" t="s">
        <v>8</v>
      </c>
      <c r="I14" s="320"/>
      <c r="J14" s="328" t="s">
        <v>590</v>
      </c>
      <c r="K14" s="328"/>
      <c r="L14" s="329"/>
    </row>
    <row r="15" spans="1:12" x14ac:dyDescent="0.3">
      <c r="A15" s="311"/>
      <c r="B15" s="315"/>
      <c r="C15" s="316"/>
      <c r="D15" s="316"/>
      <c r="E15" s="316"/>
      <c r="F15" s="316"/>
      <c r="G15" s="326"/>
      <c r="H15" s="321"/>
      <c r="I15" s="322"/>
      <c r="J15" s="330"/>
      <c r="K15" s="330"/>
      <c r="L15" s="331"/>
    </row>
    <row r="16" spans="1:12" x14ac:dyDescent="0.3">
      <c r="A16" s="311"/>
      <c r="B16" s="315"/>
      <c r="C16" s="316"/>
      <c r="D16" s="316"/>
      <c r="E16" s="316"/>
      <c r="F16" s="316"/>
      <c r="G16" s="326"/>
      <c r="H16" s="321"/>
      <c r="I16" s="322"/>
      <c r="J16" s="330"/>
      <c r="K16" s="330"/>
      <c r="L16" s="331"/>
    </row>
    <row r="17" spans="1:12" ht="3.6" customHeight="1" x14ac:dyDescent="0.3">
      <c r="A17" s="312"/>
      <c r="B17" s="317"/>
      <c r="C17" s="318"/>
      <c r="D17" s="318"/>
      <c r="E17" s="318"/>
      <c r="F17" s="318"/>
      <c r="G17" s="327"/>
      <c r="H17" s="323"/>
      <c r="I17" s="324"/>
      <c r="J17" s="332"/>
      <c r="K17" s="332"/>
      <c r="L17" s="333"/>
    </row>
    <row r="18" spans="1:12" ht="66.599999999999994" customHeight="1" x14ac:dyDescent="0.3">
      <c r="A18" s="93">
        <v>26</v>
      </c>
      <c r="B18" s="337" t="str">
        <f t="shared" ref="B18:B23" si="0">IFERROR(VLOOKUP(A18,DESCRIP,2,0),"-")</f>
        <v>REPORTS
-OTHERS (Batch Balance Sheet)</v>
      </c>
      <c r="C18" s="338"/>
      <c r="D18" s="338"/>
      <c r="E18" s="338"/>
      <c r="F18" s="338"/>
      <c r="G18" s="94" t="s">
        <v>591</v>
      </c>
      <c r="H18" s="307">
        <v>2012</v>
      </c>
      <c r="I18" s="307"/>
      <c r="J18" s="308" t="str">
        <f t="shared" ref="J18:J23" si="1">IFERROR(VLOOKUP(A18,DESCRIP,3,0),"-")</f>
        <v xml:space="preserve">2 YEARS INCORPORATED IN THE ANNUAL REPORT
</v>
      </c>
      <c r="K18" s="308"/>
      <c r="L18" s="309"/>
    </row>
    <row r="19" spans="1:12" ht="66.599999999999994" customHeight="1" x14ac:dyDescent="0.3">
      <c r="A19" s="93">
        <v>74</v>
      </c>
      <c r="B19" s="337" t="str">
        <f t="shared" si="0"/>
        <v>OFFICIAL RECEIPTS</v>
      </c>
      <c r="C19" s="338"/>
      <c r="D19" s="338"/>
      <c r="E19" s="338"/>
      <c r="F19" s="338"/>
      <c r="G19" s="94"/>
      <c r="H19" s="310" t="s">
        <v>611</v>
      </c>
      <c r="I19" s="310"/>
      <c r="J19" s="308" t="str">
        <f t="shared" si="1"/>
        <v xml:space="preserve">10 YEARS POST- AUDITED FINALLY SETTLED AND NOT INVOLVED IN ANY CASE
</v>
      </c>
      <c r="K19" s="308"/>
      <c r="L19" s="309"/>
    </row>
    <row r="20" spans="1:12" ht="66.599999999999994" customHeight="1" x14ac:dyDescent="0.3">
      <c r="A20" s="95" t="s">
        <v>22</v>
      </c>
      <c r="B20" s="337" t="str">
        <f t="shared" si="0"/>
        <v>APPLICATIONS (RD,RO,EC MED, RF, MAT, SO, RR, SS, PLP, ACOP)</v>
      </c>
      <c r="C20" s="338"/>
      <c r="D20" s="338"/>
      <c r="E20" s="338"/>
      <c r="F20" s="338"/>
      <c r="G20" s="94"/>
      <c r="H20" s="310" t="s">
        <v>612</v>
      </c>
      <c r="I20" s="310"/>
      <c r="J20" s="308" t="str">
        <f t="shared" si="1"/>
        <v>1 YEAR</v>
      </c>
      <c r="K20" s="308"/>
      <c r="L20" s="309"/>
    </row>
    <row r="21" spans="1:12" ht="66.599999999999994" customHeight="1" x14ac:dyDescent="0.3">
      <c r="A21" s="95" t="s">
        <v>80</v>
      </c>
      <c r="B21" s="337" t="str">
        <f t="shared" si="0"/>
        <v>EMPLOYEE-MEMBER APPLICATIONS (E1, E4, NW1, OW1, RS1)</v>
      </c>
      <c r="C21" s="338"/>
      <c r="D21" s="338"/>
      <c r="E21" s="338"/>
      <c r="F21" s="338"/>
      <c r="G21" s="94"/>
      <c r="H21" s="310" t="s">
        <v>613</v>
      </c>
      <c r="I21" s="310"/>
      <c r="J21" s="308" t="str">
        <f t="shared" si="1"/>
        <v xml:space="preserve">1 YEAR </v>
      </c>
      <c r="K21" s="308"/>
      <c r="L21" s="309"/>
    </row>
    <row r="22" spans="1:12" ht="66.599999999999994" customHeight="1" x14ac:dyDescent="0.3">
      <c r="A22" s="95" t="s">
        <v>104</v>
      </c>
      <c r="B22" s="337" t="str">
        <f t="shared" si="0"/>
        <v>EMPLOYER-MEMBER APPLICATIONS (R1, R1A, R8)</v>
      </c>
      <c r="C22" s="338"/>
      <c r="D22" s="338"/>
      <c r="E22" s="338"/>
      <c r="F22" s="338"/>
      <c r="G22" s="94"/>
      <c r="H22" s="310" t="s">
        <v>613</v>
      </c>
      <c r="I22" s="310"/>
      <c r="J22" s="308" t="str">
        <f t="shared" si="1"/>
        <v xml:space="preserve">1 YEAR </v>
      </c>
      <c r="K22" s="308"/>
      <c r="L22" s="309"/>
    </row>
    <row r="23" spans="1:12" ht="66.599999999999994" hidden="1" customHeight="1" x14ac:dyDescent="0.3">
      <c r="A23" s="95"/>
      <c r="B23" s="337" t="str">
        <f t="shared" si="0"/>
        <v>-</v>
      </c>
      <c r="C23" s="338"/>
      <c r="D23" s="338"/>
      <c r="E23" s="338"/>
      <c r="F23" s="338"/>
      <c r="G23" s="94"/>
      <c r="H23" s="310" t="s">
        <v>594</v>
      </c>
      <c r="I23" s="310"/>
      <c r="J23" s="308" t="str">
        <f t="shared" si="1"/>
        <v>-</v>
      </c>
      <c r="K23" s="308"/>
      <c r="L23" s="309"/>
    </row>
    <row r="24" spans="1:12" x14ac:dyDescent="0.3">
      <c r="A24" s="33" t="s">
        <v>595</v>
      </c>
      <c r="B24" s="36"/>
      <c r="C24" s="36"/>
      <c r="D24" s="36"/>
      <c r="E24" s="36"/>
      <c r="F24" s="37"/>
      <c r="G24" s="36"/>
      <c r="H24" s="22" t="s">
        <v>596</v>
      </c>
      <c r="I24" s="16"/>
      <c r="J24" s="36"/>
      <c r="K24" s="36"/>
      <c r="L24" s="37"/>
    </row>
    <row r="25" spans="1:12" x14ac:dyDescent="0.3">
      <c r="A25" s="33"/>
      <c r="B25" s="16"/>
      <c r="C25" s="342" t="s">
        <v>597</v>
      </c>
      <c r="D25" s="342"/>
      <c r="E25" s="342"/>
      <c r="F25" s="342"/>
      <c r="G25" s="43"/>
      <c r="H25" s="22"/>
      <c r="I25" s="343" t="s">
        <v>614</v>
      </c>
      <c r="J25" s="343"/>
      <c r="K25" s="16"/>
      <c r="L25" s="32"/>
    </row>
    <row r="26" spans="1:12" x14ac:dyDescent="0.3">
      <c r="A26" s="27"/>
      <c r="B26" s="34"/>
      <c r="C26" s="342"/>
      <c r="D26" s="342"/>
      <c r="E26" s="342"/>
      <c r="F26" s="342"/>
      <c r="G26" s="43"/>
      <c r="H26" s="22"/>
      <c r="I26" s="343"/>
      <c r="J26" s="343"/>
      <c r="K26" s="16"/>
      <c r="L26" s="32"/>
    </row>
    <row r="27" spans="1:12" x14ac:dyDescent="0.3">
      <c r="A27" s="35" t="s">
        <v>599</v>
      </c>
      <c r="B27" s="36"/>
      <c r="C27" s="36"/>
      <c r="D27" s="36"/>
      <c r="E27" s="36"/>
      <c r="F27" s="36"/>
      <c r="G27" s="36"/>
      <c r="H27" s="38" t="s">
        <v>600</v>
      </c>
      <c r="I27" s="36"/>
      <c r="J27" s="36"/>
      <c r="K27" s="36"/>
      <c r="L27" s="37"/>
    </row>
    <row r="28" spans="1:12" x14ac:dyDescent="0.3">
      <c r="A28" s="33"/>
      <c r="B28" s="16"/>
      <c r="C28" s="16"/>
      <c r="D28" s="16"/>
      <c r="E28" s="16"/>
      <c r="F28" s="16"/>
      <c r="G28" s="16"/>
      <c r="H28" s="22"/>
      <c r="I28" s="16"/>
      <c r="J28" s="16"/>
      <c r="K28" s="16"/>
      <c r="L28" s="32"/>
    </row>
    <row r="29" spans="1:12" x14ac:dyDescent="0.3">
      <c r="A29" s="33"/>
      <c r="C29" s="344" t="s">
        <v>601</v>
      </c>
      <c r="D29" s="344"/>
      <c r="E29" s="344"/>
      <c r="F29" s="344"/>
      <c r="G29" s="43"/>
      <c r="H29" s="33"/>
      <c r="I29" s="285" t="s">
        <v>602</v>
      </c>
      <c r="J29" s="285"/>
      <c r="K29" s="285"/>
      <c r="L29" s="32"/>
    </row>
    <row r="30" spans="1:12" ht="1.95" customHeight="1" x14ac:dyDescent="0.3">
      <c r="A30" s="33"/>
      <c r="C30" s="344"/>
      <c r="D30" s="344"/>
      <c r="E30" s="344"/>
      <c r="F30" s="344"/>
      <c r="G30" s="43"/>
      <c r="H30" s="33"/>
      <c r="L30" s="26"/>
    </row>
    <row r="31" spans="1:12" x14ac:dyDescent="0.3">
      <c r="A31" s="35" t="s">
        <v>603</v>
      </c>
      <c r="B31" s="36"/>
      <c r="C31" s="36"/>
      <c r="D31" s="36"/>
      <c r="E31" s="36"/>
      <c r="F31" s="36"/>
      <c r="G31" s="36"/>
      <c r="H31" s="36"/>
      <c r="I31" s="36"/>
      <c r="J31" s="36"/>
      <c r="K31" s="36"/>
      <c r="L31" s="19"/>
    </row>
    <row r="32" spans="1:12" x14ac:dyDescent="0.3">
      <c r="A32" s="33"/>
      <c r="L32" s="32"/>
    </row>
    <row r="33" spans="1:12" x14ac:dyDescent="0.3">
      <c r="A33" s="33"/>
      <c r="C33" t="s">
        <v>604</v>
      </c>
      <c r="L33" s="26"/>
    </row>
    <row r="34" spans="1:12" x14ac:dyDescent="0.3">
      <c r="A34" s="33"/>
      <c r="B34" t="s">
        <v>605</v>
      </c>
      <c r="L34" s="26"/>
    </row>
    <row r="35" spans="1:12" x14ac:dyDescent="0.3">
      <c r="A35" s="33"/>
      <c r="L35" s="26"/>
    </row>
    <row r="36" spans="1:12" x14ac:dyDescent="0.3">
      <c r="A36" s="33"/>
      <c r="H36" s="334" t="s">
        <v>606</v>
      </c>
      <c r="I36" s="334"/>
      <c r="J36" s="334"/>
      <c r="K36" s="334"/>
      <c r="L36" s="26"/>
    </row>
    <row r="37" spans="1:12" x14ac:dyDescent="0.3">
      <c r="A37" s="33"/>
      <c r="H37" s="336" t="s">
        <v>607</v>
      </c>
      <c r="I37" s="336"/>
      <c r="J37" s="336"/>
      <c r="K37" s="336"/>
      <c r="L37" s="26"/>
    </row>
    <row r="38" spans="1:12" x14ac:dyDescent="0.3">
      <c r="A38" s="33"/>
      <c r="H38" s="335" t="s">
        <v>608</v>
      </c>
      <c r="I38" s="335"/>
      <c r="J38" s="335"/>
      <c r="K38" s="335"/>
      <c r="L38" s="26"/>
    </row>
    <row r="39" spans="1:12" x14ac:dyDescent="0.3">
      <c r="A39" s="33"/>
      <c r="H39" s="335" t="s">
        <v>609</v>
      </c>
      <c r="I39" s="335"/>
      <c r="J39" s="335"/>
      <c r="K39" s="335"/>
      <c r="L39" s="26"/>
    </row>
    <row r="40" spans="1:12" x14ac:dyDescent="0.3">
      <c r="A40" s="27"/>
      <c r="B40" s="23"/>
      <c r="C40" s="23"/>
      <c r="D40" s="23"/>
      <c r="E40" s="23"/>
      <c r="F40" s="23"/>
      <c r="G40" s="23"/>
      <c r="H40" s="23"/>
      <c r="I40" s="23"/>
      <c r="J40" s="23"/>
      <c r="K40" s="23"/>
      <c r="L40" s="96" t="s">
        <v>610</v>
      </c>
    </row>
    <row r="42" spans="1:12" x14ac:dyDescent="0.3">
      <c r="A42" t="s">
        <v>615</v>
      </c>
    </row>
    <row r="47" spans="1:12" x14ac:dyDescent="0.3">
      <c r="J47" s="339"/>
      <c r="K47" s="339"/>
      <c r="L47" s="339"/>
    </row>
    <row r="48" spans="1:12" x14ac:dyDescent="0.3">
      <c r="A48" s="16"/>
      <c r="H48" s="17"/>
    </row>
    <row r="49" spans="1:12" x14ac:dyDescent="0.3">
      <c r="A49" s="302"/>
      <c r="B49" s="302"/>
      <c r="C49" s="302"/>
      <c r="D49" s="302"/>
      <c r="E49" s="302"/>
      <c r="F49" s="302"/>
      <c r="G49" s="39"/>
      <c r="H49" s="17"/>
    </row>
    <row r="50" spans="1:12" x14ac:dyDescent="0.3">
      <c r="A50" s="302"/>
      <c r="B50" s="302"/>
      <c r="C50" s="302"/>
      <c r="D50" s="302"/>
      <c r="E50" s="302"/>
      <c r="F50" s="302"/>
      <c r="G50" s="39"/>
      <c r="H50" s="1"/>
      <c r="I50" s="1"/>
      <c r="J50" s="1"/>
      <c r="K50" s="1"/>
      <c r="L50" s="1"/>
    </row>
    <row r="51" spans="1:12" x14ac:dyDescent="0.3">
      <c r="A51" s="40"/>
      <c r="B51" s="305"/>
      <c r="C51" s="305"/>
      <c r="D51" s="305"/>
      <c r="E51" s="305"/>
      <c r="F51" s="17"/>
      <c r="G51" s="17"/>
      <c r="H51" s="40"/>
    </row>
    <row r="52" spans="1:12" x14ac:dyDescent="0.3">
      <c r="A52" s="16"/>
      <c r="H52" s="40"/>
    </row>
    <row r="53" spans="1:12" x14ac:dyDescent="0.3">
      <c r="A53" s="285"/>
      <c r="B53" s="285"/>
      <c r="C53" s="285"/>
      <c r="D53" s="285"/>
      <c r="E53" s="285"/>
      <c r="F53" s="285"/>
      <c r="G53" s="25"/>
      <c r="H53" s="40"/>
    </row>
    <row r="54" spans="1:12" x14ac:dyDescent="0.3">
      <c r="A54" s="16"/>
      <c r="B54" s="285"/>
      <c r="C54" s="285"/>
      <c r="D54" s="285"/>
      <c r="E54" s="285"/>
      <c r="H54" s="40"/>
    </row>
    <row r="55" spans="1:12" x14ac:dyDescent="0.3">
      <c r="H55" s="40"/>
    </row>
    <row r="56" spans="1:12" x14ac:dyDescent="0.3">
      <c r="A56" s="17"/>
      <c r="H56" s="17"/>
    </row>
    <row r="57" spans="1:12" x14ac:dyDescent="0.3">
      <c r="A57" s="17"/>
      <c r="H57" s="17"/>
    </row>
    <row r="58" spans="1:12" x14ac:dyDescent="0.3">
      <c r="A58" s="340"/>
      <c r="B58" s="341"/>
      <c r="C58" s="341"/>
      <c r="D58" s="341"/>
      <c r="E58" s="341"/>
      <c r="F58" s="341"/>
      <c r="G58" s="341"/>
      <c r="H58" s="341"/>
      <c r="I58" s="341"/>
      <c r="J58" s="341"/>
      <c r="K58" s="341"/>
      <c r="L58" s="341"/>
    </row>
    <row r="59" spans="1:12" x14ac:dyDescent="0.3">
      <c r="A59" s="340"/>
      <c r="B59" s="341"/>
      <c r="C59" s="341"/>
      <c r="D59" s="341"/>
      <c r="E59" s="341"/>
      <c r="F59" s="341"/>
      <c r="G59" s="341"/>
      <c r="H59" s="341"/>
      <c r="I59" s="341"/>
      <c r="J59" s="341"/>
      <c r="K59" s="341"/>
      <c r="L59" s="341"/>
    </row>
    <row r="60" spans="1:12" x14ac:dyDescent="0.3">
      <c r="A60" s="1"/>
      <c r="B60" s="42"/>
      <c r="C60" s="5"/>
      <c r="D60" s="5"/>
      <c r="E60" s="5"/>
      <c r="F60" s="5"/>
      <c r="G60" s="5"/>
      <c r="H60" s="5"/>
      <c r="I60" s="5"/>
      <c r="J60" s="41"/>
      <c r="K60" s="41"/>
      <c r="L60" s="41"/>
    </row>
    <row r="61" spans="1:12" x14ac:dyDescent="0.3">
      <c r="A61" s="21"/>
    </row>
    <row r="62" spans="1:12" x14ac:dyDescent="0.3">
      <c r="A62" s="5"/>
      <c r="B62" s="16"/>
      <c r="C62" s="16"/>
      <c r="D62" s="16"/>
      <c r="E62" s="16"/>
      <c r="F62" s="16"/>
      <c r="G62" s="16"/>
      <c r="H62" s="16"/>
      <c r="I62" s="16"/>
      <c r="J62" s="16"/>
      <c r="K62" s="16"/>
      <c r="L62" s="16"/>
    </row>
    <row r="63" spans="1:12" x14ac:dyDescent="0.3">
      <c r="B63" s="16"/>
      <c r="C63" s="16"/>
      <c r="D63" s="16"/>
      <c r="E63" s="16"/>
      <c r="F63" s="16"/>
      <c r="G63" s="16"/>
      <c r="H63" s="16"/>
      <c r="I63" s="16"/>
      <c r="J63" s="16"/>
      <c r="K63" s="16"/>
      <c r="L63" s="16"/>
    </row>
    <row r="64" spans="1:12" x14ac:dyDescent="0.3">
      <c r="B64" s="16"/>
      <c r="C64" s="16"/>
      <c r="D64" s="16"/>
      <c r="E64" s="16"/>
      <c r="F64" s="16"/>
      <c r="G64" s="16"/>
      <c r="H64" s="16"/>
      <c r="I64" s="16"/>
      <c r="J64" s="16"/>
      <c r="K64" s="16"/>
      <c r="L64" s="16"/>
    </row>
    <row r="65" spans="2:12" x14ac:dyDescent="0.3">
      <c r="B65" s="16"/>
      <c r="C65" s="16"/>
      <c r="D65" s="16"/>
      <c r="E65" s="16"/>
      <c r="F65" s="16"/>
      <c r="G65" s="16"/>
      <c r="H65" s="16"/>
      <c r="I65" s="16"/>
      <c r="J65" s="16"/>
      <c r="K65" s="16"/>
      <c r="L65" s="16"/>
    </row>
    <row r="66" spans="2:12" x14ac:dyDescent="0.3">
      <c r="B66" s="16"/>
      <c r="C66" s="16"/>
      <c r="D66" s="16"/>
      <c r="E66" s="16"/>
      <c r="F66" s="16"/>
      <c r="G66" s="16"/>
      <c r="H66" s="16"/>
      <c r="I66" s="16"/>
      <c r="J66" s="16"/>
      <c r="K66" s="16"/>
      <c r="L66" s="16"/>
    </row>
    <row r="67" spans="2:12" x14ac:dyDescent="0.3">
      <c r="B67" s="16"/>
      <c r="C67" s="16"/>
      <c r="D67" s="16"/>
      <c r="E67" s="16"/>
      <c r="F67" s="16"/>
      <c r="G67" s="16"/>
      <c r="H67" s="16"/>
      <c r="I67" s="16"/>
      <c r="J67" s="16"/>
      <c r="K67" s="16"/>
      <c r="L67" s="16"/>
    </row>
    <row r="68" spans="2:12" x14ac:dyDescent="0.3">
      <c r="B68" s="16"/>
      <c r="C68" s="16"/>
      <c r="D68" s="16"/>
      <c r="E68" s="16"/>
      <c r="F68" s="16"/>
      <c r="G68" s="16"/>
      <c r="H68" s="16"/>
      <c r="I68" s="16"/>
      <c r="J68" s="16"/>
      <c r="K68" s="16"/>
      <c r="L68" s="16"/>
    </row>
    <row r="69" spans="2:12" x14ac:dyDescent="0.3">
      <c r="B69" s="16"/>
      <c r="C69" s="16"/>
      <c r="D69" s="16"/>
      <c r="E69" s="16"/>
      <c r="F69" s="16"/>
      <c r="G69" s="16"/>
      <c r="H69" s="16"/>
      <c r="I69" s="16"/>
      <c r="J69" s="16"/>
      <c r="K69" s="16"/>
      <c r="L69" s="16"/>
    </row>
    <row r="70" spans="2:12" x14ac:dyDescent="0.3">
      <c r="B70" s="16"/>
      <c r="C70" s="16"/>
      <c r="D70" s="16"/>
      <c r="E70" s="16"/>
      <c r="F70" s="16"/>
      <c r="G70" s="16"/>
      <c r="H70" s="16"/>
      <c r="I70" s="16"/>
      <c r="J70" s="16"/>
      <c r="K70" s="16"/>
      <c r="L70" s="16"/>
    </row>
    <row r="71" spans="2:12" x14ac:dyDescent="0.3">
      <c r="B71" s="16"/>
      <c r="C71" s="16"/>
      <c r="D71" s="16"/>
      <c r="E71" s="16"/>
      <c r="F71" s="16"/>
      <c r="G71" s="16"/>
      <c r="H71" s="16"/>
      <c r="I71" s="16"/>
      <c r="J71" s="16"/>
      <c r="K71" s="16"/>
      <c r="L71" s="16"/>
    </row>
    <row r="72" spans="2:12" x14ac:dyDescent="0.3">
      <c r="B72" s="16"/>
      <c r="C72" s="16"/>
      <c r="D72" s="16"/>
      <c r="E72" s="16"/>
      <c r="F72" s="16"/>
      <c r="G72" s="16"/>
      <c r="H72" s="16"/>
      <c r="I72" s="16"/>
      <c r="J72" s="16"/>
      <c r="K72" s="16"/>
      <c r="L72" s="16"/>
    </row>
    <row r="73" spans="2:12" x14ac:dyDescent="0.3">
      <c r="B73" s="16"/>
      <c r="C73" s="16"/>
      <c r="D73" s="16"/>
      <c r="E73" s="16"/>
      <c r="F73" s="16"/>
      <c r="G73" s="16"/>
      <c r="H73" s="16"/>
      <c r="I73" s="16"/>
      <c r="J73" s="16"/>
      <c r="K73" s="16"/>
      <c r="L73" s="16"/>
    </row>
    <row r="74" spans="2:12" x14ac:dyDescent="0.3">
      <c r="B74" s="16"/>
      <c r="C74" s="16"/>
      <c r="D74" s="16"/>
      <c r="E74" s="16"/>
      <c r="F74" s="16"/>
      <c r="G74" s="16"/>
      <c r="H74" s="16"/>
      <c r="I74" s="16"/>
      <c r="J74" s="16"/>
      <c r="K74" s="16"/>
      <c r="L74" s="16"/>
    </row>
    <row r="75" spans="2:12" x14ac:dyDescent="0.3">
      <c r="B75" s="16"/>
      <c r="C75" s="16"/>
      <c r="D75" s="16"/>
      <c r="E75" s="16"/>
      <c r="F75" s="16"/>
      <c r="G75" s="16"/>
      <c r="H75" s="16"/>
      <c r="I75" s="16"/>
      <c r="J75" s="16"/>
      <c r="K75" s="16"/>
      <c r="L75" s="16"/>
    </row>
    <row r="76" spans="2:12" x14ac:dyDescent="0.3">
      <c r="B76" s="16"/>
      <c r="C76" s="16"/>
      <c r="D76" s="16"/>
      <c r="E76" s="16"/>
      <c r="F76" s="16"/>
      <c r="G76" s="16"/>
      <c r="H76" s="16"/>
      <c r="I76" s="16"/>
      <c r="J76" s="16"/>
      <c r="K76" s="16"/>
      <c r="L76" s="16"/>
    </row>
    <row r="77" spans="2:12" x14ac:dyDescent="0.3">
      <c r="B77" s="16"/>
      <c r="C77" s="16"/>
      <c r="D77" s="16"/>
      <c r="E77" s="16"/>
      <c r="F77" s="16"/>
      <c r="G77" s="16"/>
      <c r="H77" s="16"/>
      <c r="I77" s="16"/>
      <c r="J77" s="16"/>
      <c r="K77" s="16"/>
      <c r="L77" s="16"/>
    </row>
    <row r="78" spans="2:12" x14ac:dyDescent="0.3">
      <c r="B78" s="16"/>
      <c r="C78" s="16"/>
      <c r="D78" s="16"/>
      <c r="E78" s="16"/>
      <c r="F78" s="16"/>
      <c r="G78" s="16"/>
      <c r="H78" s="16"/>
      <c r="I78" s="16"/>
      <c r="J78" s="16"/>
      <c r="K78" s="16"/>
      <c r="L78" s="16"/>
    </row>
    <row r="79" spans="2:12" x14ac:dyDescent="0.3">
      <c r="B79" s="16"/>
      <c r="C79" s="16"/>
      <c r="D79" s="16"/>
      <c r="E79" s="16"/>
      <c r="F79" s="16"/>
      <c r="G79" s="16"/>
      <c r="H79" s="16"/>
      <c r="I79" s="16"/>
      <c r="J79" s="16"/>
      <c r="K79" s="16"/>
      <c r="L79" s="16"/>
    </row>
    <row r="80" spans="2:12" x14ac:dyDescent="0.3">
      <c r="B80" s="16"/>
      <c r="C80" s="16"/>
      <c r="D80" s="16"/>
      <c r="E80" s="16"/>
      <c r="F80" s="16"/>
      <c r="G80" s="16"/>
      <c r="H80" s="16"/>
      <c r="I80" s="16"/>
      <c r="J80" s="16"/>
      <c r="K80" s="16"/>
      <c r="L80" s="16"/>
    </row>
    <row r="81" spans="2:12" x14ac:dyDescent="0.3">
      <c r="B81" s="16"/>
      <c r="C81" s="16"/>
      <c r="D81" s="16"/>
      <c r="E81" s="16"/>
      <c r="F81" s="16"/>
      <c r="G81" s="16"/>
      <c r="H81" s="16"/>
      <c r="I81" s="16"/>
      <c r="J81" s="16"/>
      <c r="K81" s="16"/>
      <c r="L81" s="16"/>
    </row>
    <row r="82" spans="2:12" x14ac:dyDescent="0.3">
      <c r="B82" s="16"/>
      <c r="C82" s="16"/>
      <c r="D82" s="16"/>
      <c r="E82" s="16"/>
      <c r="F82" s="16"/>
      <c r="G82" s="16"/>
      <c r="H82" s="16"/>
      <c r="I82" s="16"/>
      <c r="J82" s="16"/>
      <c r="K82" s="16"/>
      <c r="L82" s="16"/>
    </row>
    <row r="83" spans="2:12" x14ac:dyDescent="0.3">
      <c r="B83" s="16"/>
      <c r="C83" s="16"/>
      <c r="D83" s="16"/>
      <c r="E83" s="16"/>
      <c r="F83" s="16"/>
      <c r="G83" s="16"/>
      <c r="H83" s="16"/>
      <c r="I83" s="16"/>
      <c r="J83" s="16"/>
      <c r="K83" s="16"/>
      <c r="L83" s="16"/>
    </row>
    <row r="84" spans="2:12" x14ac:dyDescent="0.3">
      <c r="B84" s="16"/>
      <c r="C84" s="16"/>
      <c r="D84" s="16"/>
      <c r="E84" s="16"/>
      <c r="F84" s="16"/>
      <c r="G84" s="16"/>
      <c r="H84" s="16"/>
      <c r="I84" s="16"/>
      <c r="J84" s="16"/>
      <c r="K84" s="16"/>
      <c r="L84" s="16"/>
    </row>
    <row r="85" spans="2:12" x14ac:dyDescent="0.3">
      <c r="B85" s="16"/>
      <c r="C85" s="16"/>
      <c r="D85" s="16"/>
      <c r="E85" s="16"/>
      <c r="F85" s="16"/>
      <c r="G85" s="16"/>
      <c r="H85" s="16"/>
      <c r="I85" s="16"/>
      <c r="J85" s="16"/>
      <c r="K85" s="16"/>
      <c r="L85" s="16"/>
    </row>
    <row r="86" spans="2:12" x14ac:dyDescent="0.3">
      <c r="B86" s="16"/>
      <c r="C86" s="16"/>
      <c r="D86" s="16"/>
      <c r="E86" s="16"/>
      <c r="F86" s="16"/>
      <c r="G86" s="16"/>
      <c r="H86" s="16"/>
      <c r="I86" s="16"/>
      <c r="J86" s="16"/>
      <c r="K86" s="16"/>
      <c r="L86" s="16"/>
    </row>
    <row r="87" spans="2:12" x14ac:dyDescent="0.3">
      <c r="B87" s="16"/>
      <c r="C87" s="16"/>
      <c r="D87" s="16"/>
      <c r="E87" s="16"/>
      <c r="F87" s="16"/>
      <c r="G87" s="16"/>
      <c r="H87" s="16"/>
      <c r="I87" s="16"/>
      <c r="J87" s="16"/>
      <c r="K87" s="16"/>
      <c r="L87" s="16"/>
    </row>
    <row r="88" spans="2:12" x14ac:dyDescent="0.3">
      <c r="B88" s="16"/>
      <c r="C88" s="16"/>
      <c r="D88" s="16"/>
      <c r="E88" s="16"/>
      <c r="F88" s="16"/>
      <c r="G88" s="16"/>
      <c r="H88" s="16"/>
      <c r="I88" s="16"/>
      <c r="J88" s="16"/>
      <c r="K88" s="16"/>
      <c r="L88" s="16"/>
    </row>
    <row r="89" spans="2:12" x14ac:dyDescent="0.3">
      <c r="B89" s="16"/>
      <c r="C89" s="16"/>
      <c r="D89" s="16"/>
      <c r="E89" s="16"/>
      <c r="F89" s="16"/>
      <c r="G89" s="16"/>
      <c r="H89" s="16"/>
      <c r="I89" s="16"/>
      <c r="J89" s="16"/>
      <c r="K89" s="16"/>
      <c r="L89" s="16"/>
    </row>
    <row r="90" spans="2:12" x14ac:dyDescent="0.3">
      <c r="B90" s="16"/>
      <c r="C90" s="16"/>
      <c r="D90" s="16"/>
      <c r="E90" s="16"/>
      <c r="F90" s="16"/>
      <c r="G90" s="16"/>
      <c r="H90" s="16"/>
      <c r="I90" s="16"/>
      <c r="J90" s="16"/>
      <c r="K90" s="16"/>
      <c r="L90" s="16"/>
    </row>
    <row r="91" spans="2:12" x14ac:dyDescent="0.3">
      <c r="B91" s="16"/>
      <c r="C91" s="16"/>
      <c r="D91" s="16"/>
      <c r="E91" s="16"/>
      <c r="F91" s="16"/>
      <c r="G91" s="16"/>
      <c r="H91" s="16"/>
      <c r="I91" s="16"/>
      <c r="J91" s="16"/>
      <c r="K91" s="16"/>
      <c r="L91" s="16"/>
    </row>
    <row r="94" spans="2:12" x14ac:dyDescent="0.3">
      <c r="B94" s="16"/>
      <c r="C94" s="16"/>
      <c r="D94" s="16"/>
      <c r="E94" s="16"/>
      <c r="F94" s="16"/>
      <c r="G94" s="16"/>
      <c r="H94" s="16"/>
      <c r="I94" s="16"/>
      <c r="J94" s="16"/>
      <c r="K94" s="16"/>
      <c r="L94" s="16"/>
    </row>
    <row r="101" spans="1:12" x14ac:dyDescent="0.3">
      <c r="H101" s="335"/>
      <c r="I101" s="335"/>
      <c r="J101" s="335"/>
      <c r="K101" s="335"/>
    </row>
    <row r="102" spans="1:12" x14ac:dyDescent="0.3">
      <c r="H102" s="335"/>
      <c r="I102" s="335"/>
      <c r="J102" s="335"/>
      <c r="K102" s="335"/>
    </row>
    <row r="107" spans="1:12" x14ac:dyDescent="0.3">
      <c r="J107" s="339"/>
      <c r="K107" s="339"/>
      <c r="L107" s="339"/>
    </row>
    <row r="108" spans="1:12" x14ac:dyDescent="0.3">
      <c r="A108" s="16"/>
      <c r="H108" s="17"/>
    </row>
    <row r="109" spans="1:12" x14ac:dyDescent="0.3">
      <c r="A109" s="302"/>
      <c r="B109" s="302"/>
      <c r="C109" s="302"/>
      <c r="D109" s="302"/>
      <c r="E109" s="302"/>
      <c r="F109" s="302"/>
      <c r="G109" s="39"/>
      <c r="H109" s="17"/>
    </row>
    <row r="110" spans="1:12" x14ac:dyDescent="0.3">
      <c r="A110" s="302"/>
      <c r="B110" s="302"/>
      <c r="C110" s="302"/>
      <c r="D110" s="302"/>
      <c r="E110" s="302"/>
      <c r="F110" s="302"/>
      <c r="G110" s="39"/>
      <c r="H110" s="1"/>
      <c r="I110" s="1"/>
      <c r="J110" s="1"/>
      <c r="K110" s="1"/>
      <c r="L110" s="1"/>
    </row>
    <row r="111" spans="1:12" x14ac:dyDescent="0.3">
      <c r="A111" s="40"/>
      <c r="B111" s="305"/>
      <c r="C111" s="305"/>
      <c r="D111" s="305"/>
      <c r="E111" s="305"/>
      <c r="F111" s="17"/>
      <c r="G111" s="17"/>
      <c r="H111" s="40"/>
    </row>
    <row r="112" spans="1:12" x14ac:dyDescent="0.3">
      <c r="A112" s="16"/>
      <c r="H112" s="40"/>
    </row>
    <row r="113" spans="1:12" x14ac:dyDescent="0.3">
      <c r="A113" s="285"/>
      <c r="B113" s="285"/>
      <c r="C113" s="285"/>
      <c r="D113" s="285"/>
      <c r="E113" s="285"/>
      <c r="F113" s="285"/>
      <c r="G113" s="25"/>
      <c r="H113" s="40"/>
    </row>
    <row r="114" spans="1:12" x14ac:dyDescent="0.3">
      <c r="A114" s="16"/>
      <c r="B114" s="285"/>
      <c r="C114" s="285"/>
      <c r="D114" s="285"/>
      <c r="E114" s="285"/>
      <c r="H114" s="40"/>
    </row>
    <row r="115" spans="1:12" x14ac:dyDescent="0.3">
      <c r="H115" s="40"/>
    </row>
    <row r="116" spans="1:12" x14ac:dyDescent="0.3">
      <c r="A116" s="17"/>
      <c r="H116" s="17"/>
    </row>
    <row r="117" spans="1:12" x14ac:dyDescent="0.3">
      <c r="A117" s="17"/>
      <c r="H117" s="17"/>
    </row>
    <row r="118" spans="1:12" x14ac:dyDescent="0.3">
      <c r="A118" s="340"/>
      <c r="B118" s="341"/>
      <c r="C118" s="341"/>
      <c r="D118" s="341"/>
      <c r="E118" s="341"/>
      <c r="F118" s="341"/>
      <c r="G118" s="341"/>
      <c r="H118" s="341"/>
      <c r="I118" s="341"/>
      <c r="J118" s="341"/>
      <c r="K118" s="341"/>
      <c r="L118" s="341"/>
    </row>
    <row r="119" spans="1:12" x14ac:dyDescent="0.3">
      <c r="A119" s="340"/>
      <c r="B119" s="341"/>
      <c r="C119" s="341"/>
      <c r="D119" s="341"/>
      <c r="E119" s="341"/>
      <c r="F119" s="341"/>
      <c r="G119" s="341"/>
      <c r="H119" s="341"/>
      <c r="I119" s="341"/>
      <c r="J119" s="341"/>
      <c r="K119" s="341"/>
      <c r="L119" s="341"/>
    </row>
    <row r="120" spans="1:12" x14ac:dyDescent="0.3">
      <c r="A120" s="1"/>
      <c r="B120" s="5"/>
      <c r="C120" s="5"/>
      <c r="D120" s="5"/>
      <c r="E120" s="5"/>
      <c r="F120" s="5"/>
      <c r="G120" s="5"/>
      <c r="H120" s="5"/>
      <c r="I120" s="5"/>
      <c r="J120" s="41"/>
      <c r="K120" s="41"/>
      <c r="L120" s="41"/>
    </row>
    <row r="121" spans="1:12" x14ac:dyDescent="0.3">
      <c r="A121" s="17"/>
    </row>
    <row r="122" spans="1:12" x14ac:dyDescent="0.3">
      <c r="B122" s="16"/>
      <c r="C122" s="16"/>
      <c r="D122" s="16"/>
      <c r="E122" s="16"/>
      <c r="F122" s="16"/>
      <c r="G122" s="16"/>
      <c r="H122" s="16"/>
      <c r="I122" s="16"/>
      <c r="J122" s="16"/>
      <c r="K122" s="16"/>
      <c r="L122" s="16"/>
    </row>
    <row r="123" spans="1:12" x14ac:dyDescent="0.3">
      <c r="B123" s="16"/>
      <c r="C123" s="16"/>
      <c r="D123" s="16"/>
      <c r="E123" s="16"/>
      <c r="F123" s="16"/>
      <c r="G123" s="16"/>
      <c r="H123" s="16"/>
      <c r="I123" s="16"/>
      <c r="J123" s="16"/>
      <c r="K123" s="16"/>
      <c r="L123" s="16"/>
    </row>
    <row r="124" spans="1:12" x14ac:dyDescent="0.3">
      <c r="B124" s="16"/>
      <c r="C124" s="16"/>
      <c r="D124" s="16"/>
      <c r="E124" s="16"/>
      <c r="F124" s="16"/>
      <c r="G124" s="16"/>
      <c r="H124" s="16"/>
      <c r="I124" s="16"/>
      <c r="J124" s="16"/>
      <c r="K124" s="16"/>
      <c r="L124" s="16"/>
    </row>
    <row r="125" spans="1:12" x14ac:dyDescent="0.3">
      <c r="B125" s="16"/>
      <c r="C125" s="16"/>
      <c r="D125" s="16"/>
      <c r="E125" s="16"/>
      <c r="F125" s="16"/>
      <c r="G125" s="16"/>
      <c r="H125" s="16"/>
      <c r="I125" s="16"/>
      <c r="J125" s="16"/>
      <c r="K125" s="16"/>
      <c r="L125" s="16"/>
    </row>
    <row r="126" spans="1:12" x14ac:dyDescent="0.3">
      <c r="B126" s="16"/>
      <c r="C126" s="16"/>
      <c r="D126" s="16"/>
      <c r="E126" s="16"/>
      <c r="F126" s="16"/>
      <c r="G126" s="16"/>
      <c r="H126" s="16"/>
      <c r="I126" s="16"/>
      <c r="J126" s="16"/>
      <c r="K126" s="16"/>
      <c r="L126" s="16"/>
    </row>
    <row r="127" spans="1:12" x14ac:dyDescent="0.3">
      <c r="B127" s="16"/>
      <c r="C127" s="16"/>
      <c r="D127" s="16"/>
      <c r="E127" s="16"/>
      <c r="F127" s="16"/>
      <c r="G127" s="16"/>
      <c r="H127" s="16"/>
      <c r="I127" s="16"/>
      <c r="J127" s="16"/>
      <c r="K127" s="16"/>
      <c r="L127" s="16"/>
    </row>
    <row r="128" spans="1:12" x14ac:dyDescent="0.3">
      <c r="B128" s="16"/>
      <c r="C128" s="16"/>
      <c r="D128" s="16"/>
      <c r="E128" s="16"/>
      <c r="F128" s="16"/>
      <c r="G128" s="16"/>
      <c r="H128" s="16"/>
      <c r="I128" s="16"/>
      <c r="J128" s="16"/>
      <c r="K128" s="16"/>
      <c r="L128" s="16"/>
    </row>
    <row r="129" spans="2:12" x14ac:dyDescent="0.3">
      <c r="B129" s="16"/>
      <c r="C129" s="16"/>
      <c r="D129" s="16"/>
      <c r="E129" s="16"/>
      <c r="F129" s="16"/>
      <c r="G129" s="16"/>
      <c r="H129" s="16"/>
      <c r="I129" s="16"/>
      <c r="J129" s="16"/>
      <c r="K129" s="16"/>
      <c r="L129" s="16"/>
    </row>
    <row r="130" spans="2:12" x14ac:dyDescent="0.3">
      <c r="B130" s="16"/>
      <c r="C130" s="16"/>
      <c r="D130" s="16"/>
      <c r="E130" s="16"/>
      <c r="F130" s="16"/>
      <c r="G130" s="16"/>
      <c r="H130" s="16"/>
      <c r="I130" s="16"/>
      <c r="J130" s="16"/>
      <c r="K130" s="16"/>
      <c r="L130" s="16"/>
    </row>
    <row r="131" spans="2:12" x14ac:dyDescent="0.3">
      <c r="B131" s="16"/>
      <c r="C131" s="16"/>
      <c r="D131" s="16"/>
      <c r="E131" s="16"/>
      <c r="F131" s="16"/>
      <c r="G131" s="16"/>
      <c r="H131" s="16"/>
      <c r="I131" s="16"/>
      <c r="J131" s="16"/>
      <c r="K131" s="16"/>
      <c r="L131" s="16"/>
    </row>
    <row r="132" spans="2:12" x14ac:dyDescent="0.3">
      <c r="B132" s="16"/>
      <c r="C132" s="16"/>
      <c r="D132" s="16"/>
      <c r="E132" s="16"/>
      <c r="F132" s="16"/>
      <c r="G132" s="16"/>
      <c r="H132" s="16"/>
      <c r="I132" s="16"/>
      <c r="J132" s="16"/>
      <c r="K132" s="16"/>
      <c r="L132" s="16"/>
    </row>
    <row r="133" spans="2:12" x14ac:dyDescent="0.3">
      <c r="B133" s="16"/>
      <c r="C133" s="16"/>
      <c r="D133" s="16"/>
      <c r="E133" s="16"/>
      <c r="F133" s="16"/>
      <c r="G133" s="16"/>
      <c r="H133" s="16"/>
      <c r="I133" s="16"/>
      <c r="J133" s="16"/>
      <c r="K133" s="16"/>
      <c r="L133" s="16"/>
    </row>
    <row r="134" spans="2:12" x14ac:dyDescent="0.3">
      <c r="B134" s="16"/>
      <c r="C134" s="16"/>
      <c r="D134" s="16"/>
      <c r="E134" s="16"/>
      <c r="F134" s="16"/>
      <c r="G134" s="16"/>
      <c r="H134" s="16"/>
      <c r="I134" s="16"/>
      <c r="J134" s="16"/>
      <c r="K134" s="16"/>
      <c r="L134" s="16"/>
    </row>
    <row r="135" spans="2:12" x14ac:dyDescent="0.3">
      <c r="B135" s="16"/>
      <c r="C135" s="16"/>
      <c r="D135" s="16"/>
      <c r="E135" s="16"/>
      <c r="F135" s="16"/>
      <c r="G135" s="16"/>
      <c r="H135" s="16"/>
      <c r="I135" s="16"/>
      <c r="J135" s="16"/>
      <c r="K135" s="16"/>
      <c r="L135" s="16"/>
    </row>
    <row r="136" spans="2:12" x14ac:dyDescent="0.3">
      <c r="B136" s="16"/>
      <c r="C136" s="16"/>
      <c r="D136" s="16"/>
      <c r="E136" s="16"/>
      <c r="F136" s="16"/>
      <c r="G136" s="16"/>
      <c r="H136" s="16"/>
      <c r="I136" s="16"/>
      <c r="J136" s="16"/>
      <c r="K136" s="16"/>
      <c r="L136" s="16"/>
    </row>
    <row r="137" spans="2:12" x14ac:dyDescent="0.3">
      <c r="B137" s="16"/>
      <c r="C137" s="16"/>
      <c r="D137" s="16"/>
      <c r="E137" s="16"/>
      <c r="F137" s="16"/>
      <c r="G137" s="16"/>
      <c r="H137" s="16"/>
      <c r="I137" s="16"/>
      <c r="J137" s="16"/>
      <c r="K137" s="16"/>
      <c r="L137" s="16"/>
    </row>
    <row r="138" spans="2:12" x14ac:dyDescent="0.3">
      <c r="B138" s="16"/>
      <c r="C138" s="16"/>
      <c r="D138" s="16"/>
      <c r="E138" s="16"/>
      <c r="F138" s="16"/>
      <c r="G138" s="16"/>
      <c r="H138" s="16"/>
      <c r="I138" s="16"/>
      <c r="J138" s="16"/>
      <c r="K138" s="16"/>
      <c r="L138" s="16"/>
    </row>
    <row r="139" spans="2:12" x14ac:dyDescent="0.3">
      <c r="B139" s="16"/>
      <c r="C139" s="16"/>
      <c r="D139" s="16"/>
      <c r="E139" s="16"/>
      <c r="F139" s="16"/>
      <c r="G139" s="16"/>
      <c r="H139" s="16"/>
      <c r="I139" s="16"/>
      <c r="J139" s="16"/>
      <c r="K139" s="16"/>
      <c r="L139" s="16"/>
    </row>
    <row r="140" spans="2:12" x14ac:dyDescent="0.3">
      <c r="B140" s="16"/>
      <c r="C140" s="16"/>
      <c r="D140" s="16"/>
      <c r="E140" s="16"/>
      <c r="F140" s="16"/>
      <c r="G140" s="16"/>
      <c r="H140" s="16"/>
      <c r="I140" s="16"/>
      <c r="J140" s="16"/>
      <c r="K140" s="16"/>
      <c r="L140" s="16"/>
    </row>
    <row r="141" spans="2:12" x14ac:dyDescent="0.3">
      <c r="B141" s="16"/>
      <c r="C141" s="16"/>
      <c r="D141" s="16"/>
      <c r="E141" s="16"/>
      <c r="F141" s="16"/>
      <c r="G141" s="16"/>
      <c r="H141" s="16"/>
      <c r="I141" s="16"/>
      <c r="J141" s="16"/>
      <c r="K141" s="16"/>
      <c r="L141" s="16"/>
    </row>
    <row r="142" spans="2:12" x14ac:dyDescent="0.3">
      <c r="B142" s="16"/>
      <c r="C142" s="16"/>
      <c r="D142" s="16"/>
      <c r="E142" s="16"/>
      <c r="F142" s="16"/>
      <c r="G142" s="16"/>
      <c r="H142" s="16"/>
      <c r="I142" s="16"/>
      <c r="J142" s="16"/>
      <c r="K142" s="16"/>
      <c r="L142" s="16"/>
    </row>
    <row r="143" spans="2:12" x14ac:dyDescent="0.3">
      <c r="B143" s="16"/>
      <c r="C143" s="16"/>
      <c r="D143" s="16"/>
      <c r="E143" s="16"/>
      <c r="F143" s="16"/>
      <c r="G143" s="16"/>
      <c r="H143" s="16"/>
      <c r="I143" s="16"/>
      <c r="J143" s="16"/>
      <c r="K143" s="16"/>
      <c r="L143" s="16"/>
    </row>
    <row r="144" spans="2:12" x14ac:dyDescent="0.3">
      <c r="B144" s="16"/>
      <c r="C144" s="16"/>
      <c r="D144" s="16"/>
      <c r="E144" s="16"/>
      <c r="F144" s="16"/>
      <c r="G144" s="16"/>
      <c r="H144" s="16"/>
      <c r="I144" s="16"/>
      <c r="J144" s="16"/>
      <c r="K144" s="16"/>
      <c r="L144" s="16"/>
    </row>
    <row r="145" spans="2:12" x14ac:dyDescent="0.3">
      <c r="B145" s="16"/>
      <c r="C145" s="16"/>
      <c r="D145" s="16"/>
      <c r="E145" s="16"/>
      <c r="F145" s="16"/>
      <c r="G145" s="16"/>
      <c r="H145" s="16"/>
      <c r="I145" s="16"/>
      <c r="J145" s="16"/>
      <c r="K145" s="16"/>
      <c r="L145" s="16"/>
    </row>
    <row r="146" spans="2:12" x14ac:dyDescent="0.3">
      <c r="B146" s="16"/>
      <c r="C146" s="16"/>
      <c r="D146" s="16"/>
      <c r="E146" s="16"/>
      <c r="F146" s="16"/>
      <c r="G146" s="16"/>
      <c r="H146" s="16"/>
      <c r="I146" s="16"/>
      <c r="J146" s="16"/>
      <c r="K146" s="16"/>
      <c r="L146" s="16"/>
    </row>
    <row r="147" spans="2:12" x14ac:dyDescent="0.3">
      <c r="B147" s="16"/>
      <c r="C147" s="16"/>
      <c r="D147" s="16"/>
      <c r="E147" s="16"/>
      <c r="F147" s="16"/>
      <c r="G147" s="16"/>
      <c r="H147" s="16"/>
      <c r="I147" s="16"/>
      <c r="J147" s="16"/>
      <c r="K147" s="16"/>
      <c r="L147" s="16"/>
    </row>
    <row r="148" spans="2:12" x14ac:dyDescent="0.3">
      <c r="B148" s="16"/>
      <c r="C148" s="16"/>
      <c r="D148" s="16"/>
      <c r="E148" s="16"/>
      <c r="F148" s="16"/>
      <c r="G148" s="16"/>
      <c r="H148" s="16"/>
      <c r="I148" s="16"/>
      <c r="J148" s="16"/>
      <c r="K148" s="16"/>
      <c r="L148" s="16"/>
    </row>
    <row r="149" spans="2:12" x14ac:dyDescent="0.3">
      <c r="B149" s="16"/>
      <c r="C149" s="16"/>
      <c r="D149" s="16"/>
      <c r="E149" s="16"/>
      <c r="F149" s="16"/>
      <c r="G149" s="16"/>
      <c r="H149" s="16"/>
      <c r="I149" s="16"/>
      <c r="J149" s="16"/>
      <c r="K149" s="16"/>
      <c r="L149" s="16"/>
    </row>
    <row r="150" spans="2:12" x14ac:dyDescent="0.3">
      <c r="B150" s="16"/>
      <c r="C150" s="16"/>
      <c r="D150" s="16"/>
      <c r="E150" s="16"/>
      <c r="F150" s="16"/>
      <c r="G150" s="16"/>
      <c r="H150" s="16"/>
      <c r="I150" s="16"/>
      <c r="J150" s="16"/>
      <c r="K150" s="16"/>
      <c r="L150" s="16"/>
    </row>
    <row r="151" spans="2:12" x14ac:dyDescent="0.3">
      <c r="B151" s="16"/>
      <c r="C151" s="16"/>
      <c r="D151" s="16"/>
      <c r="E151" s="16"/>
      <c r="F151" s="16"/>
      <c r="G151" s="16"/>
      <c r="H151" s="16"/>
      <c r="I151" s="16"/>
      <c r="J151" s="16"/>
      <c r="K151" s="16"/>
      <c r="L151" s="16"/>
    </row>
    <row r="154" spans="2:12" x14ac:dyDescent="0.3">
      <c r="B154" s="16"/>
      <c r="C154" s="16"/>
      <c r="D154" s="16"/>
      <c r="E154" s="16"/>
      <c r="F154" s="16"/>
      <c r="G154" s="16"/>
      <c r="H154" s="16"/>
      <c r="I154" s="16"/>
      <c r="J154" s="16"/>
      <c r="K154" s="16"/>
      <c r="L154" s="16"/>
    </row>
    <row r="161" spans="8:11" x14ac:dyDescent="0.3">
      <c r="H161" s="335"/>
      <c r="I161" s="335"/>
      <c r="J161" s="335"/>
      <c r="K161" s="335"/>
    </row>
    <row r="162" spans="8:11" x14ac:dyDescent="0.3">
      <c r="H162" s="335"/>
      <c r="I162" s="335"/>
      <c r="J162" s="335"/>
      <c r="K162" s="335"/>
    </row>
  </sheetData>
  <mergeCells count="64">
    <mergeCell ref="H162:K162"/>
    <mergeCell ref="H102:K102"/>
    <mergeCell ref="J107:L107"/>
    <mergeCell ref="A109:F109"/>
    <mergeCell ref="A110:F110"/>
    <mergeCell ref="B111:E111"/>
    <mergeCell ref="A113:F113"/>
    <mergeCell ref="B114:E114"/>
    <mergeCell ref="A118:A119"/>
    <mergeCell ref="B118:I119"/>
    <mergeCell ref="J118:L119"/>
    <mergeCell ref="H161:K161"/>
    <mergeCell ref="H101:K101"/>
    <mergeCell ref="H38:K38"/>
    <mergeCell ref="H39:K39"/>
    <mergeCell ref="J47:L47"/>
    <mergeCell ref="A49:F49"/>
    <mergeCell ref="A50:F50"/>
    <mergeCell ref="B51:E51"/>
    <mergeCell ref="A53:F53"/>
    <mergeCell ref="B54:E54"/>
    <mergeCell ref="A58:A59"/>
    <mergeCell ref="B58:I59"/>
    <mergeCell ref="J58:L59"/>
    <mergeCell ref="H37:K37"/>
    <mergeCell ref="B22:F22"/>
    <mergeCell ref="H22:I22"/>
    <mergeCell ref="J22:L22"/>
    <mergeCell ref="B23:F23"/>
    <mergeCell ref="H23:I23"/>
    <mergeCell ref="J23:L23"/>
    <mergeCell ref="C25:F26"/>
    <mergeCell ref="I25:J26"/>
    <mergeCell ref="C29:F30"/>
    <mergeCell ref="I29:K29"/>
    <mergeCell ref="H36:K36"/>
    <mergeCell ref="B20:F20"/>
    <mergeCell ref="H20:I20"/>
    <mergeCell ref="J20:L20"/>
    <mergeCell ref="B21:F21"/>
    <mergeCell ref="H21:I21"/>
    <mergeCell ref="J21:L21"/>
    <mergeCell ref="B18:F18"/>
    <mergeCell ref="H18:I18"/>
    <mergeCell ref="J18:L18"/>
    <mergeCell ref="B19:F19"/>
    <mergeCell ref="H19:I19"/>
    <mergeCell ref="J19:L19"/>
    <mergeCell ref="B8:E8"/>
    <mergeCell ref="H8:L8"/>
    <mergeCell ref="B11:D11"/>
    <mergeCell ref="E11:H12"/>
    <mergeCell ref="I11:L12"/>
    <mergeCell ref="A14:A17"/>
    <mergeCell ref="B14:F17"/>
    <mergeCell ref="G14:G17"/>
    <mergeCell ref="H14:I17"/>
    <mergeCell ref="J14:L17"/>
    <mergeCell ref="A7:G7"/>
    <mergeCell ref="J1:L1"/>
    <mergeCell ref="A3:F3"/>
    <mergeCell ref="A4:G4"/>
    <mergeCell ref="A5:G5"/>
    <mergeCell ref="H5:L5"/>
  </mergeCells>
  <dataValidations count="1">
    <dataValidation type="list" allowBlank="1" showInputMessage="1" showErrorMessage="1" sqref="A18:A23" xr:uid="{4401429B-FD1F-4419-BDC9-4128C0ED4C78}">
      <formula1>ITEMNO</formula1>
    </dataValidation>
  </dataValidations>
  <hyperlinks>
    <hyperlink ref="I11" r:id="rId1" xr:uid="{4E9B7ED9-93B0-4178-B219-C8D65913A2AE}"/>
  </hyperlinks>
  <pageMargins left="0.7" right="0.7" top="0.75" bottom="0.75" header="0.3" footer="0.3"/>
  <pageSetup paperSize="5" scale="80" fitToWidth="0" fitToHeight="0" orientation="portrait" verticalDpi="0"/>
  <rowBreaks count="1" manualBreakCount="1">
    <brk id="40"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15D64-3494-4AF8-8B78-EB651D0711E7}">
  <sheetPr>
    <tabColor theme="7" tint="0.39997558519241921"/>
    <pageSetUpPr fitToPage="1"/>
  </sheetPr>
  <dimension ref="A1:M162"/>
  <sheetViews>
    <sheetView view="pageBreakPreview" zoomScale="85" zoomScaleNormal="100" zoomScaleSheetLayoutView="85" workbookViewId="0">
      <selection activeCell="H19" sqref="H19:I19"/>
    </sheetView>
  </sheetViews>
  <sheetFormatPr defaultRowHeight="14.4" x14ac:dyDescent="0.3"/>
  <cols>
    <col min="1" max="1" width="11.5546875" customWidth="1"/>
    <col min="6" max="6" width="1.44140625" customWidth="1"/>
    <col min="7" max="7" width="13.6640625" hidden="1" customWidth="1"/>
    <col min="9" max="9" width="10.33203125" customWidth="1"/>
    <col min="12" max="12" width="13.88671875" customWidth="1"/>
  </cols>
  <sheetData>
    <row r="1" spans="1:12" x14ac:dyDescent="0.3">
      <c r="A1" s="4" t="s">
        <v>572</v>
      </c>
      <c r="B1" s="4"/>
      <c r="C1" s="4"/>
      <c r="D1" s="4"/>
      <c r="E1" s="4"/>
      <c r="F1" s="4"/>
      <c r="G1" s="4"/>
      <c r="H1" s="4"/>
      <c r="I1" s="4"/>
      <c r="J1" s="293" t="s">
        <v>573</v>
      </c>
      <c r="K1" s="293"/>
      <c r="L1" s="293"/>
    </row>
    <row r="2" spans="1:12" x14ac:dyDescent="0.3">
      <c r="A2" s="70" t="s">
        <v>574</v>
      </c>
      <c r="B2" s="4"/>
      <c r="C2" s="4"/>
      <c r="D2" s="4"/>
      <c r="E2" s="4"/>
      <c r="F2" s="4"/>
      <c r="G2" s="4"/>
      <c r="H2" s="71"/>
      <c r="I2" s="4"/>
      <c r="J2" s="4"/>
      <c r="K2" s="4"/>
      <c r="L2" s="4"/>
    </row>
    <row r="3" spans="1:12" x14ac:dyDescent="0.3">
      <c r="A3" s="294"/>
      <c r="B3" s="295"/>
      <c r="C3" s="295"/>
      <c r="D3" s="295"/>
      <c r="E3" s="295"/>
      <c r="F3" s="295"/>
      <c r="G3" s="48"/>
      <c r="H3" s="44" t="s">
        <v>575</v>
      </c>
      <c r="I3" s="18"/>
      <c r="J3" s="18"/>
      <c r="K3" s="18"/>
      <c r="L3" s="19"/>
    </row>
    <row r="4" spans="1:12" x14ac:dyDescent="0.3">
      <c r="A4" s="301" t="s">
        <v>576</v>
      </c>
      <c r="B4" s="302"/>
      <c r="C4" s="302"/>
      <c r="D4" s="302"/>
      <c r="E4" s="302"/>
      <c r="F4" s="302"/>
      <c r="G4" s="303"/>
      <c r="H4" s="1"/>
      <c r="I4" s="1"/>
      <c r="J4" s="1"/>
      <c r="K4" s="1"/>
      <c r="L4" s="20"/>
    </row>
    <row r="5" spans="1:12" x14ac:dyDescent="0.3">
      <c r="A5" s="304" t="s">
        <v>577</v>
      </c>
      <c r="B5" s="305"/>
      <c r="C5" s="305"/>
      <c r="D5" s="305"/>
      <c r="E5" s="305"/>
      <c r="F5" s="305"/>
      <c r="G5" s="306"/>
      <c r="H5" s="296" t="s">
        <v>578</v>
      </c>
      <c r="I5" s="297"/>
      <c r="J5" s="297"/>
      <c r="K5" s="297"/>
      <c r="L5" s="297"/>
    </row>
    <row r="6" spans="1:12" x14ac:dyDescent="0.3">
      <c r="A6" s="49"/>
      <c r="G6" s="50"/>
      <c r="H6" s="45"/>
      <c r="I6" s="23"/>
      <c r="J6" s="23"/>
      <c r="K6" s="23"/>
      <c r="L6" s="24"/>
    </row>
    <row r="7" spans="1:12" x14ac:dyDescent="0.3">
      <c r="A7" s="298" t="s">
        <v>579</v>
      </c>
      <c r="B7" s="299"/>
      <c r="C7" s="299"/>
      <c r="D7" s="299"/>
      <c r="E7" s="299"/>
      <c r="F7" s="299"/>
      <c r="G7" s="300"/>
      <c r="H7" s="46" t="s">
        <v>580</v>
      </c>
      <c r="I7" s="18"/>
      <c r="J7" s="18"/>
      <c r="K7" s="18"/>
      <c r="L7" s="19"/>
    </row>
    <row r="8" spans="1:12" x14ac:dyDescent="0.3">
      <c r="A8" s="49"/>
      <c r="B8" s="285"/>
      <c r="C8" s="285"/>
      <c r="D8" s="285"/>
      <c r="E8" s="285"/>
      <c r="G8" s="50"/>
      <c r="H8" s="286" t="s">
        <v>616</v>
      </c>
      <c r="I8" s="286"/>
      <c r="J8" s="286"/>
      <c r="K8" s="286"/>
      <c r="L8" s="286"/>
    </row>
    <row r="9" spans="1:12" x14ac:dyDescent="0.3">
      <c r="A9" s="51"/>
      <c r="B9" s="52"/>
      <c r="C9" s="52"/>
      <c r="D9" s="52"/>
      <c r="E9" s="52"/>
      <c r="F9" s="52"/>
      <c r="G9" s="53"/>
      <c r="H9" s="45"/>
      <c r="L9" s="26"/>
    </row>
    <row r="10" spans="1:12" x14ac:dyDescent="0.3">
      <c r="A10" s="54" t="s">
        <v>582</v>
      </c>
      <c r="B10" s="55"/>
      <c r="C10" s="55"/>
      <c r="D10" s="56"/>
      <c r="E10" s="47" t="s">
        <v>583</v>
      </c>
      <c r="F10" s="47"/>
      <c r="G10" s="47"/>
      <c r="H10" s="28"/>
      <c r="I10" s="61" t="s">
        <v>584</v>
      </c>
      <c r="J10" s="62"/>
      <c r="K10" s="62"/>
      <c r="L10" s="63"/>
    </row>
    <row r="11" spans="1:12" x14ac:dyDescent="0.3">
      <c r="A11" s="57"/>
      <c r="B11" s="287">
        <v>45701</v>
      </c>
      <c r="C11" s="287"/>
      <c r="D11" s="288"/>
      <c r="E11" s="289" t="s">
        <v>585</v>
      </c>
      <c r="F11" s="290"/>
      <c r="G11" s="290"/>
      <c r="H11" s="290"/>
      <c r="I11" s="291" t="s">
        <v>586</v>
      </c>
      <c r="J11" s="292"/>
      <c r="K11" s="292"/>
      <c r="L11" s="292"/>
    </row>
    <row r="12" spans="1:12" x14ac:dyDescent="0.3">
      <c r="A12" s="58"/>
      <c r="B12" s="59"/>
      <c r="C12" s="59"/>
      <c r="D12" s="60"/>
      <c r="E12" s="289"/>
      <c r="F12" s="290"/>
      <c r="G12" s="290"/>
      <c r="H12" s="290"/>
      <c r="I12" s="292"/>
      <c r="J12" s="292"/>
      <c r="K12" s="292"/>
      <c r="L12" s="292"/>
    </row>
    <row r="13" spans="1:12" x14ac:dyDescent="0.3">
      <c r="A13" s="29"/>
      <c r="B13" s="47"/>
      <c r="C13" s="47"/>
      <c r="D13" s="87"/>
      <c r="E13" s="47"/>
      <c r="F13" s="47"/>
      <c r="G13" s="47"/>
      <c r="H13" s="47"/>
      <c r="I13" s="86"/>
      <c r="J13" s="30"/>
      <c r="K13" s="30"/>
      <c r="L13" s="31"/>
    </row>
    <row r="14" spans="1:12" x14ac:dyDescent="0.3">
      <c r="A14" s="311" t="s">
        <v>587</v>
      </c>
      <c r="B14" s="313" t="s">
        <v>588</v>
      </c>
      <c r="C14" s="314"/>
      <c r="D14" s="314"/>
      <c r="E14" s="314"/>
      <c r="F14" s="314"/>
      <c r="G14" s="325" t="s">
        <v>589</v>
      </c>
      <c r="H14" s="319" t="s">
        <v>8</v>
      </c>
      <c r="I14" s="320"/>
      <c r="J14" s="328" t="s">
        <v>590</v>
      </c>
      <c r="K14" s="328"/>
      <c r="L14" s="329"/>
    </row>
    <row r="15" spans="1:12" x14ac:dyDescent="0.3">
      <c r="A15" s="311"/>
      <c r="B15" s="315"/>
      <c r="C15" s="316"/>
      <c r="D15" s="316"/>
      <c r="E15" s="316"/>
      <c r="F15" s="316"/>
      <c r="G15" s="326"/>
      <c r="H15" s="321"/>
      <c r="I15" s="322"/>
      <c r="J15" s="330"/>
      <c r="K15" s="330"/>
      <c r="L15" s="331"/>
    </row>
    <row r="16" spans="1:12" x14ac:dyDescent="0.3">
      <c r="A16" s="311"/>
      <c r="B16" s="315"/>
      <c r="C16" s="316"/>
      <c r="D16" s="316"/>
      <c r="E16" s="316"/>
      <c r="F16" s="316"/>
      <c r="G16" s="326"/>
      <c r="H16" s="321"/>
      <c r="I16" s="322"/>
      <c r="J16" s="330"/>
      <c r="K16" s="330"/>
      <c r="L16" s="331"/>
    </row>
    <row r="17" spans="1:13" ht="3.6" customHeight="1" x14ac:dyDescent="0.3">
      <c r="A17" s="312"/>
      <c r="B17" s="317"/>
      <c r="C17" s="318"/>
      <c r="D17" s="318"/>
      <c r="E17" s="318"/>
      <c r="F17" s="318"/>
      <c r="G17" s="327"/>
      <c r="H17" s="323"/>
      <c r="I17" s="324"/>
      <c r="J17" s="332"/>
      <c r="K17" s="332"/>
      <c r="L17" s="333"/>
    </row>
    <row r="18" spans="1:13" ht="66.599999999999994" customHeight="1" x14ac:dyDescent="0.3">
      <c r="A18" s="113" t="s">
        <v>22</v>
      </c>
      <c r="B18" s="345" t="str">
        <f t="shared" ref="B18:B23" si="0">IFERROR(VLOOKUP(A18,DESCRIP,2,0),"-")</f>
        <v>APPLICATIONS (RD,RO,EC MED, RF, MAT, SO, RR, SS, PLP, ACOP)</v>
      </c>
      <c r="C18" s="346"/>
      <c r="D18" s="346"/>
      <c r="E18" s="346"/>
      <c r="F18" s="346"/>
      <c r="G18" s="112" t="s">
        <v>591</v>
      </c>
      <c r="H18" s="347" t="s">
        <v>617</v>
      </c>
      <c r="I18" s="348"/>
      <c r="J18" s="349" t="str">
        <f t="shared" ref="J18:J23" si="1">IFERROR(VLOOKUP(A18,DESCRIP,3,0),"-")</f>
        <v>1 YEAR</v>
      </c>
      <c r="K18" s="349"/>
      <c r="L18" s="350"/>
    </row>
    <row r="19" spans="1:13" ht="62.4" customHeight="1" x14ac:dyDescent="0.3">
      <c r="A19" s="111">
        <v>82</v>
      </c>
      <c r="B19" s="345" t="str">
        <f t="shared" si="0"/>
        <v>REPORTS  (Daily Cash Reports)</v>
      </c>
      <c r="C19" s="346"/>
      <c r="D19" s="346"/>
      <c r="E19" s="346"/>
      <c r="F19" s="346"/>
      <c r="G19" s="112"/>
      <c r="H19" s="351" t="s">
        <v>19</v>
      </c>
      <c r="I19" s="351"/>
      <c r="J19" s="349" t="str">
        <f t="shared" si="1"/>
        <v>3 YEARS</v>
      </c>
      <c r="K19" s="349"/>
      <c r="L19" s="350"/>
      <c r="M19" s="73" t="s">
        <v>618</v>
      </c>
    </row>
    <row r="20" spans="1:13" ht="66.599999999999994" hidden="1" customHeight="1" x14ac:dyDescent="0.3">
      <c r="A20" s="95"/>
      <c r="B20" s="337" t="str">
        <f t="shared" si="0"/>
        <v>-</v>
      </c>
      <c r="C20" s="338"/>
      <c r="D20" s="338"/>
      <c r="E20" s="338"/>
      <c r="F20" s="338"/>
      <c r="G20" s="94"/>
      <c r="H20" s="310"/>
      <c r="I20" s="310"/>
      <c r="J20" s="308" t="str">
        <f t="shared" si="1"/>
        <v>-</v>
      </c>
      <c r="K20" s="308"/>
      <c r="L20" s="309"/>
    </row>
    <row r="21" spans="1:13" ht="66.599999999999994" hidden="1" customHeight="1" x14ac:dyDescent="0.3">
      <c r="A21" s="95"/>
      <c r="B21" s="337" t="str">
        <f t="shared" si="0"/>
        <v>-</v>
      </c>
      <c r="C21" s="338"/>
      <c r="D21" s="338"/>
      <c r="E21" s="338"/>
      <c r="F21" s="338"/>
      <c r="G21" s="94"/>
      <c r="H21" s="310"/>
      <c r="I21" s="310"/>
      <c r="J21" s="308" t="str">
        <f t="shared" si="1"/>
        <v>-</v>
      </c>
      <c r="K21" s="308"/>
      <c r="L21" s="309"/>
    </row>
    <row r="22" spans="1:13" ht="66.599999999999994" hidden="1" customHeight="1" x14ac:dyDescent="0.3">
      <c r="A22" s="95"/>
      <c r="B22" s="337" t="str">
        <f t="shared" si="0"/>
        <v>-</v>
      </c>
      <c r="C22" s="338"/>
      <c r="D22" s="338"/>
      <c r="E22" s="338"/>
      <c r="F22" s="338"/>
      <c r="G22" s="94"/>
      <c r="H22" s="310"/>
      <c r="I22" s="310"/>
      <c r="J22" s="308" t="str">
        <f t="shared" si="1"/>
        <v>-</v>
      </c>
      <c r="K22" s="308"/>
      <c r="L22" s="309"/>
    </row>
    <row r="23" spans="1:13" ht="66.599999999999994" hidden="1" customHeight="1" x14ac:dyDescent="0.3">
      <c r="A23" s="95"/>
      <c r="B23" s="337" t="str">
        <f t="shared" si="0"/>
        <v>-</v>
      </c>
      <c r="C23" s="338"/>
      <c r="D23" s="338"/>
      <c r="E23" s="338"/>
      <c r="F23" s="338"/>
      <c r="G23" s="94"/>
      <c r="H23" s="310" t="s">
        <v>594</v>
      </c>
      <c r="I23" s="310"/>
      <c r="J23" s="308" t="str">
        <f t="shared" si="1"/>
        <v>-</v>
      </c>
      <c r="K23" s="308"/>
      <c r="L23" s="309"/>
    </row>
    <row r="24" spans="1:13" x14ac:dyDescent="0.3">
      <c r="A24" s="33" t="s">
        <v>595</v>
      </c>
      <c r="B24" s="36"/>
      <c r="C24" s="36"/>
      <c r="D24" s="36"/>
      <c r="E24" s="36"/>
      <c r="F24" s="37"/>
      <c r="G24" s="36"/>
      <c r="H24" s="22" t="s">
        <v>596</v>
      </c>
      <c r="I24" s="16"/>
      <c r="J24" s="36"/>
      <c r="K24" s="36"/>
      <c r="L24" s="37"/>
    </row>
    <row r="25" spans="1:13" x14ac:dyDescent="0.3">
      <c r="A25" s="33"/>
      <c r="B25" s="16"/>
      <c r="C25" s="342" t="s">
        <v>597</v>
      </c>
      <c r="D25" s="342"/>
      <c r="E25" s="342"/>
      <c r="F25" s="342"/>
      <c r="G25" s="43"/>
      <c r="H25" s="22"/>
      <c r="I25" s="343" t="s">
        <v>619</v>
      </c>
      <c r="J25" s="343"/>
      <c r="K25" s="16"/>
      <c r="L25" s="32"/>
    </row>
    <row r="26" spans="1:13" x14ac:dyDescent="0.3">
      <c r="A26" s="27"/>
      <c r="B26" s="34"/>
      <c r="C26" s="342"/>
      <c r="D26" s="342"/>
      <c r="E26" s="342"/>
      <c r="F26" s="342"/>
      <c r="G26" s="43"/>
      <c r="H26" s="22"/>
      <c r="I26" s="343"/>
      <c r="J26" s="343"/>
      <c r="K26" s="16"/>
      <c r="L26" s="32"/>
    </row>
    <row r="27" spans="1:13" x14ac:dyDescent="0.3">
      <c r="A27" s="35" t="s">
        <v>599</v>
      </c>
      <c r="B27" s="36"/>
      <c r="C27" s="36"/>
      <c r="D27" s="36"/>
      <c r="E27" s="36"/>
      <c r="F27" s="36"/>
      <c r="G27" s="36"/>
      <c r="H27" s="38" t="s">
        <v>600</v>
      </c>
      <c r="I27" s="36"/>
      <c r="J27" s="36"/>
      <c r="K27" s="36"/>
      <c r="L27" s="37"/>
    </row>
    <row r="28" spans="1:13" x14ac:dyDescent="0.3">
      <c r="A28" s="33"/>
      <c r="B28" s="16"/>
      <c r="C28" s="16"/>
      <c r="D28" s="16"/>
      <c r="E28" s="16"/>
      <c r="F28" s="16"/>
      <c r="G28" s="16"/>
      <c r="H28" s="22"/>
      <c r="I28" s="16"/>
      <c r="J28" s="16"/>
      <c r="K28" s="16"/>
      <c r="L28" s="32"/>
    </row>
    <row r="29" spans="1:13" x14ac:dyDescent="0.3">
      <c r="A29" s="33"/>
      <c r="C29" s="344" t="s">
        <v>601</v>
      </c>
      <c r="D29" s="344"/>
      <c r="E29" s="344"/>
      <c r="F29" s="344"/>
      <c r="G29" s="43"/>
      <c r="H29" s="33"/>
      <c r="I29" s="285" t="s">
        <v>620</v>
      </c>
      <c r="J29" s="285"/>
      <c r="K29" s="285"/>
      <c r="L29" s="32"/>
    </row>
    <row r="30" spans="1:13" ht="1.95" customHeight="1" x14ac:dyDescent="0.3">
      <c r="A30" s="33"/>
      <c r="C30" s="344"/>
      <c r="D30" s="344"/>
      <c r="E30" s="344"/>
      <c r="F30" s="344"/>
      <c r="G30" s="43"/>
      <c r="H30" s="33"/>
      <c r="L30" s="26"/>
    </row>
    <row r="31" spans="1:13" x14ac:dyDescent="0.3">
      <c r="A31" s="35" t="s">
        <v>603</v>
      </c>
      <c r="B31" s="36"/>
      <c r="C31" s="36"/>
      <c r="D31" s="36"/>
      <c r="E31" s="36"/>
      <c r="F31" s="36"/>
      <c r="G31" s="36"/>
      <c r="H31" s="36"/>
      <c r="I31" s="36"/>
      <c r="J31" s="36"/>
      <c r="K31" s="36"/>
      <c r="L31" s="19"/>
    </row>
    <row r="32" spans="1:13" x14ac:dyDescent="0.3">
      <c r="A32" s="33"/>
      <c r="L32" s="32"/>
    </row>
    <row r="33" spans="1:12" x14ac:dyDescent="0.3">
      <c r="A33" s="33"/>
      <c r="C33" t="s">
        <v>604</v>
      </c>
      <c r="L33" s="26"/>
    </row>
    <row r="34" spans="1:12" x14ac:dyDescent="0.3">
      <c r="A34" s="33"/>
      <c r="B34" t="s">
        <v>605</v>
      </c>
      <c r="L34" s="26"/>
    </row>
    <row r="35" spans="1:12" x14ac:dyDescent="0.3">
      <c r="A35" s="33"/>
      <c r="L35" s="26"/>
    </row>
    <row r="36" spans="1:12" x14ac:dyDescent="0.3">
      <c r="A36" s="33"/>
      <c r="H36" s="334" t="s">
        <v>621</v>
      </c>
      <c r="I36" s="334"/>
      <c r="J36" s="334"/>
      <c r="K36" s="334"/>
      <c r="L36" s="26"/>
    </row>
    <row r="37" spans="1:12" x14ac:dyDescent="0.3">
      <c r="A37" s="33"/>
      <c r="H37" s="336" t="s">
        <v>607</v>
      </c>
      <c r="I37" s="336"/>
      <c r="J37" s="336"/>
      <c r="K37" s="336"/>
      <c r="L37" s="26"/>
    </row>
    <row r="38" spans="1:12" x14ac:dyDescent="0.3">
      <c r="A38" s="33"/>
      <c r="H38" s="335" t="s">
        <v>608</v>
      </c>
      <c r="I38" s="335"/>
      <c r="J38" s="335"/>
      <c r="K38" s="335"/>
      <c r="L38" s="26"/>
    </row>
    <row r="39" spans="1:12" x14ac:dyDescent="0.3">
      <c r="A39" s="33"/>
      <c r="H39" s="335" t="s">
        <v>609</v>
      </c>
      <c r="I39" s="335"/>
      <c r="J39" s="335"/>
      <c r="K39" s="335"/>
      <c r="L39" s="26"/>
    </row>
    <row r="40" spans="1:12" x14ac:dyDescent="0.3">
      <c r="A40" s="27"/>
      <c r="B40" s="23"/>
      <c r="C40" s="23"/>
      <c r="D40" s="23"/>
      <c r="E40" s="23"/>
      <c r="F40" s="23"/>
      <c r="G40" s="23"/>
      <c r="H40" s="23"/>
      <c r="I40" s="23"/>
      <c r="J40" s="23"/>
      <c r="K40" s="23"/>
      <c r="L40" s="96" t="s">
        <v>622</v>
      </c>
    </row>
    <row r="42" spans="1:12" x14ac:dyDescent="0.3">
      <c r="A42" t="s">
        <v>623</v>
      </c>
    </row>
    <row r="47" spans="1:12" x14ac:dyDescent="0.3">
      <c r="J47" s="339"/>
      <c r="K47" s="339"/>
      <c r="L47" s="339"/>
    </row>
    <row r="48" spans="1:12" x14ac:dyDescent="0.3">
      <c r="A48" s="16"/>
      <c r="H48" s="17"/>
    </row>
    <row r="49" spans="1:12" x14ac:dyDescent="0.3">
      <c r="A49" s="302"/>
      <c r="B49" s="302"/>
      <c r="C49" s="302"/>
      <c r="D49" s="302"/>
      <c r="E49" s="302"/>
      <c r="F49" s="302"/>
      <c r="G49" s="39"/>
      <c r="H49" s="17"/>
    </row>
    <row r="50" spans="1:12" x14ac:dyDescent="0.3">
      <c r="A50" s="302"/>
      <c r="B50" s="302"/>
      <c r="C50" s="302"/>
      <c r="D50" s="302"/>
      <c r="E50" s="302"/>
      <c r="F50" s="302"/>
      <c r="G50" s="39"/>
      <c r="H50" s="1"/>
      <c r="I50" s="1"/>
      <c r="J50" s="1"/>
      <c r="K50" s="1"/>
      <c r="L50" s="1"/>
    </row>
    <row r="51" spans="1:12" x14ac:dyDescent="0.3">
      <c r="A51" s="40"/>
      <c r="B51" s="305"/>
      <c r="C51" s="305"/>
      <c r="D51" s="305"/>
      <c r="E51" s="305"/>
      <c r="F51" s="17"/>
      <c r="G51" s="17"/>
      <c r="H51" s="40"/>
    </row>
    <row r="52" spans="1:12" x14ac:dyDescent="0.3">
      <c r="A52" s="16"/>
      <c r="H52" s="40"/>
    </row>
    <row r="53" spans="1:12" x14ac:dyDescent="0.3">
      <c r="A53" s="285"/>
      <c r="B53" s="285"/>
      <c r="C53" s="285"/>
      <c r="D53" s="285"/>
      <c r="E53" s="285"/>
      <c r="F53" s="285"/>
      <c r="G53" s="25"/>
      <c r="H53" s="40"/>
    </row>
    <row r="54" spans="1:12" x14ac:dyDescent="0.3">
      <c r="A54" s="16"/>
      <c r="B54" s="285"/>
      <c r="C54" s="285"/>
      <c r="D54" s="285"/>
      <c r="E54" s="285"/>
      <c r="H54" s="40"/>
    </row>
    <row r="55" spans="1:12" x14ac:dyDescent="0.3">
      <c r="H55" s="40"/>
    </row>
    <row r="56" spans="1:12" x14ac:dyDescent="0.3">
      <c r="A56" s="17"/>
      <c r="H56" s="17"/>
    </row>
    <row r="57" spans="1:12" x14ac:dyDescent="0.3">
      <c r="A57" s="17"/>
      <c r="H57" s="17"/>
    </row>
    <row r="58" spans="1:12" x14ac:dyDescent="0.3">
      <c r="A58" s="340"/>
      <c r="B58" s="341"/>
      <c r="C58" s="341"/>
      <c r="D58" s="341"/>
      <c r="E58" s="341"/>
      <c r="F58" s="341"/>
      <c r="G58" s="341"/>
      <c r="H58" s="341"/>
      <c r="I58" s="341"/>
      <c r="J58" s="341"/>
      <c r="K58" s="341"/>
      <c r="L58" s="341"/>
    </row>
    <row r="59" spans="1:12" x14ac:dyDescent="0.3">
      <c r="A59" s="340"/>
      <c r="B59" s="341"/>
      <c r="C59" s="341"/>
      <c r="D59" s="341"/>
      <c r="E59" s="341"/>
      <c r="F59" s="341"/>
      <c r="G59" s="341"/>
      <c r="H59" s="341"/>
      <c r="I59" s="341"/>
      <c r="J59" s="341"/>
      <c r="K59" s="341"/>
      <c r="L59" s="341"/>
    </row>
    <row r="60" spans="1:12" x14ac:dyDescent="0.3">
      <c r="A60" s="1"/>
      <c r="B60" s="42"/>
      <c r="C60" s="5"/>
      <c r="D60" s="5"/>
      <c r="E60" s="5"/>
      <c r="F60" s="5"/>
      <c r="G60" s="5"/>
      <c r="H60" s="5"/>
      <c r="I60" s="5"/>
      <c r="J60" s="41"/>
      <c r="K60" s="41"/>
      <c r="L60" s="41"/>
    </row>
    <row r="61" spans="1:12" x14ac:dyDescent="0.3">
      <c r="A61" s="21"/>
    </row>
    <row r="62" spans="1:12" x14ac:dyDescent="0.3">
      <c r="A62" s="5"/>
      <c r="B62" s="16"/>
      <c r="C62" s="16"/>
      <c r="D62" s="16"/>
      <c r="E62" s="16"/>
      <c r="F62" s="16"/>
      <c r="G62" s="16"/>
      <c r="H62" s="16"/>
      <c r="I62" s="16"/>
      <c r="J62" s="16"/>
      <c r="K62" s="16"/>
      <c r="L62" s="16"/>
    </row>
    <row r="63" spans="1:12" x14ac:dyDescent="0.3">
      <c r="B63" s="16"/>
      <c r="C63" s="16"/>
      <c r="D63" s="16"/>
      <c r="E63" s="16"/>
      <c r="F63" s="16"/>
      <c r="G63" s="16"/>
      <c r="H63" s="16"/>
      <c r="I63" s="16"/>
      <c r="J63" s="16"/>
      <c r="K63" s="16"/>
      <c r="L63" s="16"/>
    </row>
    <row r="64" spans="1:12" x14ac:dyDescent="0.3">
      <c r="B64" s="16"/>
      <c r="C64" s="16"/>
      <c r="D64" s="16"/>
      <c r="E64" s="16"/>
      <c r="F64" s="16"/>
      <c r="G64" s="16"/>
      <c r="H64" s="16"/>
      <c r="I64" s="16"/>
      <c r="J64" s="16"/>
      <c r="K64" s="16"/>
      <c r="L64" s="16"/>
    </row>
    <row r="65" spans="2:12" x14ac:dyDescent="0.3">
      <c r="B65" s="16"/>
      <c r="C65" s="16"/>
      <c r="D65" s="16"/>
      <c r="E65" s="16"/>
      <c r="F65" s="16"/>
      <c r="G65" s="16"/>
      <c r="H65" s="16"/>
      <c r="I65" s="16"/>
      <c r="J65" s="16"/>
      <c r="K65" s="16"/>
      <c r="L65" s="16"/>
    </row>
    <row r="66" spans="2:12" x14ac:dyDescent="0.3">
      <c r="B66" s="16"/>
      <c r="C66" s="16"/>
      <c r="D66" s="16"/>
      <c r="E66" s="16"/>
      <c r="F66" s="16"/>
      <c r="G66" s="16"/>
      <c r="H66" s="16"/>
      <c r="I66" s="16"/>
      <c r="J66" s="16"/>
      <c r="K66" s="16"/>
      <c r="L66" s="16"/>
    </row>
    <row r="67" spans="2:12" x14ac:dyDescent="0.3">
      <c r="B67" s="16"/>
      <c r="C67" s="16"/>
      <c r="D67" s="16"/>
      <c r="E67" s="16"/>
      <c r="F67" s="16"/>
      <c r="G67" s="16"/>
      <c r="H67" s="16"/>
      <c r="I67" s="16"/>
      <c r="J67" s="16"/>
      <c r="K67" s="16"/>
      <c r="L67" s="16"/>
    </row>
    <row r="68" spans="2:12" x14ac:dyDescent="0.3">
      <c r="B68" s="16"/>
      <c r="C68" s="16"/>
      <c r="D68" s="16"/>
      <c r="E68" s="16"/>
      <c r="F68" s="16"/>
      <c r="G68" s="16"/>
      <c r="H68" s="16"/>
      <c r="I68" s="16"/>
      <c r="J68" s="16"/>
      <c r="K68" s="16"/>
      <c r="L68" s="16"/>
    </row>
    <row r="69" spans="2:12" x14ac:dyDescent="0.3">
      <c r="B69" s="16"/>
      <c r="C69" s="16"/>
      <c r="D69" s="16"/>
      <c r="E69" s="16"/>
      <c r="F69" s="16"/>
      <c r="G69" s="16"/>
      <c r="H69" s="16"/>
      <c r="I69" s="16"/>
      <c r="J69" s="16"/>
      <c r="K69" s="16"/>
      <c r="L69" s="16"/>
    </row>
    <row r="70" spans="2:12" x14ac:dyDescent="0.3">
      <c r="B70" s="16"/>
      <c r="C70" s="16"/>
      <c r="D70" s="16"/>
      <c r="E70" s="16"/>
      <c r="F70" s="16"/>
      <c r="G70" s="16"/>
      <c r="H70" s="16"/>
      <c r="I70" s="16"/>
      <c r="J70" s="16"/>
      <c r="K70" s="16"/>
      <c r="L70" s="16"/>
    </row>
    <row r="71" spans="2:12" x14ac:dyDescent="0.3">
      <c r="B71" s="16"/>
      <c r="C71" s="16"/>
      <c r="D71" s="16"/>
      <c r="E71" s="16"/>
      <c r="F71" s="16"/>
      <c r="G71" s="16"/>
      <c r="H71" s="16"/>
      <c r="I71" s="16"/>
      <c r="J71" s="16"/>
      <c r="K71" s="16"/>
      <c r="L71" s="16"/>
    </row>
    <row r="72" spans="2:12" x14ac:dyDescent="0.3">
      <c r="B72" s="16"/>
      <c r="C72" s="16"/>
      <c r="D72" s="16"/>
      <c r="E72" s="16"/>
      <c r="F72" s="16"/>
      <c r="G72" s="16"/>
      <c r="H72" s="16"/>
      <c r="I72" s="16"/>
      <c r="J72" s="16"/>
      <c r="K72" s="16"/>
      <c r="L72" s="16"/>
    </row>
    <row r="73" spans="2:12" x14ac:dyDescent="0.3">
      <c r="B73" s="16"/>
      <c r="C73" s="16"/>
      <c r="D73" s="16"/>
      <c r="E73" s="16"/>
      <c r="F73" s="16"/>
      <c r="G73" s="16"/>
      <c r="H73" s="16"/>
      <c r="I73" s="16"/>
      <c r="J73" s="16"/>
      <c r="K73" s="16"/>
      <c r="L73" s="16"/>
    </row>
    <row r="74" spans="2:12" x14ac:dyDescent="0.3">
      <c r="B74" s="16"/>
      <c r="C74" s="16"/>
      <c r="D74" s="16"/>
      <c r="E74" s="16"/>
      <c r="F74" s="16"/>
      <c r="G74" s="16"/>
      <c r="H74" s="16"/>
      <c r="I74" s="16"/>
      <c r="J74" s="16"/>
      <c r="K74" s="16"/>
      <c r="L74" s="16"/>
    </row>
    <row r="75" spans="2:12" x14ac:dyDescent="0.3">
      <c r="B75" s="16"/>
      <c r="C75" s="16"/>
      <c r="D75" s="16"/>
      <c r="E75" s="16"/>
      <c r="F75" s="16"/>
      <c r="G75" s="16"/>
      <c r="H75" s="16"/>
      <c r="I75" s="16"/>
      <c r="J75" s="16"/>
      <c r="K75" s="16"/>
      <c r="L75" s="16"/>
    </row>
    <row r="76" spans="2:12" x14ac:dyDescent="0.3">
      <c r="B76" s="16"/>
      <c r="C76" s="16"/>
      <c r="D76" s="16"/>
      <c r="E76" s="16"/>
      <c r="F76" s="16"/>
      <c r="G76" s="16"/>
      <c r="H76" s="16"/>
      <c r="I76" s="16"/>
      <c r="J76" s="16"/>
      <c r="K76" s="16"/>
      <c r="L76" s="16"/>
    </row>
    <row r="77" spans="2:12" x14ac:dyDescent="0.3">
      <c r="B77" s="16"/>
      <c r="C77" s="16"/>
      <c r="D77" s="16"/>
      <c r="E77" s="16"/>
      <c r="F77" s="16"/>
      <c r="G77" s="16"/>
      <c r="H77" s="16"/>
      <c r="I77" s="16"/>
      <c r="J77" s="16"/>
      <c r="K77" s="16"/>
      <c r="L77" s="16"/>
    </row>
    <row r="78" spans="2:12" x14ac:dyDescent="0.3">
      <c r="B78" s="16"/>
      <c r="C78" s="16"/>
      <c r="D78" s="16"/>
      <c r="E78" s="16"/>
      <c r="F78" s="16"/>
      <c r="G78" s="16"/>
      <c r="H78" s="16"/>
      <c r="I78" s="16"/>
      <c r="J78" s="16"/>
      <c r="K78" s="16"/>
      <c r="L78" s="16"/>
    </row>
    <row r="79" spans="2:12" x14ac:dyDescent="0.3">
      <c r="B79" s="16"/>
      <c r="C79" s="16"/>
      <c r="D79" s="16"/>
      <c r="E79" s="16"/>
      <c r="F79" s="16"/>
      <c r="G79" s="16"/>
      <c r="H79" s="16"/>
      <c r="I79" s="16"/>
      <c r="J79" s="16"/>
      <c r="K79" s="16"/>
      <c r="L79" s="16"/>
    </row>
    <row r="80" spans="2:12" x14ac:dyDescent="0.3">
      <c r="B80" s="16"/>
      <c r="C80" s="16"/>
      <c r="D80" s="16"/>
      <c r="E80" s="16"/>
      <c r="F80" s="16"/>
      <c r="G80" s="16"/>
      <c r="H80" s="16"/>
      <c r="I80" s="16"/>
      <c r="J80" s="16"/>
      <c r="K80" s="16"/>
      <c r="L80" s="16"/>
    </row>
    <row r="81" spans="2:12" x14ac:dyDescent="0.3">
      <c r="B81" s="16"/>
      <c r="C81" s="16"/>
      <c r="D81" s="16"/>
      <c r="E81" s="16"/>
      <c r="F81" s="16"/>
      <c r="G81" s="16"/>
      <c r="H81" s="16"/>
      <c r="I81" s="16"/>
      <c r="J81" s="16"/>
      <c r="K81" s="16"/>
      <c r="L81" s="16"/>
    </row>
    <row r="82" spans="2:12" x14ac:dyDescent="0.3">
      <c r="B82" s="16"/>
      <c r="C82" s="16"/>
      <c r="D82" s="16"/>
      <c r="E82" s="16"/>
      <c r="F82" s="16"/>
      <c r="G82" s="16"/>
      <c r="H82" s="16"/>
      <c r="I82" s="16"/>
      <c r="J82" s="16"/>
      <c r="K82" s="16"/>
      <c r="L82" s="16"/>
    </row>
    <row r="83" spans="2:12" x14ac:dyDescent="0.3">
      <c r="B83" s="16"/>
      <c r="C83" s="16"/>
      <c r="D83" s="16"/>
      <c r="E83" s="16"/>
      <c r="F83" s="16"/>
      <c r="G83" s="16"/>
      <c r="H83" s="16"/>
      <c r="I83" s="16"/>
      <c r="J83" s="16"/>
      <c r="K83" s="16"/>
      <c r="L83" s="16"/>
    </row>
    <row r="84" spans="2:12" x14ac:dyDescent="0.3">
      <c r="B84" s="16"/>
      <c r="C84" s="16"/>
      <c r="D84" s="16"/>
      <c r="E84" s="16"/>
      <c r="F84" s="16"/>
      <c r="G84" s="16"/>
      <c r="H84" s="16"/>
      <c r="I84" s="16"/>
      <c r="J84" s="16"/>
      <c r="K84" s="16"/>
      <c r="L84" s="16"/>
    </row>
    <row r="85" spans="2:12" x14ac:dyDescent="0.3">
      <c r="B85" s="16"/>
      <c r="C85" s="16"/>
      <c r="D85" s="16"/>
      <c r="E85" s="16"/>
      <c r="F85" s="16"/>
      <c r="G85" s="16"/>
      <c r="H85" s="16"/>
      <c r="I85" s="16"/>
      <c r="J85" s="16"/>
      <c r="K85" s="16"/>
      <c r="L85" s="16"/>
    </row>
    <row r="86" spans="2:12" x14ac:dyDescent="0.3">
      <c r="B86" s="16"/>
      <c r="C86" s="16"/>
      <c r="D86" s="16"/>
      <c r="E86" s="16"/>
      <c r="F86" s="16"/>
      <c r="G86" s="16"/>
      <c r="H86" s="16"/>
      <c r="I86" s="16"/>
      <c r="J86" s="16"/>
      <c r="K86" s="16"/>
      <c r="L86" s="16"/>
    </row>
    <row r="87" spans="2:12" x14ac:dyDescent="0.3">
      <c r="B87" s="16"/>
      <c r="C87" s="16"/>
      <c r="D87" s="16"/>
      <c r="E87" s="16"/>
      <c r="F87" s="16"/>
      <c r="G87" s="16"/>
      <c r="H87" s="16"/>
      <c r="I87" s="16"/>
      <c r="J87" s="16"/>
      <c r="K87" s="16"/>
      <c r="L87" s="16"/>
    </row>
    <row r="88" spans="2:12" x14ac:dyDescent="0.3">
      <c r="B88" s="16"/>
      <c r="C88" s="16"/>
      <c r="D88" s="16"/>
      <c r="E88" s="16"/>
      <c r="F88" s="16"/>
      <c r="G88" s="16"/>
      <c r="H88" s="16"/>
      <c r="I88" s="16"/>
      <c r="J88" s="16"/>
      <c r="K88" s="16"/>
      <c r="L88" s="16"/>
    </row>
    <row r="89" spans="2:12" x14ac:dyDescent="0.3">
      <c r="B89" s="16"/>
      <c r="C89" s="16"/>
      <c r="D89" s="16"/>
      <c r="E89" s="16"/>
      <c r="F89" s="16"/>
      <c r="G89" s="16"/>
      <c r="H89" s="16"/>
      <c r="I89" s="16"/>
      <c r="J89" s="16"/>
      <c r="K89" s="16"/>
      <c r="L89" s="16"/>
    </row>
    <row r="90" spans="2:12" x14ac:dyDescent="0.3">
      <c r="B90" s="16"/>
      <c r="C90" s="16"/>
      <c r="D90" s="16"/>
      <c r="E90" s="16"/>
      <c r="F90" s="16"/>
      <c r="G90" s="16"/>
      <c r="H90" s="16"/>
      <c r="I90" s="16"/>
      <c r="J90" s="16"/>
      <c r="K90" s="16"/>
      <c r="L90" s="16"/>
    </row>
    <row r="91" spans="2:12" x14ac:dyDescent="0.3">
      <c r="B91" s="16"/>
      <c r="C91" s="16"/>
      <c r="D91" s="16"/>
      <c r="E91" s="16"/>
      <c r="F91" s="16"/>
      <c r="G91" s="16"/>
      <c r="H91" s="16"/>
      <c r="I91" s="16"/>
      <c r="J91" s="16"/>
      <c r="K91" s="16"/>
      <c r="L91" s="16"/>
    </row>
    <row r="94" spans="2:12" x14ac:dyDescent="0.3">
      <c r="B94" s="16"/>
      <c r="C94" s="16"/>
      <c r="D94" s="16"/>
      <c r="E94" s="16"/>
      <c r="F94" s="16"/>
      <c r="G94" s="16"/>
      <c r="H94" s="16"/>
      <c r="I94" s="16"/>
      <c r="J94" s="16"/>
      <c r="K94" s="16"/>
      <c r="L94" s="16"/>
    </row>
    <row r="101" spans="1:12" x14ac:dyDescent="0.3">
      <c r="H101" s="335"/>
      <c r="I101" s="335"/>
      <c r="J101" s="335"/>
      <c r="K101" s="335"/>
    </row>
    <row r="102" spans="1:12" x14ac:dyDescent="0.3">
      <c r="H102" s="335"/>
      <c r="I102" s="335"/>
      <c r="J102" s="335"/>
      <c r="K102" s="335"/>
    </row>
    <row r="107" spans="1:12" x14ac:dyDescent="0.3">
      <c r="J107" s="339"/>
      <c r="K107" s="339"/>
      <c r="L107" s="339"/>
    </row>
    <row r="108" spans="1:12" x14ac:dyDescent="0.3">
      <c r="A108" s="16"/>
      <c r="H108" s="17"/>
    </row>
    <row r="109" spans="1:12" x14ac:dyDescent="0.3">
      <c r="A109" s="302"/>
      <c r="B109" s="302"/>
      <c r="C109" s="302"/>
      <c r="D109" s="302"/>
      <c r="E109" s="302"/>
      <c r="F109" s="302"/>
      <c r="G109" s="39"/>
      <c r="H109" s="17"/>
    </row>
    <row r="110" spans="1:12" x14ac:dyDescent="0.3">
      <c r="A110" s="302"/>
      <c r="B110" s="302"/>
      <c r="C110" s="302"/>
      <c r="D110" s="302"/>
      <c r="E110" s="302"/>
      <c r="F110" s="302"/>
      <c r="G110" s="39"/>
      <c r="H110" s="1"/>
      <c r="I110" s="1"/>
      <c r="J110" s="1"/>
      <c r="K110" s="1"/>
      <c r="L110" s="1"/>
    </row>
    <row r="111" spans="1:12" x14ac:dyDescent="0.3">
      <c r="A111" s="40"/>
      <c r="B111" s="305"/>
      <c r="C111" s="305"/>
      <c r="D111" s="305"/>
      <c r="E111" s="305"/>
      <c r="F111" s="17"/>
      <c r="G111" s="17"/>
      <c r="H111" s="40"/>
    </row>
    <row r="112" spans="1:12" x14ac:dyDescent="0.3">
      <c r="A112" s="16"/>
      <c r="H112" s="40"/>
    </row>
    <row r="113" spans="1:12" x14ac:dyDescent="0.3">
      <c r="A113" s="285"/>
      <c r="B113" s="285"/>
      <c r="C113" s="285"/>
      <c r="D113" s="285"/>
      <c r="E113" s="285"/>
      <c r="F113" s="285"/>
      <c r="G113" s="25"/>
      <c r="H113" s="40"/>
    </row>
    <row r="114" spans="1:12" x14ac:dyDescent="0.3">
      <c r="A114" s="16"/>
      <c r="B114" s="285"/>
      <c r="C114" s="285"/>
      <c r="D114" s="285"/>
      <c r="E114" s="285"/>
      <c r="H114" s="40"/>
    </row>
    <row r="115" spans="1:12" x14ac:dyDescent="0.3">
      <c r="H115" s="40"/>
    </row>
    <row r="116" spans="1:12" x14ac:dyDescent="0.3">
      <c r="A116" s="17"/>
      <c r="H116" s="17"/>
    </row>
    <row r="117" spans="1:12" x14ac:dyDescent="0.3">
      <c r="A117" s="17"/>
      <c r="H117" s="17"/>
    </row>
    <row r="118" spans="1:12" x14ac:dyDescent="0.3">
      <c r="A118" s="340"/>
      <c r="B118" s="341"/>
      <c r="C118" s="341"/>
      <c r="D118" s="341"/>
      <c r="E118" s="341"/>
      <c r="F118" s="341"/>
      <c r="G118" s="341"/>
      <c r="H118" s="341"/>
      <c r="I118" s="341"/>
      <c r="J118" s="341"/>
      <c r="K118" s="341"/>
      <c r="L118" s="341"/>
    </row>
    <row r="119" spans="1:12" x14ac:dyDescent="0.3">
      <c r="A119" s="340"/>
      <c r="B119" s="341"/>
      <c r="C119" s="341"/>
      <c r="D119" s="341"/>
      <c r="E119" s="341"/>
      <c r="F119" s="341"/>
      <c r="G119" s="341"/>
      <c r="H119" s="341"/>
      <c r="I119" s="341"/>
      <c r="J119" s="341"/>
      <c r="K119" s="341"/>
      <c r="L119" s="341"/>
    </row>
    <row r="120" spans="1:12" x14ac:dyDescent="0.3">
      <c r="A120" s="1"/>
      <c r="B120" s="5"/>
      <c r="C120" s="5"/>
      <c r="D120" s="5"/>
      <c r="E120" s="5"/>
      <c r="F120" s="5"/>
      <c r="G120" s="5"/>
      <c r="H120" s="5"/>
      <c r="I120" s="5"/>
      <c r="J120" s="41"/>
      <c r="K120" s="41"/>
      <c r="L120" s="41"/>
    </row>
    <row r="121" spans="1:12" x14ac:dyDescent="0.3">
      <c r="A121" s="17"/>
    </row>
    <row r="122" spans="1:12" x14ac:dyDescent="0.3">
      <c r="B122" s="16"/>
      <c r="C122" s="16"/>
      <c r="D122" s="16"/>
      <c r="E122" s="16"/>
      <c r="F122" s="16"/>
      <c r="G122" s="16"/>
      <c r="H122" s="16"/>
      <c r="I122" s="16"/>
      <c r="J122" s="16"/>
      <c r="K122" s="16"/>
      <c r="L122" s="16"/>
    </row>
    <row r="123" spans="1:12" x14ac:dyDescent="0.3">
      <c r="B123" s="16"/>
      <c r="C123" s="16"/>
      <c r="D123" s="16"/>
      <c r="E123" s="16"/>
      <c r="F123" s="16"/>
      <c r="G123" s="16"/>
      <c r="H123" s="16"/>
      <c r="I123" s="16"/>
      <c r="J123" s="16"/>
      <c r="K123" s="16"/>
      <c r="L123" s="16"/>
    </row>
    <row r="124" spans="1:12" x14ac:dyDescent="0.3">
      <c r="B124" s="16"/>
      <c r="C124" s="16"/>
      <c r="D124" s="16"/>
      <c r="E124" s="16"/>
      <c r="F124" s="16"/>
      <c r="G124" s="16"/>
      <c r="H124" s="16"/>
      <c r="I124" s="16"/>
      <c r="J124" s="16"/>
      <c r="K124" s="16"/>
      <c r="L124" s="16"/>
    </row>
    <row r="125" spans="1:12" x14ac:dyDescent="0.3">
      <c r="B125" s="16"/>
      <c r="C125" s="16"/>
      <c r="D125" s="16"/>
      <c r="E125" s="16"/>
      <c r="F125" s="16"/>
      <c r="G125" s="16"/>
      <c r="H125" s="16"/>
      <c r="I125" s="16"/>
      <c r="J125" s="16"/>
      <c r="K125" s="16"/>
      <c r="L125" s="16"/>
    </row>
    <row r="126" spans="1:12" x14ac:dyDescent="0.3">
      <c r="B126" s="16"/>
      <c r="C126" s="16"/>
      <c r="D126" s="16"/>
      <c r="E126" s="16"/>
      <c r="F126" s="16"/>
      <c r="G126" s="16"/>
      <c r="H126" s="16"/>
      <c r="I126" s="16"/>
      <c r="J126" s="16"/>
      <c r="K126" s="16"/>
      <c r="L126" s="16"/>
    </row>
    <row r="127" spans="1:12" x14ac:dyDescent="0.3">
      <c r="B127" s="16"/>
      <c r="C127" s="16"/>
      <c r="D127" s="16"/>
      <c r="E127" s="16"/>
      <c r="F127" s="16"/>
      <c r="G127" s="16"/>
      <c r="H127" s="16"/>
      <c r="I127" s="16"/>
      <c r="J127" s="16"/>
      <c r="K127" s="16"/>
      <c r="L127" s="16"/>
    </row>
    <row r="128" spans="1:12" x14ac:dyDescent="0.3">
      <c r="B128" s="16"/>
      <c r="C128" s="16"/>
      <c r="D128" s="16"/>
      <c r="E128" s="16"/>
      <c r="F128" s="16"/>
      <c r="G128" s="16"/>
      <c r="H128" s="16"/>
      <c r="I128" s="16"/>
      <c r="J128" s="16"/>
      <c r="K128" s="16"/>
      <c r="L128" s="16"/>
    </row>
    <row r="129" spans="2:12" x14ac:dyDescent="0.3">
      <c r="B129" s="16"/>
      <c r="C129" s="16"/>
      <c r="D129" s="16"/>
      <c r="E129" s="16"/>
      <c r="F129" s="16"/>
      <c r="G129" s="16"/>
      <c r="H129" s="16"/>
      <c r="I129" s="16"/>
      <c r="J129" s="16"/>
      <c r="K129" s="16"/>
      <c r="L129" s="16"/>
    </row>
    <row r="130" spans="2:12" x14ac:dyDescent="0.3">
      <c r="B130" s="16"/>
      <c r="C130" s="16"/>
      <c r="D130" s="16"/>
      <c r="E130" s="16"/>
      <c r="F130" s="16"/>
      <c r="G130" s="16"/>
      <c r="H130" s="16"/>
      <c r="I130" s="16"/>
      <c r="J130" s="16"/>
      <c r="K130" s="16"/>
      <c r="L130" s="16"/>
    </row>
    <row r="131" spans="2:12" x14ac:dyDescent="0.3">
      <c r="B131" s="16"/>
      <c r="C131" s="16"/>
      <c r="D131" s="16"/>
      <c r="E131" s="16"/>
      <c r="F131" s="16"/>
      <c r="G131" s="16"/>
      <c r="H131" s="16"/>
      <c r="I131" s="16"/>
      <c r="J131" s="16"/>
      <c r="K131" s="16"/>
      <c r="L131" s="16"/>
    </row>
    <row r="132" spans="2:12" x14ac:dyDescent="0.3">
      <c r="B132" s="16"/>
      <c r="C132" s="16"/>
      <c r="D132" s="16"/>
      <c r="E132" s="16"/>
      <c r="F132" s="16"/>
      <c r="G132" s="16"/>
      <c r="H132" s="16"/>
      <c r="I132" s="16"/>
      <c r="J132" s="16"/>
      <c r="K132" s="16"/>
      <c r="L132" s="16"/>
    </row>
    <row r="133" spans="2:12" x14ac:dyDescent="0.3">
      <c r="B133" s="16"/>
      <c r="C133" s="16"/>
      <c r="D133" s="16"/>
      <c r="E133" s="16"/>
      <c r="F133" s="16"/>
      <c r="G133" s="16"/>
      <c r="H133" s="16"/>
      <c r="I133" s="16"/>
      <c r="J133" s="16"/>
      <c r="K133" s="16"/>
      <c r="L133" s="16"/>
    </row>
    <row r="134" spans="2:12" x14ac:dyDescent="0.3">
      <c r="B134" s="16"/>
      <c r="C134" s="16"/>
      <c r="D134" s="16"/>
      <c r="E134" s="16"/>
      <c r="F134" s="16"/>
      <c r="G134" s="16"/>
      <c r="H134" s="16"/>
      <c r="I134" s="16"/>
      <c r="J134" s="16"/>
      <c r="K134" s="16"/>
      <c r="L134" s="16"/>
    </row>
    <row r="135" spans="2:12" x14ac:dyDescent="0.3">
      <c r="B135" s="16"/>
      <c r="C135" s="16"/>
      <c r="D135" s="16"/>
      <c r="E135" s="16"/>
      <c r="F135" s="16"/>
      <c r="G135" s="16"/>
      <c r="H135" s="16"/>
      <c r="I135" s="16"/>
      <c r="J135" s="16"/>
      <c r="K135" s="16"/>
      <c r="L135" s="16"/>
    </row>
    <row r="136" spans="2:12" x14ac:dyDescent="0.3">
      <c r="B136" s="16"/>
      <c r="C136" s="16"/>
      <c r="D136" s="16"/>
      <c r="E136" s="16"/>
      <c r="F136" s="16"/>
      <c r="G136" s="16"/>
      <c r="H136" s="16"/>
      <c r="I136" s="16"/>
      <c r="J136" s="16"/>
      <c r="K136" s="16"/>
      <c r="L136" s="16"/>
    </row>
    <row r="137" spans="2:12" x14ac:dyDescent="0.3">
      <c r="B137" s="16"/>
      <c r="C137" s="16"/>
      <c r="D137" s="16"/>
      <c r="E137" s="16"/>
      <c r="F137" s="16"/>
      <c r="G137" s="16"/>
      <c r="H137" s="16"/>
      <c r="I137" s="16"/>
      <c r="J137" s="16"/>
      <c r="K137" s="16"/>
      <c r="L137" s="16"/>
    </row>
    <row r="138" spans="2:12" x14ac:dyDescent="0.3">
      <c r="B138" s="16"/>
      <c r="C138" s="16"/>
      <c r="D138" s="16"/>
      <c r="E138" s="16"/>
      <c r="F138" s="16"/>
      <c r="G138" s="16"/>
      <c r="H138" s="16"/>
      <c r="I138" s="16"/>
      <c r="J138" s="16"/>
      <c r="K138" s="16"/>
      <c r="L138" s="16"/>
    </row>
    <row r="139" spans="2:12" x14ac:dyDescent="0.3">
      <c r="B139" s="16"/>
      <c r="C139" s="16"/>
      <c r="D139" s="16"/>
      <c r="E139" s="16"/>
      <c r="F139" s="16"/>
      <c r="G139" s="16"/>
      <c r="H139" s="16"/>
      <c r="I139" s="16"/>
      <c r="J139" s="16"/>
      <c r="K139" s="16"/>
      <c r="L139" s="16"/>
    </row>
    <row r="140" spans="2:12" x14ac:dyDescent="0.3">
      <c r="B140" s="16"/>
      <c r="C140" s="16"/>
      <c r="D140" s="16"/>
      <c r="E140" s="16"/>
      <c r="F140" s="16"/>
      <c r="G140" s="16"/>
      <c r="H140" s="16"/>
      <c r="I140" s="16"/>
      <c r="J140" s="16"/>
      <c r="K140" s="16"/>
      <c r="L140" s="16"/>
    </row>
    <row r="141" spans="2:12" x14ac:dyDescent="0.3">
      <c r="B141" s="16"/>
      <c r="C141" s="16"/>
      <c r="D141" s="16"/>
      <c r="E141" s="16"/>
      <c r="F141" s="16"/>
      <c r="G141" s="16"/>
      <c r="H141" s="16"/>
      <c r="I141" s="16"/>
      <c r="J141" s="16"/>
      <c r="K141" s="16"/>
      <c r="L141" s="16"/>
    </row>
    <row r="142" spans="2:12" x14ac:dyDescent="0.3">
      <c r="B142" s="16"/>
      <c r="C142" s="16"/>
      <c r="D142" s="16"/>
      <c r="E142" s="16"/>
      <c r="F142" s="16"/>
      <c r="G142" s="16"/>
      <c r="H142" s="16"/>
      <c r="I142" s="16"/>
      <c r="J142" s="16"/>
      <c r="K142" s="16"/>
      <c r="L142" s="16"/>
    </row>
    <row r="143" spans="2:12" x14ac:dyDescent="0.3">
      <c r="B143" s="16"/>
      <c r="C143" s="16"/>
      <c r="D143" s="16"/>
      <c r="E143" s="16"/>
      <c r="F143" s="16"/>
      <c r="G143" s="16"/>
      <c r="H143" s="16"/>
      <c r="I143" s="16"/>
      <c r="J143" s="16"/>
      <c r="K143" s="16"/>
      <c r="L143" s="16"/>
    </row>
    <row r="144" spans="2:12" x14ac:dyDescent="0.3">
      <c r="B144" s="16"/>
      <c r="C144" s="16"/>
      <c r="D144" s="16"/>
      <c r="E144" s="16"/>
      <c r="F144" s="16"/>
      <c r="G144" s="16"/>
      <c r="H144" s="16"/>
      <c r="I144" s="16"/>
      <c r="J144" s="16"/>
      <c r="K144" s="16"/>
      <c r="L144" s="16"/>
    </row>
    <row r="145" spans="2:12" x14ac:dyDescent="0.3">
      <c r="B145" s="16"/>
      <c r="C145" s="16"/>
      <c r="D145" s="16"/>
      <c r="E145" s="16"/>
      <c r="F145" s="16"/>
      <c r="G145" s="16"/>
      <c r="H145" s="16"/>
      <c r="I145" s="16"/>
      <c r="J145" s="16"/>
      <c r="K145" s="16"/>
      <c r="L145" s="16"/>
    </row>
    <row r="146" spans="2:12" x14ac:dyDescent="0.3">
      <c r="B146" s="16"/>
      <c r="C146" s="16"/>
      <c r="D146" s="16"/>
      <c r="E146" s="16"/>
      <c r="F146" s="16"/>
      <c r="G146" s="16"/>
      <c r="H146" s="16"/>
      <c r="I146" s="16"/>
      <c r="J146" s="16"/>
      <c r="K146" s="16"/>
      <c r="L146" s="16"/>
    </row>
    <row r="147" spans="2:12" x14ac:dyDescent="0.3">
      <c r="B147" s="16"/>
      <c r="C147" s="16"/>
      <c r="D147" s="16"/>
      <c r="E147" s="16"/>
      <c r="F147" s="16"/>
      <c r="G147" s="16"/>
      <c r="H147" s="16"/>
      <c r="I147" s="16"/>
      <c r="J147" s="16"/>
      <c r="K147" s="16"/>
      <c r="L147" s="16"/>
    </row>
    <row r="148" spans="2:12" x14ac:dyDescent="0.3">
      <c r="B148" s="16"/>
      <c r="C148" s="16"/>
      <c r="D148" s="16"/>
      <c r="E148" s="16"/>
      <c r="F148" s="16"/>
      <c r="G148" s="16"/>
      <c r="H148" s="16"/>
      <c r="I148" s="16"/>
      <c r="J148" s="16"/>
      <c r="K148" s="16"/>
      <c r="L148" s="16"/>
    </row>
    <row r="149" spans="2:12" x14ac:dyDescent="0.3">
      <c r="B149" s="16"/>
      <c r="C149" s="16"/>
      <c r="D149" s="16"/>
      <c r="E149" s="16"/>
      <c r="F149" s="16"/>
      <c r="G149" s="16"/>
      <c r="H149" s="16"/>
      <c r="I149" s="16"/>
      <c r="J149" s="16"/>
      <c r="K149" s="16"/>
      <c r="L149" s="16"/>
    </row>
    <row r="150" spans="2:12" x14ac:dyDescent="0.3">
      <c r="B150" s="16"/>
      <c r="C150" s="16"/>
      <c r="D150" s="16"/>
      <c r="E150" s="16"/>
      <c r="F150" s="16"/>
      <c r="G150" s="16"/>
      <c r="H150" s="16"/>
      <c r="I150" s="16"/>
      <c r="J150" s="16"/>
      <c r="K150" s="16"/>
      <c r="L150" s="16"/>
    </row>
    <row r="151" spans="2:12" x14ac:dyDescent="0.3">
      <c r="B151" s="16"/>
      <c r="C151" s="16"/>
      <c r="D151" s="16"/>
      <c r="E151" s="16"/>
      <c r="F151" s="16"/>
      <c r="G151" s="16"/>
      <c r="H151" s="16"/>
      <c r="I151" s="16"/>
      <c r="J151" s="16"/>
      <c r="K151" s="16"/>
      <c r="L151" s="16"/>
    </row>
    <row r="154" spans="2:12" x14ac:dyDescent="0.3">
      <c r="B154" s="16"/>
      <c r="C154" s="16"/>
      <c r="D154" s="16"/>
      <c r="E154" s="16"/>
      <c r="F154" s="16"/>
      <c r="G154" s="16"/>
      <c r="H154" s="16"/>
      <c r="I154" s="16"/>
      <c r="J154" s="16"/>
      <c r="K154" s="16"/>
      <c r="L154" s="16"/>
    </row>
    <row r="161" spans="8:11" x14ac:dyDescent="0.3">
      <c r="H161" s="335"/>
      <c r="I161" s="335"/>
      <c r="J161" s="335"/>
      <c r="K161" s="335"/>
    </row>
    <row r="162" spans="8:11" x14ac:dyDescent="0.3">
      <c r="H162" s="335"/>
      <c r="I162" s="335"/>
      <c r="J162" s="335"/>
      <c r="K162" s="335"/>
    </row>
  </sheetData>
  <mergeCells count="64">
    <mergeCell ref="A7:G7"/>
    <mergeCell ref="J1:L1"/>
    <mergeCell ref="A3:F3"/>
    <mergeCell ref="A4:G4"/>
    <mergeCell ref="A5:G5"/>
    <mergeCell ref="H5:L5"/>
    <mergeCell ref="A14:A17"/>
    <mergeCell ref="B14:F17"/>
    <mergeCell ref="G14:G17"/>
    <mergeCell ref="H14:I17"/>
    <mergeCell ref="J14:L17"/>
    <mergeCell ref="B8:E8"/>
    <mergeCell ref="H8:L8"/>
    <mergeCell ref="B11:D11"/>
    <mergeCell ref="E11:H12"/>
    <mergeCell ref="I11:L12"/>
    <mergeCell ref="B18:F18"/>
    <mergeCell ref="H18:I18"/>
    <mergeCell ref="J18:L18"/>
    <mergeCell ref="B19:F19"/>
    <mergeCell ref="H19:I19"/>
    <mergeCell ref="J19:L19"/>
    <mergeCell ref="B20:F20"/>
    <mergeCell ref="H20:I20"/>
    <mergeCell ref="J20:L20"/>
    <mergeCell ref="B21:F21"/>
    <mergeCell ref="H21:I21"/>
    <mergeCell ref="J21:L21"/>
    <mergeCell ref="H37:K37"/>
    <mergeCell ref="B22:F22"/>
    <mergeCell ref="H22:I22"/>
    <mergeCell ref="J22:L22"/>
    <mergeCell ref="B23:F23"/>
    <mergeCell ref="H23:I23"/>
    <mergeCell ref="J23:L23"/>
    <mergeCell ref="C25:F26"/>
    <mergeCell ref="I25:J26"/>
    <mergeCell ref="C29:F30"/>
    <mergeCell ref="I29:K29"/>
    <mergeCell ref="H36:K36"/>
    <mergeCell ref="H101:K101"/>
    <mergeCell ref="H38:K38"/>
    <mergeCell ref="H39:K39"/>
    <mergeCell ref="J47:L47"/>
    <mergeCell ref="A49:F49"/>
    <mergeCell ref="A50:F50"/>
    <mergeCell ref="B51:E51"/>
    <mergeCell ref="A53:F53"/>
    <mergeCell ref="B54:E54"/>
    <mergeCell ref="A58:A59"/>
    <mergeCell ref="B58:I59"/>
    <mergeCell ref="J58:L59"/>
    <mergeCell ref="H162:K162"/>
    <mergeCell ref="H102:K102"/>
    <mergeCell ref="J107:L107"/>
    <mergeCell ref="A109:F109"/>
    <mergeCell ref="A110:F110"/>
    <mergeCell ref="B111:E111"/>
    <mergeCell ref="A113:F113"/>
    <mergeCell ref="B114:E114"/>
    <mergeCell ref="A118:A119"/>
    <mergeCell ref="B118:I119"/>
    <mergeCell ref="J118:L119"/>
    <mergeCell ref="H161:K161"/>
  </mergeCells>
  <dataValidations count="1">
    <dataValidation type="list" allowBlank="1" showInputMessage="1" showErrorMessage="1" sqref="A18:A23" xr:uid="{E6D7264D-D8E5-40F3-98AF-433CBF5E3A41}">
      <formula1>ITEMNO</formula1>
    </dataValidation>
  </dataValidations>
  <hyperlinks>
    <hyperlink ref="I11" r:id="rId1" xr:uid="{9BF81A91-890B-4A5C-9163-889B44043EE0}"/>
  </hyperlinks>
  <pageMargins left="0.7" right="0.7" top="0.75" bottom="0.75" header="0.3" footer="0.3"/>
  <pageSetup paperSize="14" scale="90" orientation="portrait" r:id="rId2"/>
  <rowBreaks count="1" manualBreakCount="1">
    <brk id="40" max="16383" man="1"/>
  </rowBreak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B801B-A79E-4461-A047-3CA5B79296FE}">
  <sheetPr>
    <tabColor theme="7" tint="0.39997558519241921"/>
    <pageSetUpPr fitToPage="1"/>
  </sheetPr>
  <dimension ref="A1:M162"/>
  <sheetViews>
    <sheetView view="pageBreakPreview" zoomScale="145" zoomScaleNormal="100" zoomScaleSheetLayoutView="145" workbookViewId="0">
      <selection activeCell="P41" sqref="P41"/>
    </sheetView>
  </sheetViews>
  <sheetFormatPr defaultRowHeight="14.4" x14ac:dyDescent="0.3"/>
  <cols>
    <col min="1" max="1" width="11.5546875" customWidth="1"/>
    <col min="6" max="6" width="1.44140625" customWidth="1"/>
    <col min="7" max="7" width="13.6640625" hidden="1" customWidth="1"/>
    <col min="9" max="9" width="10.33203125" customWidth="1"/>
    <col min="12" max="12" width="13.88671875" customWidth="1"/>
  </cols>
  <sheetData>
    <row r="1" spans="1:12" x14ac:dyDescent="0.3">
      <c r="A1" s="4" t="s">
        <v>572</v>
      </c>
      <c r="B1" s="4"/>
      <c r="C1" s="4"/>
      <c r="D1" s="4"/>
      <c r="E1" s="4"/>
      <c r="F1" s="4"/>
      <c r="G1" s="4"/>
      <c r="H1" s="4"/>
      <c r="I1" s="4"/>
      <c r="J1" s="293" t="s">
        <v>573</v>
      </c>
      <c r="K1" s="293"/>
      <c r="L1" s="293"/>
    </row>
    <row r="2" spans="1:12" ht="15" thickBot="1" x14ac:dyDescent="0.35">
      <c r="A2" s="70" t="s">
        <v>574</v>
      </c>
      <c r="B2" s="4"/>
      <c r="C2" s="4"/>
      <c r="D2" s="4"/>
      <c r="E2" s="4"/>
      <c r="F2" s="4"/>
      <c r="G2" s="4"/>
      <c r="H2" s="71"/>
      <c r="I2" s="4"/>
      <c r="J2" s="4"/>
      <c r="K2" s="4"/>
      <c r="L2" s="4"/>
    </row>
    <row r="3" spans="1:12" x14ac:dyDescent="0.3">
      <c r="A3" s="353"/>
      <c r="B3" s="354"/>
      <c r="C3" s="354"/>
      <c r="D3" s="354"/>
      <c r="E3" s="354"/>
      <c r="F3" s="354"/>
      <c r="G3" s="115"/>
      <c r="H3" s="116" t="s">
        <v>575</v>
      </c>
      <c r="I3" s="117"/>
      <c r="J3" s="117"/>
      <c r="K3" s="117"/>
      <c r="L3" s="118"/>
    </row>
    <row r="4" spans="1:12" x14ac:dyDescent="0.3">
      <c r="A4" s="355" t="s">
        <v>576</v>
      </c>
      <c r="B4" s="302"/>
      <c r="C4" s="302"/>
      <c r="D4" s="302"/>
      <c r="E4" s="302"/>
      <c r="F4" s="302"/>
      <c r="G4" s="303"/>
      <c r="H4" s="1"/>
      <c r="I4" s="1"/>
      <c r="J4" s="1"/>
      <c r="K4" s="1"/>
      <c r="L4" s="119"/>
    </row>
    <row r="5" spans="1:12" x14ac:dyDescent="0.3">
      <c r="A5" s="356" t="s">
        <v>577</v>
      </c>
      <c r="B5" s="305"/>
      <c r="C5" s="305"/>
      <c r="D5" s="305"/>
      <c r="E5" s="305"/>
      <c r="F5" s="305"/>
      <c r="G5" s="306"/>
      <c r="H5" s="296" t="s">
        <v>578</v>
      </c>
      <c r="I5" s="297"/>
      <c r="J5" s="297"/>
      <c r="K5" s="297"/>
      <c r="L5" s="357"/>
    </row>
    <row r="6" spans="1:12" x14ac:dyDescent="0.3">
      <c r="A6" s="120"/>
      <c r="G6" s="50"/>
      <c r="H6" s="45"/>
      <c r="I6" s="23"/>
      <c r="J6" s="23"/>
      <c r="K6" s="23"/>
      <c r="L6" s="121"/>
    </row>
    <row r="7" spans="1:12" x14ac:dyDescent="0.3">
      <c r="A7" s="352" t="s">
        <v>579</v>
      </c>
      <c r="B7" s="299"/>
      <c r="C7" s="299"/>
      <c r="D7" s="299"/>
      <c r="E7" s="299"/>
      <c r="F7" s="299"/>
      <c r="G7" s="300"/>
      <c r="H7" s="46" t="s">
        <v>580</v>
      </c>
      <c r="I7" s="18"/>
      <c r="J7" s="18"/>
      <c r="K7" s="18"/>
      <c r="L7" s="122"/>
    </row>
    <row r="8" spans="1:12" x14ac:dyDescent="0.3">
      <c r="A8" s="120"/>
      <c r="B8" s="285"/>
      <c r="C8" s="285"/>
      <c r="D8" s="285"/>
      <c r="E8" s="285"/>
      <c r="G8" s="50"/>
      <c r="H8" s="286" t="s">
        <v>616</v>
      </c>
      <c r="I8" s="286"/>
      <c r="J8" s="286"/>
      <c r="K8" s="286"/>
      <c r="L8" s="363"/>
    </row>
    <row r="9" spans="1:12" x14ac:dyDescent="0.3">
      <c r="A9" s="123"/>
      <c r="B9" s="52"/>
      <c r="C9" s="52"/>
      <c r="D9" s="52"/>
      <c r="E9" s="52"/>
      <c r="F9" s="52"/>
      <c r="G9" s="53"/>
      <c r="H9" s="45"/>
      <c r="L9" s="124"/>
    </row>
    <row r="10" spans="1:12" x14ac:dyDescent="0.3">
      <c r="A10" s="125" t="s">
        <v>582</v>
      </c>
      <c r="B10" s="55"/>
      <c r="C10" s="55"/>
      <c r="D10" s="56"/>
      <c r="E10" s="47" t="s">
        <v>583</v>
      </c>
      <c r="F10" s="47"/>
      <c r="G10" s="47"/>
      <c r="H10" s="28"/>
      <c r="I10" s="61" t="s">
        <v>584</v>
      </c>
      <c r="J10" s="62"/>
      <c r="K10" s="62"/>
      <c r="L10" s="126"/>
    </row>
    <row r="11" spans="1:12" x14ac:dyDescent="0.3">
      <c r="A11" s="127"/>
      <c r="B11" s="287">
        <v>45742</v>
      </c>
      <c r="C11" s="287"/>
      <c r="D11" s="288"/>
      <c r="E11" s="289" t="s">
        <v>585</v>
      </c>
      <c r="F11" s="290"/>
      <c r="G11" s="290"/>
      <c r="H11" s="290"/>
      <c r="I11" s="291" t="s">
        <v>586</v>
      </c>
      <c r="J11" s="292"/>
      <c r="K11" s="292"/>
      <c r="L11" s="364"/>
    </row>
    <row r="12" spans="1:12" x14ac:dyDescent="0.3">
      <c r="A12" s="128"/>
      <c r="B12" s="59"/>
      <c r="C12" s="59"/>
      <c r="D12" s="60"/>
      <c r="E12" s="289"/>
      <c r="F12" s="290"/>
      <c r="G12" s="290"/>
      <c r="H12" s="290"/>
      <c r="I12" s="292"/>
      <c r="J12" s="292"/>
      <c r="K12" s="292"/>
      <c r="L12" s="364"/>
    </row>
    <row r="13" spans="1:12" x14ac:dyDescent="0.3">
      <c r="A13" s="129"/>
      <c r="B13" s="47"/>
      <c r="C13" s="47"/>
      <c r="D13" s="87"/>
      <c r="E13" s="47"/>
      <c r="F13" s="47"/>
      <c r="G13" s="47"/>
      <c r="H13" s="47"/>
      <c r="I13" s="86"/>
      <c r="J13" s="30"/>
      <c r="K13" s="30"/>
      <c r="L13" s="130"/>
    </row>
    <row r="14" spans="1:12" x14ac:dyDescent="0.3">
      <c r="A14" s="358" t="s">
        <v>587</v>
      </c>
      <c r="B14" s="313" t="s">
        <v>588</v>
      </c>
      <c r="C14" s="314"/>
      <c r="D14" s="314"/>
      <c r="E14" s="314"/>
      <c r="F14" s="314"/>
      <c r="G14" s="325" t="s">
        <v>589</v>
      </c>
      <c r="H14" s="319" t="s">
        <v>8</v>
      </c>
      <c r="I14" s="320"/>
      <c r="J14" s="328" t="s">
        <v>590</v>
      </c>
      <c r="K14" s="328"/>
      <c r="L14" s="360"/>
    </row>
    <row r="15" spans="1:12" x14ac:dyDescent="0.3">
      <c r="A15" s="358"/>
      <c r="B15" s="315"/>
      <c r="C15" s="316"/>
      <c r="D15" s="316"/>
      <c r="E15" s="316"/>
      <c r="F15" s="316"/>
      <c r="G15" s="326"/>
      <c r="H15" s="321"/>
      <c r="I15" s="322"/>
      <c r="J15" s="330"/>
      <c r="K15" s="330"/>
      <c r="L15" s="361"/>
    </row>
    <row r="16" spans="1:12" x14ac:dyDescent="0.3">
      <c r="A16" s="358"/>
      <c r="B16" s="315"/>
      <c r="C16" s="316"/>
      <c r="D16" s="316"/>
      <c r="E16" s="316"/>
      <c r="F16" s="316"/>
      <c r="G16" s="326"/>
      <c r="H16" s="321"/>
      <c r="I16" s="322"/>
      <c r="J16" s="330"/>
      <c r="K16" s="330"/>
      <c r="L16" s="361"/>
    </row>
    <row r="17" spans="1:13" ht="3.6" customHeight="1" x14ac:dyDescent="0.3">
      <c r="A17" s="359"/>
      <c r="B17" s="317"/>
      <c r="C17" s="318"/>
      <c r="D17" s="318"/>
      <c r="E17" s="318"/>
      <c r="F17" s="318"/>
      <c r="G17" s="327"/>
      <c r="H17" s="323"/>
      <c r="I17" s="324"/>
      <c r="J17" s="332"/>
      <c r="K17" s="332"/>
      <c r="L17" s="362"/>
    </row>
    <row r="18" spans="1:13" ht="66.599999999999994" customHeight="1" x14ac:dyDescent="0.3">
      <c r="A18" s="131" t="s">
        <v>22</v>
      </c>
      <c r="B18" s="345" t="str">
        <f t="shared" ref="B18:B23" si="0">IFERROR(VLOOKUP(A18,DESCRIP,2,0),"-")</f>
        <v>APPLICATIONS (RD,RO,EC MED, RF, MAT, SO, RR, SS, PLP, ACOP)</v>
      </c>
      <c r="C18" s="346"/>
      <c r="D18" s="346"/>
      <c r="E18" s="346"/>
      <c r="F18" s="346"/>
      <c r="G18" s="112" t="s">
        <v>591</v>
      </c>
      <c r="H18" s="347" t="s">
        <v>624</v>
      </c>
      <c r="I18" s="348"/>
      <c r="J18" s="349" t="str">
        <f t="shared" ref="J18:J23" si="1">IFERROR(VLOOKUP(A18,DESCRIP,3,0),"-")</f>
        <v>1 YEAR</v>
      </c>
      <c r="K18" s="349"/>
      <c r="L18" s="365"/>
    </row>
    <row r="19" spans="1:13" ht="62.4" hidden="1" customHeight="1" x14ac:dyDescent="0.3">
      <c r="A19" s="132">
        <v>82</v>
      </c>
      <c r="B19" s="345" t="str">
        <f t="shared" si="0"/>
        <v>REPORTS  (Daily Cash Reports)</v>
      </c>
      <c r="C19" s="346"/>
      <c r="D19" s="346"/>
      <c r="E19" s="346"/>
      <c r="F19" s="346"/>
      <c r="G19" s="112"/>
      <c r="H19" s="351" t="s">
        <v>19</v>
      </c>
      <c r="I19" s="351"/>
      <c r="J19" s="349" t="str">
        <f t="shared" si="1"/>
        <v>3 YEARS</v>
      </c>
      <c r="K19" s="349"/>
      <c r="L19" s="365"/>
      <c r="M19" s="73" t="s">
        <v>625</v>
      </c>
    </row>
    <row r="20" spans="1:13" ht="66.599999999999994" hidden="1" customHeight="1" x14ac:dyDescent="0.3">
      <c r="A20" s="133"/>
      <c r="B20" s="337" t="str">
        <f t="shared" si="0"/>
        <v>-</v>
      </c>
      <c r="C20" s="338"/>
      <c r="D20" s="338"/>
      <c r="E20" s="338"/>
      <c r="F20" s="338"/>
      <c r="G20" s="94"/>
      <c r="H20" s="310"/>
      <c r="I20" s="310"/>
      <c r="J20" s="308" t="str">
        <f t="shared" si="1"/>
        <v>-</v>
      </c>
      <c r="K20" s="308"/>
      <c r="L20" s="366"/>
    </row>
    <row r="21" spans="1:13" ht="66.599999999999994" hidden="1" customHeight="1" x14ac:dyDescent="0.3">
      <c r="A21" s="133"/>
      <c r="B21" s="337" t="str">
        <f t="shared" si="0"/>
        <v>-</v>
      </c>
      <c r="C21" s="338"/>
      <c r="D21" s="338"/>
      <c r="E21" s="338"/>
      <c r="F21" s="338"/>
      <c r="G21" s="94"/>
      <c r="H21" s="310"/>
      <c r="I21" s="310"/>
      <c r="J21" s="308" t="str">
        <f t="shared" si="1"/>
        <v>-</v>
      </c>
      <c r="K21" s="308"/>
      <c r="L21" s="366"/>
    </row>
    <row r="22" spans="1:13" ht="66.599999999999994" hidden="1" customHeight="1" x14ac:dyDescent="0.3">
      <c r="A22" s="133"/>
      <c r="B22" s="337" t="str">
        <f t="shared" si="0"/>
        <v>-</v>
      </c>
      <c r="C22" s="338"/>
      <c r="D22" s="338"/>
      <c r="E22" s="338"/>
      <c r="F22" s="338"/>
      <c r="G22" s="94"/>
      <c r="H22" s="310"/>
      <c r="I22" s="310"/>
      <c r="J22" s="308" t="str">
        <f t="shared" si="1"/>
        <v>-</v>
      </c>
      <c r="K22" s="308"/>
      <c r="L22" s="366"/>
    </row>
    <row r="23" spans="1:13" ht="66.599999999999994" hidden="1" customHeight="1" x14ac:dyDescent="0.3">
      <c r="A23" s="133"/>
      <c r="B23" s="337" t="str">
        <f t="shared" si="0"/>
        <v>-</v>
      </c>
      <c r="C23" s="338"/>
      <c r="D23" s="338"/>
      <c r="E23" s="338"/>
      <c r="F23" s="338"/>
      <c r="G23" s="94"/>
      <c r="H23" s="310" t="s">
        <v>594</v>
      </c>
      <c r="I23" s="310"/>
      <c r="J23" s="308" t="str">
        <f t="shared" si="1"/>
        <v>-</v>
      </c>
      <c r="K23" s="308"/>
      <c r="L23" s="366"/>
    </row>
    <row r="24" spans="1:13" x14ac:dyDescent="0.3">
      <c r="A24" s="134" t="s">
        <v>595</v>
      </c>
      <c r="B24" s="36"/>
      <c r="C24" s="36"/>
      <c r="D24" s="36"/>
      <c r="E24" s="36"/>
      <c r="F24" s="37"/>
      <c r="G24" s="36"/>
      <c r="H24" s="22" t="s">
        <v>596</v>
      </c>
      <c r="I24" s="16"/>
      <c r="J24" s="36"/>
      <c r="K24" s="36"/>
      <c r="L24" s="135"/>
    </row>
    <row r="25" spans="1:13" x14ac:dyDescent="0.3">
      <c r="A25" s="134"/>
      <c r="B25" s="16"/>
      <c r="C25" s="342" t="s">
        <v>597</v>
      </c>
      <c r="D25" s="342"/>
      <c r="E25" s="342"/>
      <c r="F25" s="342"/>
      <c r="G25" s="43"/>
      <c r="H25" s="22"/>
      <c r="I25" s="343" t="s">
        <v>626</v>
      </c>
      <c r="J25" s="343"/>
      <c r="K25" s="16"/>
      <c r="L25" s="136"/>
    </row>
    <row r="26" spans="1:13" x14ac:dyDescent="0.3">
      <c r="A26" s="137"/>
      <c r="B26" s="34"/>
      <c r="C26" s="342"/>
      <c r="D26" s="342"/>
      <c r="E26" s="342"/>
      <c r="F26" s="342"/>
      <c r="G26" s="43"/>
      <c r="H26" s="22"/>
      <c r="I26" s="343"/>
      <c r="J26" s="343"/>
      <c r="K26" s="16"/>
      <c r="L26" s="136"/>
    </row>
    <row r="27" spans="1:13" x14ac:dyDescent="0.3">
      <c r="A27" s="138" t="s">
        <v>599</v>
      </c>
      <c r="B27" s="36"/>
      <c r="C27" s="36"/>
      <c r="D27" s="36"/>
      <c r="E27" s="36"/>
      <c r="F27" s="36"/>
      <c r="G27" s="36"/>
      <c r="H27" s="38" t="s">
        <v>600</v>
      </c>
      <c r="I27" s="36"/>
      <c r="J27" s="36"/>
      <c r="K27" s="36"/>
      <c r="L27" s="135"/>
    </row>
    <row r="28" spans="1:13" x14ac:dyDescent="0.3">
      <c r="A28" s="134"/>
      <c r="B28" s="16"/>
      <c r="C28" s="16"/>
      <c r="D28" s="16"/>
      <c r="E28" s="16"/>
      <c r="F28" s="16"/>
      <c r="G28" s="16"/>
      <c r="H28" s="22"/>
      <c r="I28" s="16"/>
      <c r="J28" s="16"/>
      <c r="K28" s="16"/>
      <c r="L28" s="136"/>
    </row>
    <row r="29" spans="1:13" x14ac:dyDescent="0.3">
      <c r="A29" s="134"/>
      <c r="C29" s="367" t="s">
        <v>601</v>
      </c>
      <c r="D29" s="367"/>
      <c r="E29" s="367"/>
      <c r="F29" s="367"/>
      <c r="G29" s="43"/>
      <c r="H29" s="33"/>
      <c r="I29" s="285" t="s">
        <v>620</v>
      </c>
      <c r="J29" s="285"/>
      <c r="K29" s="285"/>
      <c r="L29" s="136"/>
    </row>
    <row r="30" spans="1:13" ht="1.95" customHeight="1" x14ac:dyDescent="0.3">
      <c r="A30" s="134"/>
      <c r="C30" s="367"/>
      <c r="D30" s="367"/>
      <c r="E30" s="367"/>
      <c r="F30" s="367"/>
      <c r="G30" s="43"/>
      <c r="H30" s="33"/>
      <c r="L30" s="124"/>
    </row>
    <row r="31" spans="1:13" x14ac:dyDescent="0.3">
      <c r="A31" s="138" t="s">
        <v>603</v>
      </c>
      <c r="B31" s="36"/>
      <c r="C31" s="36"/>
      <c r="D31" s="36"/>
      <c r="E31" s="36"/>
      <c r="F31" s="36"/>
      <c r="G31" s="36"/>
      <c r="H31" s="36"/>
      <c r="I31" s="36"/>
      <c r="J31" s="36"/>
      <c r="K31" s="36"/>
      <c r="L31" s="122"/>
    </row>
    <row r="32" spans="1:13" x14ac:dyDescent="0.3">
      <c r="A32" s="134"/>
      <c r="L32" s="136"/>
    </row>
    <row r="33" spans="1:12" x14ac:dyDescent="0.3">
      <c r="A33" s="134"/>
      <c r="C33" t="s">
        <v>604</v>
      </c>
      <c r="L33" s="124"/>
    </row>
    <row r="34" spans="1:12" x14ac:dyDescent="0.3">
      <c r="A34" s="134"/>
      <c r="B34" t="s">
        <v>605</v>
      </c>
      <c r="L34" s="124"/>
    </row>
    <row r="35" spans="1:12" x14ac:dyDescent="0.3">
      <c r="A35" s="134"/>
      <c r="L35" s="124"/>
    </row>
    <row r="36" spans="1:12" x14ac:dyDescent="0.3">
      <c r="A36" s="134"/>
      <c r="H36" s="368" t="s">
        <v>621</v>
      </c>
      <c r="I36" s="368"/>
      <c r="J36" s="368"/>
      <c r="K36" s="368"/>
      <c r="L36" s="124"/>
    </row>
    <row r="37" spans="1:12" x14ac:dyDescent="0.3">
      <c r="A37" s="134"/>
      <c r="H37" s="336" t="s">
        <v>607</v>
      </c>
      <c r="I37" s="336"/>
      <c r="J37" s="336"/>
      <c r="K37" s="336"/>
      <c r="L37" s="124"/>
    </row>
    <row r="38" spans="1:12" x14ac:dyDescent="0.3">
      <c r="A38" s="134"/>
      <c r="H38" s="335" t="s">
        <v>608</v>
      </c>
      <c r="I38" s="335"/>
      <c r="J38" s="335"/>
      <c r="K38" s="335"/>
      <c r="L38" s="124"/>
    </row>
    <row r="39" spans="1:12" x14ac:dyDescent="0.3">
      <c r="A39" s="134"/>
      <c r="H39" s="335" t="s">
        <v>609</v>
      </c>
      <c r="I39" s="335"/>
      <c r="J39" s="335"/>
      <c r="K39" s="335"/>
      <c r="L39" s="124"/>
    </row>
    <row r="40" spans="1:12" ht="15" thickBot="1" x14ac:dyDescent="0.35">
      <c r="A40" s="139"/>
      <c r="B40" s="140"/>
      <c r="C40" s="140"/>
      <c r="D40" s="140"/>
      <c r="E40" s="140"/>
      <c r="F40" s="140"/>
      <c r="G40" s="140"/>
      <c r="H40" s="140"/>
      <c r="I40" s="140"/>
      <c r="J40" s="140"/>
      <c r="K40" s="140"/>
      <c r="L40" s="141" t="s">
        <v>627</v>
      </c>
    </row>
    <row r="42" spans="1:12" x14ac:dyDescent="0.3">
      <c r="A42" s="4" t="s">
        <v>628</v>
      </c>
    </row>
    <row r="43" spans="1:12" ht="111" customHeight="1" x14ac:dyDescent="0.3">
      <c r="A43" s="114" t="s">
        <v>629</v>
      </c>
    </row>
    <row r="47" spans="1:12" x14ac:dyDescent="0.3">
      <c r="J47" s="339"/>
      <c r="K47" s="339"/>
      <c r="L47" s="339"/>
    </row>
    <row r="48" spans="1:12" x14ac:dyDescent="0.3">
      <c r="A48" s="16"/>
      <c r="H48" s="17"/>
    </row>
    <row r="49" spans="1:12" x14ac:dyDescent="0.3">
      <c r="A49" s="302"/>
      <c r="B49" s="302"/>
      <c r="C49" s="302"/>
      <c r="D49" s="302"/>
      <c r="E49" s="302"/>
      <c r="F49" s="302"/>
      <c r="G49" s="39"/>
      <c r="H49" s="17"/>
    </row>
    <row r="50" spans="1:12" x14ac:dyDescent="0.3">
      <c r="A50" s="302"/>
      <c r="B50" s="302"/>
      <c r="C50" s="302"/>
      <c r="D50" s="302"/>
      <c r="E50" s="302"/>
      <c r="F50" s="302"/>
      <c r="G50" s="39"/>
      <c r="H50" s="1"/>
      <c r="I50" s="1"/>
      <c r="J50" s="1"/>
      <c r="K50" s="1"/>
      <c r="L50" s="1"/>
    </row>
    <row r="51" spans="1:12" x14ac:dyDescent="0.3">
      <c r="A51" s="40"/>
      <c r="B51" s="305"/>
      <c r="C51" s="305"/>
      <c r="D51" s="305"/>
      <c r="E51" s="305"/>
      <c r="F51" s="17"/>
      <c r="G51" s="17"/>
      <c r="H51" s="40"/>
    </row>
    <row r="52" spans="1:12" x14ac:dyDescent="0.3">
      <c r="A52" s="16"/>
      <c r="H52" s="40"/>
    </row>
    <row r="53" spans="1:12" x14ac:dyDescent="0.3">
      <c r="A53" s="285"/>
      <c r="B53" s="285"/>
      <c r="C53" s="285"/>
      <c r="D53" s="285"/>
      <c r="E53" s="285"/>
      <c r="F53" s="285"/>
      <c r="G53" s="25"/>
      <c r="H53" s="40"/>
    </row>
    <row r="54" spans="1:12" x14ac:dyDescent="0.3">
      <c r="A54" s="16"/>
      <c r="B54" s="285"/>
      <c r="C54" s="285"/>
      <c r="D54" s="285"/>
      <c r="E54" s="285"/>
      <c r="H54" s="40"/>
    </row>
    <row r="55" spans="1:12" x14ac:dyDescent="0.3">
      <c r="H55" s="40"/>
    </row>
    <row r="56" spans="1:12" x14ac:dyDescent="0.3">
      <c r="A56" s="17"/>
      <c r="H56" s="17"/>
    </row>
    <row r="57" spans="1:12" x14ac:dyDescent="0.3">
      <c r="A57" s="17"/>
      <c r="H57" s="17"/>
    </row>
    <row r="58" spans="1:12" x14ac:dyDescent="0.3">
      <c r="A58" s="340"/>
      <c r="B58" s="341"/>
      <c r="C58" s="341"/>
      <c r="D58" s="341"/>
      <c r="E58" s="341"/>
      <c r="F58" s="341"/>
      <c r="G58" s="341"/>
      <c r="H58" s="341"/>
      <c r="I58" s="341"/>
      <c r="J58" s="341"/>
      <c r="K58" s="341"/>
      <c r="L58" s="341"/>
    </row>
    <row r="59" spans="1:12" x14ac:dyDescent="0.3">
      <c r="A59" s="340"/>
      <c r="B59" s="341"/>
      <c r="C59" s="341"/>
      <c r="D59" s="341"/>
      <c r="E59" s="341"/>
      <c r="F59" s="341"/>
      <c r="G59" s="341"/>
      <c r="H59" s="341"/>
      <c r="I59" s="341"/>
      <c r="J59" s="341"/>
      <c r="K59" s="341"/>
      <c r="L59" s="341"/>
    </row>
    <row r="60" spans="1:12" x14ac:dyDescent="0.3">
      <c r="A60" s="1"/>
      <c r="B60" s="42"/>
      <c r="C60" s="5"/>
      <c r="D60" s="5"/>
      <c r="E60" s="5"/>
      <c r="F60" s="5"/>
      <c r="G60" s="5"/>
      <c r="H60" s="5"/>
      <c r="I60" s="5"/>
      <c r="J60" s="41"/>
      <c r="K60" s="41"/>
      <c r="L60" s="41"/>
    </row>
    <row r="61" spans="1:12" x14ac:dyDescent="0.3">
      <c r="A61" s="21"/>
    </row>
    <row r="62" spans="1:12" x14ac:dyDescent="0.3">
      <c r="A62" s="5"/>
      <c r="B62" s="16"/>
      <c r="C62" s="16"/>
      <c r="D62" s="16"/>
      <c r="E62" s="16"/>
      <c r="F62" s="16"/>
      <c r="G62" s="16"/>
      <c r="H62" s="16"/>
      <c r="I62" s="16"/>
      <c r="J62" s="16"/>
      <c r="K62" s="16"/>
      <c r="L62" s="16"/>
    </row>
    <row r="63" spans="1:12" x14ac:dyDescent="0.3">
      <c r="B63" s="16"/>
      <c r="C63" s="16"/>
      <c r="D63" s="16"/>
      <c r="E63" s="16"/>
      <c r="F63" s="16"/>
      <c r="G63" s="16"/>
      <c r="H63" s="16"/>
      <c r="I63" s="16"/>
      <c r="J63" s="16"/>
      <c r="K63" s="16"/>
      <c r="L63" s="16"/>
    </row>
    <row r="64" spans="1:12" x14ac:dyDescent="0.3">
      <c r="B64" s="16"/>
      <c r="C64" s="16"/>
      <c r="D64" s="16"/>
      <c r="E64" s="16"/>
      <c r="F64" s="16"/>
      <c r="G64" s="16"/>
      <c r="H64" s="16"/>
      <c r="I64" s="16"/>
      <c r="J64" s="16"/>
      <c r="K64" s="16"/>
      <c r="L64" s="16"/>
    </row>
    <row r="65" spans="2:12" x14ac:dyDescent="0.3">
      <c r="B65" s="16"/>
      <c r="C65" s="16"/>
      <c r="D65" s="16"/>
      <c r="E65" s="16"/>
      <c r="F65" s="16"/>
      <c r="G65" s="16"/>
      <c r="H65" s="16"/>
      <c r="I65" s="16"/>
      <c r="J65" s="16"/>
      <c r="K65" s="16"/>
      <c r="L65" s="16"/>
    </row>
    <row r="66" spans="2:12" x14ac:dyDescent="0.3">
      <c r="B66" s="16"/>
      <c r="C66" s="16"/>
      <c r="D66" s="16"/>
      <c r="E66" s="16"/>
      <c r="F66" s="16"/>
      <c r="G66" s="16"/>
      <c r="H66" s="16"/>
      <c r="I66" s="16"/>
      <c r="J66" s="16"/>
      <c r="K66" s="16"/>
      <c r="L66" s="16"/>
    </row>
    <row r="67" spans="2:12" x14ac:dyDescent="0.3">
      <c r="B67" s="16"/>
      <c r="C67" s="16"/>
      <c r="D67" s="16"/>
      <c r="E67" s="16"/>
      <c r="F67" s="16"/>
      <c r="G67" s="16"/>
      <c r="H67" s="16"/>
      <c r="I67" s="16"/>
      <c r="J67" s="16"/>
      <c r="K67" s="16"/>
      <c r="L67" s="16"/>
    </row>
    <row r="68" spans="2:12" x14ac:dyDescent="0.3">
      <c r="B68" s="16"/>
      <c r="C68" s="16"/>
      <c r="D68" s="16"/>
      <c r="E68" s="16"/>
      <c r="F68" s="16"/>
      <c r="G68" s="16"/>
      <c r="H68" s="16"/>
      <c r="I68" s="16"/>
      <c r="J68" s="16"/>
      <c r="K68" s="16"/>
      <c r="L68" s="16"/>
    </row>
    <row r="69" spans="2:12" x14ac:dyDescent="0.3">
      <c r="B69" s="16"/>
      <c r="C69" s="16"/>
      <c r="D69" s="16"/>
      <c r="E69" s="16"/>
      <c r="F69" s="16"/>
      <c r="G69" s="16"/>
      <c r="H69" s="16"/>
      <c r="I69" s="16"/>
      <c r="J69" s="16"/>
      <c r="K69" s="16"/>
      <c r="L69" s="16"/>
    </row>
    <row r="70" spans="2:12" x14ac:dyDescent="0.3">
      <c r="B70" s="16"/>
      <c r="C70" s="16"/>
      <c r="D70" s="16"/>
      <c r="E70" s="16"/>
      <c r="F70" s="16"/>
      <c r="G70" s="16"/>
      <c r="H70" s="16"/>
      <c r="I70" s="16"/>
      <c r="J70" s="16"/>
      <c r="K70" s="16"/>
      <c r="L70" s="16"/>
    </row>
    <row r="71" spans="2:12" x14ac:dyDescent="0.3">
      <c r="B71" s="16"/>
      <c r="C71" s="16"/>
      <c r="D71" s="16"/>
      <c r="E71" s="16"/>
      <c r="F71" s="16"/>
      <c r="G71" s="16"/>
      <c r="H71" s="16"/>
      <c r="I71" s="16"/>
      <c r="J71" s="16"/>
      <c r="K71" s="16"/>
      <c r="L71" s="16"/>
    </row>
    <row r="72" spans="2:12" x14ac:dyDescent="0.3">
      <c r="B72" s="16"/>
      <c r="C72" s="16"/>
      <c r="D72" s="16"/>
      <c r="E72" s="16"/>
      <c r="F72" s="16"/>
      <c r="G72" s="16"/>
      <c r="H72" s="16"/>
      <c r="I72" s="16"/>
      <c r="J72" s="16"/>
      <c r="K72" s="16"/>
      <c r="L72" s="16"/>
    </row>
    <row r="73" spans="2:12" x14ac:dyDescent="0.3">
      <c r="B73" s="16"/>
      <c r="C73" s="16"/>
      <c r="D73" s="16"/>
      <c r="E73" s="16"/>
      <c r="F73" s="16"/>
      <c r="G73" s="16"/>
      <c r="H73" s="16"/>
      <c r="I73" s="16"/>
      <c r="J73" s="16"/>
      <c r="K73" s="16"/>
      <c r="L73" s="16"/>
    </row>
    <row r="74" spans="2:12" x14ac:dyDescent="0.3">
      <c r="B74" s="16"/>
      <c r="C74" s="16"/>
      <c r="D74" s="16"/>
      <c r="E74" s="16"/>
      <c r="F74" s="16"/>
      <c r="G74" s="16"/>
      <c r="H74" s="16"/>
      <c r="I74" s="16"/>
      <c r="J74" s="16"/>
      <c r="K74" s="16"/>
      <c r="L74" s="16"/>
    </row>
    <row r="75" spans="2:12" x14ac:dyDescent="0.3">
      <c r="B75" s="16"/>
      <c r="C75" s="16"/>
      <c r="D75" s="16"/>
      <c r="E75" s="16"/>
      <c r="F75" s="16"/>
      <c r="G75" s="16"/>
      <c r="H75" s="16"/>
      <c r="I75" s="16"/>
      <c r="J75" s="16"/>
      <c r="K75" s="16"/>
      <c r="L75" s="16"/>
    </row>
    <row r="76" spans="2:12" x14ac:dyDescent="0.3">
      <c r="B76" s="16"/>
      <c r="C76" s="16"/>
      <c r="D76" s="16"/>
      <c r="E76" s="16"/>
      <c r="F76" s="16"/>
      <c r="G76" s="16"/>
      <c r="H76" s="16"/>
      <c r="I76" s="16"/>
      <c r="J76" s="16"/>
      <c r="K76" s="16"/>
      <c r="L76" s="16"/>
    </row>
    <row r="77" spans="2:12" x14ac:dyDescent="0.3">
      <c r="B77" s="16"/>
      <c r="C77" s="16"/>
      <c r="D77" s="16"/>
      <c r="E77" s="16"/>
      <c r="F77" s="16"/>
      <c r="G77" s="16"/>
      <c r="H77" s="16"/>
      <c r="I77" s="16"/>
      <c r="J77" s="16"/>
      <c r="K77" s="16"/>
      <c r="L77" s="16"/>
    </row>
    <row r="78" spans="2:12" x14ac:dyDescent="0.3">
      <c r="B78" s="16"/>
      <c r="C78" s="16"/>
      <c r="D78" s="16"/>
      <c r="E78" s="16"/>
      <c r="F78" s="16"/>
      <c r="G78" s="16"/>
      <c r="H78" s="16"/>
      <c r="I78" s="16"/>
      <c r="J78" s="16"/>
      <c r="K78" s="16"/>
      <c r="L78" s="16"/>
    </row>
    <row r="79" spans="2:12" x14ac:dyDescent="0.3">
      <c r="B79" s="16"/>
      <c r="C79" s="16"/>
      <c r="D79" s="16"/>
      <c r="E79" s="16"/>
      <c r="F79" s="16"/>
      <c r="G79" s="16"/>
      <c r="H79" s="16"/>
      <c r="I79" s="16"/>
      <c r="J79" s="16"/>
      <c r="K79" s="16"/>
      <c r="L79" s="16"/>
    </row>
    <row r="80" spans="2:12" x14ac:dyDescent="0.3">
      <c r="B80" s="16"/>
      <c r="C80" s="16"/>
      <c r="D80" s="16"/>
      <c r="E80" s="16"/>
      <c r="F80" s="16"/>
      <c r="G80" s="16"/>
      <c r="H80" s="16"/>
      <c r="I80" s="16"/>
      <c r="J80" s="16"/>
      <c r="K80" s="16"/>
      <c r="L80" s="16"/>
    </row>
    <row r="81" spans="2:12" x14ac:dyDescent="0.3">
      <c r="B81" s="16"/>
      <c r="C81" s="16"/>
      <c r="D81" s="16"/>
      <c r="E81" s="16"/>
      <c r="F81" s="16"/>
      <c r="G81" s="16"/>
      <c r="H81" s="16"/>
      <c r="I81" s="16"/>
      <c r="J81" s="16"/>
      <c r="K81" s="16"/>
      <c r="L81" s="16"/>
    </row>
    <row r="82" spans="2:12" x14ac:dyDescent="0.3">
      <c r="B82" s="16"/>
      <c r="C82" s="16"/>
      <c r="D82" s="16"/>
      <c r="E82" s="16"/>
      <c r="F82" s="16"/>
      <c r="G82" s="16"/>
      <c r="H82" s="16"/>
      <c r="I82" s="16"/>
      <c r="J82" s="16"/>
      <c r="K82" s="16"/>
      <c r="L82" s="16"/>
    </row>
    <row r="83" spans="2:12" x14ac:dyDescent="0.3">
      <c r="B83" s="16"/>
      <c r="C83" s="16"/>
      <c r="D83" s="16"/>
      <c r="E83" s="16"/>
      <c r="F83" s="16"/>
      <c r="G83" s="16"/>
      <c r="H83" s="16"/>
      <c r="I83" s="16"/>
      <c r="J83" s="16"/>
      <c r="K83" s="16"/>
      <c r="L83" s="16"/>
    </row>
    <row r="84" spans="2:12" x14ac:dyDescent="0.3">
      <c r="B84" s="16"/>
      <c r="C84" s="16"/>
      <c r="D84" s="16"/>
      <c r="E84" s="16"/>
      <c r="F84" s="16"/>
      <c r="G84" s="16"/>
      <c r="H84" s="16"/>
      <c r="I84" s="16"/>
      <c r="J84" s="16"/>
      <c r="K84" s="16"/>
      <c r="L84" s="16"/>
    </row>
    <row r="85" spans="2:12" x14ac:dyDescent="0.3">
      <c r="B85" s="16"/>
      <c r="C85" s="16"/>
      <c r="D85" s="16"/>
      <c r="E85" s="16"/>
      <c r="F85" s="16"/>
      <c r="G85" s="16"/>
      <c r="H85" s="16"/>
      <c r="I85" s="16"/>
      <c r="J85" s="16"/>
      <c r="K85" s="16"/>
      <c r="L85" s="16"/>
    </row>
    <row r="86" spans="2:12" x14ac:dyDescent="0.3">
      <c r="B86" s="16"/>
      <c r="C86" s="16"/>
      <c r="D86" s="16"/>
      <c r="E86" s="16"/>
      <c r="F86" s="16"/>
      <c r="G86" s="16"/>
      <c r="H86" s="16"/>
      <c r="I86" s="16"/>
      <c r="J86" s="16"/>
      <c r="K86" s="16"/>
      <c r="L86" s="16"/>
    </row>
    <row r="87" spans="2:12" x14ac:dyDescent="0.3">
      <c r="B87" s="16"/>
      <c r="C87" s="16"/>
      <c r="D87" s="16"/>
      <c r="E87" s="16"/>
      <c r="F87" s="16"/>
      <c r="G87" s="16"/>
      <c r="H87" s="16"/>
      <c r="I87" s="16"/>
      <c r="J87" s="16"/>
      <c r="K87" s="16"/>
      <c r="L87" s="16"/>
    </row>
    <row r="88" spans="2:12" x14ac:dyDescent="0.3">
      <c r="B88" s="16"/>
      <c r="C88" s="16"/>
      <c r="D88" s="16"/>
      <c r="E88" s="16"/>
      <c r="F88" s="16"/>
      <c r="G88" s="16"/>
      <c r="H88" s="16"/>
      <c r="I88" s="16"/>
      <c r="J88" s="16"/>
      <c r="K88" s="16"/>
      <c r="L88" s="16"/>
    </row>
    <row r="89" spans="2:12" x14ac:dyDescent="0.3">
      <c r="B89" s="16"/>
      <c r="C89" s="16"/>
      <c r="D89" s="16"/>
      <c r="E89" s="16"/>
      <c r="F89" s="16"/>
      <c r="G89" s="16"/>
      <c r="H89" s="16"/>
      <c r="I89" s="16"/>
      <c r="J89" s="16"/>
      <c r="K89" s="16"/>
      <c r="L89" s="16"/>
    </row>
    <row r="90" spans="2:12" x14ac:dyDescent="0.3">
      <c r="B90" s="16"/>
      <c r="C90" s="16"/>
      <c r="D90" s="16"/>
      <c r="E90" s="16"/>
      <c r="F90" s="16"/>
      <c r="G90" s="16"/>
      <c r="H90" s="16"/>
      <c r="I90" s="16"/>
      <c r="J90" s="16"/>
      <c r="K90" s="16"/>
      <c r="L90" s="16"/>
    </row>
    <row r="91" spans="2:12" x14ac:dyDescent="0.3">
      <c r="B91" s="16"/>
      <c r="C91" s="16"/>
      <c r="D91" s="16"/>
      <c r="E91" s="16"/>
      <c r="F91" s="16"/>
      <c r="G91" s="16"/>
      <c r="H91" s="16"/>
      <c r="I91" s="16"/>
      <c r="J91" s="16"/>
      <c r="K91" s="16"/>
      <c r="L91" s="16"/>
    </row>
    <row r="94" spans="2:12" x14ac:dyDescent="0.3">
      <c r="B94" s="16"/>
      <c r="C94" s="16"/>
      <c r="D94" s="16"/>
      <c r="E94" s="16"/>
      <c r="F94" s="16"/>
      <c r="G94" s="16"/>
      <c r="H94" s="16"/>
      <c r="I94" s="16"/>
      <c r="J94" s="16"/>
      <c r="K94" s="16"/>
      <c r="L94" s="16"/>
    </row>
    <row r="101" spans="1:12" x14ac:dyDescent="0.3">
      <c r="H101" s="335"/>
      <c r="I101" s="335"/>
      <c r="J101" s="335"/>
      <c r="K101" s="335"/>
    </row>
    <row r="102" spans="1:12" x14ac:dyDescent="0.3">
      <c r="H102" s="335"/>
      <c r="I102" s="335"/>
      <c r="J102" s="335"/>
      <c r="K102" s="335"/>
    </row>
    <row r="107" spans="1:12" x14ac:dyDescent="0.3">
      <c r="J107" s="339"/>
      <c r="K107" s="339"/>
      <c r="L107" s="339"/>
    </row>
    <row r="108" spans="1:12" x14ac:dyDescent="0.3">
      <c r="A108" s="16"/>
      <c r="H108" s="17"/>
    </row>
    <row r="109" spans="1:12" x14ac:dyDescent="0.3">
      <c r="A109" s="302"/>
      <c r="B109" s="302"/>
      <c r="C109" s="302"/>
      <c r="D109" s="302"/>
      <c r="E109" s="302"/>
      <c r="F109" s="302"/>
      <c r="G109" s="39"/>
      <c r="H109" s="17"/>
    </row>
    <row r="110" spans="1:12" x14ac:dyDescent="0.3">
      <c r="A110" s="302"/>
      <c r="B110" s="302"/>
      <c r="C110" s="302"/>
      <c r="D110" s="302"/>
      <c r="E110" s="302"/>
      <c r="F110" s="302"/>
      <c r="G110" s="39"/>
      <c r="H110" s="1"/>
      <c r="I110" s="1"/>
      <c r="J110" s="1"/>
      <c r="K110" s="1"/>
      <c r="L110" s="1"/>
    </row>
    <row r="111" spans="1:12" x14ac:dyDescent="0.3">
      <c r="A111" s="40"/>
      <c r="B111" s="305"/>
      <c r="C111" s="305"/>
      <c r="D111" s="305"/>
      <c r="E111" s="305"/>
      <c r="F111" s="17"/>
      <c r="G111" s="17"/>
      <c r="H111" s="40"/>
    </row>
    <row r="112" spans="1:12" x14ac:dyDescent="0.3">
      <c r="A112" s="16"/>
      <c r="H112" s="40"/>
    </row>
    <row r="113" spans="1:12" x14ac:dyDescent="0.3">
      <c r="A113" s="285"/>
      <c r="B113" s="285"/>
      <c r="C113" s="285"/>
      <c r="D113" s="285"/>
      <c r="E113" s="285"/>
      <c r="F113" s="285"/>
      <c r="G113" s="25"/>
      <c r="H113" s="40"/>
    </row>
    <row r="114" spans="1:12" x14ac:dyDescent="0.3">
      <c r="A114" s="16"/>
      <c r="B114" s="285"/>
      <c r="C114" s="285"/>
      <c r="D114" s="285"/>
      <c r="E114" s="285"/>
      <c r="H114" s="40"/>
    </row>
    <row r="115" spans="1:12" x14ac:dyDescent="0.3">
      <c r="H115" s="40"/>
    </row>
    <row r="116" spans="1:12" x14ac:dyDescent="0.3">
      <c r="A116" s="17"/>
      <c r="H116" s="17"/>
    </row>
    <row r="117" spans="1:12" x14ac:dyDescent="0.3">
      <c r="A117" s="17"/>
      <c r="H117" s="17"/>
    </row>
    <row r="118" spans="1:12" x14ac:dyDescent="0.3">
      <c r="A118" s="340"/>
      <c r="B118" s="341"/>
      <c r="C118" s="341"/>
      <c r="D118" s="341"/>
      <c r="E118" s="341"/>
      <c r="F118" s="341"/>
      <c r="G118" s="341"/>
      <c r="H118" s="341"/>
      <c r="I118" s="341"/>
      <c r="J118" s="341"/>
      <c r="K118" s="341"/>
      <c r="L118" s="341"/>
    </row>
    <row r="119" spans="1:12" x14ac:dyDescent="0.3">
      <c r="A119" s="340"/>
      <c r="B119" s="341"/>
      <c r="C119" s="341"/>
      <c r="D119" s="341"/>
      <c r="E119" s="341"/>
      <c r="F119" s="341"/>
      <c r="G119" s="341"/>
      <c r="H119" s="341"/>
      <c r="I119" s="341"/>
      <c r="J119" s="341"/>
      <c r="K119" s="341"/>
      <c r="L119" s="341"/>
    </row>
    <row r="120" spans="1:12" x14ac:dyDescent="0.3">
      <c r="A120" s="1"/>
      <c r="B120" s="5"/>
      <c r="C120" s="5"/>
      <c r="D120" s="5"/>
      <c r="E120" s="5"/>
      <c r="F120" s="5"/>
      <c r="G120" s="5"/>
      <c r="H120" s="5"/>
      <c r="I120" s="5"/>
      <c r="J120" s="41"/>
      <c r="K120" s="41"/>
      <c r="L120" s="41"/>
    </row>
    <row r="121" spans="1:12" x14ac:dyDescent="0.3">
      <c r="A121" s="17"/>
    </row>
    <row r="122" spans="1:12" x14ac:dyDescent="0.3">
      <c r="B122" s="16"/>
      <c r="C122" s="16"/>
      <c r="D122" s="16"/>
      <c r="E122" s="16"/>
      <c r="F122" s="16"/>
      <c r="G122" s="16"/>
      <c r="H122" s="16"/>
      <c r="I122" s="16"/>
      <c r="J122" s="16"/>
      <c r="K122" s="16"/>
      <c r="L122" s="16"/>
    </row>
    <row r="123" spans="1:12" x14ac:dyDescent="0.3">
      <c r="B123" s="16"/>
      <c r="C123" s="16"/>
      <c r="D123" s="16"/>
      <c r="E123" s="16"/>
      <c r="F123" s="16"/>
      <c r="G123" s="16"/>
      <c r="H123" s="16"/>
      <c r="I123" s="16"/>
      <c r="J123" s="16"/>
      <c r="K123" s="16"/>
      <c r="L123" s="16"/>
    </row>
    <row r="124" spans="1:12" x14ac:dyDescent="0.3">
      <c r="B124" s="16"/>
      <c r="C124" s="16"/>
      <c r="D124" s="16"/>
      <c r="E124" s="16"/>
      <c r="F124" s="16"/>
      <c r="G124" s="16"/>
      <c r="H124" s="16"/>
      <c r="I124" s="16"/>
      <c r="J124" s="16"/>
      <c r="K124" s="16"/>
      <c r="L124" s="16"/>
    </row>
    <row r="125" spans="1:12" x14ac:dyDescent="0.3">
      <c r="B125" s="16"/>
      <c r="C125" s="16"/>
      <c r="D125" s="16"/>
      <c r="E125" s="16"/>
      <c r="F125" s="16"/>
      <c r="G125" s="16"/>
      <c r="H125" s="16"/>
      <c r="I125" s="16"/>
      <c r="J125" s="16"/>
      <c r="K125" s="16"/>
      <c r="L125" s="16"/>
    </row>
    <row r="126" spans="1:12" x14ac:dyDescent="0.3">
      <c r="B126" s="16"/>
      <c r="C126" s="16"/>
      <c r="D126" s="16"/>
      <c r="E126" s="16"/>
      <c r="F126" s="16"/>
      <c r="G126" s="16"/>
      <c r="H126" s="16"/>
      <c r="I126" s="16"/>
      <c r="J126" s="16"/>
      <c r="K126" s="16"/>
      <c r="L126" s="16"/>
    </row>
    <row r="127" spans="1:12" x14ac:dyDescent="0.3">
      <c r="B127" s="16"/>
      <c r="C127" s="16"/>
      <c r="D127" s="16"/>
      <c r="E127" s="16"/>
      <c r="F127" s="16"/>
      <c r="G127" s="16"/>
      <c r="H127" s="16"/>
      <c r="I127" s="16"/>
      <c r="J127" s="16"/>
      <c r="K127" s="16"/>
      <c r="L127" s="16"/>
    </row>
    <row r="128" spans="1:12" x14ac:dyDescent="0.3">
      <c r="B128" s="16"/>
      <c r="C128" s="16"/>
      <c r="D128" s="16"/>
      <c r="E128" s="16"/>
      <c r="F128" s="16"/>
      <c r="G128" s="16"/>
      <c r="H128" s="16"/>
      <c r="I128" s="16"/>
      <c r="J128" s="16"/>
      <c r="K128" s="16"/>
      <c r="L128" s="16"/>
    </row>
    <row r="129" spans="2:12" x14ac:dyDescent="0.3">
      <c r="B129" s="16"/>
      <c r="C129" s="16"/>
      <c r="D129" s="16"/>
      <c r="E129" s="16"/>
      <c r="F129" s="16"/>
      <c r="G129" s="16"/>
      <c r="H129" s="16"/>
      <c r="I129" s="16"/>
      <c r="J129" s="16"/>
      <c r="K129" s="16"/>
      <c r="L129" s="16"/>
    </row>
    <row r="130" spans="2:12" x14ac:dyDescent="0.3">
      <c r="B130" s="16"/>
      <c r="C130" s="16"/>
      <c r="D130" s="16"/>
      <c r="E130" s="16"/>
      <c r="F130" s="16"/>
      <c r="G130" s="16"/>
      <c r="H130" s="16"/>
      <c r="I130" s="16"/>
      <c r="J130" s="16"/>
      <c r="K130" s="16"/>
      <c r="L130" s="16"/>
    </row>
    <row r="131" spans="2:12" x14ac:dyDescent="0.3">
      <c r="B131" s="16"/>
      <c r="C131" s="16"/>
      <c r="D131" s="16"/>
      <c r="E131" s="16"/>
      <c r="F131" s="16"/>
      <c r="G131" s="16"/>
      <c r="H131" s="16"/>
      <c r="I131" s="16"/>
      <c r="J131" s="16"/>
      <c r="K131" s="16"/>
      <c r="L131" s="16"/>
    </row>
    <row r="132" spans="2:12" x14ac:dyDescent="0.3">
      <c r="B132" s="16"/>
      <c r="C132" s="16"/>
      <c r="D132" s="16"/>
      <c r="E132" s="16"/>
      <c r="F132" s="16"/>
      <c r="G132" s="16"/>
      <c r="H132" s="16"/>
      <c r="I132" s="16"/>
      <c r="J132" s="16"/>
      <c r="K132" s="16"/>
      <c r="L132" s="16"/>
    </row>
    <row r="133" spans="2:12" x14ac:dyDescent="0.3">
      <c r="B133" s="16"/>
      <c r="C133" s="16"/>
      <c r="D133" s="16"/>
      <c r="E133" s="16"/>
      <c r="F133" s="16"/>
      <c r="G133" s="16"/>
      <c r="H133" s="16"/>
      <c r="I133" s="16"/>
      <c r="J133" s="16"/>
      <c r="K133" s="16"/>
      <c r="L133" s="16"/>
    </row>
    <row r="134" spans="2:12" x14ac:dyDescent="0.3">
      <c r="B134" s="16"/>
      <c r="C134" s="16"/>
      <c r="D134" s="16"/>
      <c r="E134" s="16"/>
      <c r="F134" s="16"/>
      <c r="G134" s="16"/>
      <c r="H134" s="16"/>
      <c r="I134" s="16"/>
      <c r="J134" s="16"/>
      <c r="K134" s="16"/>
      <c r="L134" s="16"/>
    </row>
    <row r="135" spans="2:12" x14ac:dyDescent="0.3">
      <c r="B135" s="16"/>
      <c r="C135" s="16"/>
      <c r="D135" s="16"/>
      <c r="E135" s="16"/>
      <c r="F135" s="16"/>
      <c r="G135" s="16"/>
      <c r="H135" s="16"/>
      <c r="I135" s="16"/>
      <c r="J135" s="16"/>
      <c r="K135" s="16"/>
      <c r="L135" s="16"/>
    </row>
    <row r="136" spans="2:12" x14ac:dyDescent="0.3">
      <c r="B136" s="16"/>
      <c r="C136" s="16"/>
      <c r="D136" s="16"/>
      <c r="E136" s="16"/>
      <c r="F136" s="16"/>
      <c r="G136" s="16"/>
      <c r="H136" s="16"/>
      <c r="I136" s="16"/>
      <c r="J136" s="16"/>
      <c r="K136" s="16"/>
      <c r="L136" s="16"/>
    </row>
    <row r="137" spans="2:12" x14ac:dyDescent="0.3">
      <c r="B137" s="16"/>
      <c r="C137" s="16"/>
      <c r="D137" s="16"/>
      <c r="E137" s="16"/>
      <c r="F137" s="16"/>
      <c r="G137" s="16"/>
      <c r="H137" s="16"/>
      <c r="I137" s="16"/>
      <c r="J137" s="16"/>
      <c r="K137" s="16"/>
      <c r="L137" s="16"/>
    </row>
    <row r="138" spans="2:12" x14ac:dyDescent="0.3">
      <c r="B138" s="16"/>
      <c r="C138" s="16"/>
      <c r="D138" s="16"/>
      <c r="E138" s="16"/>
      <c r="F138" s="16"/>
      <c r="G138" s="16"/>
      <c r="H138" s="16"/>
      <c r="I138" s="16"/>
      <c r="J138" s="16"/>
      <c r="K138" s="16"/>
      <c r="L138" s="16"/>
    </row>
    <row r="139" spans="2:12" x14ac:dyDescent="0.3">
      <c r="B139" s="16"/>
      <c r="C139" s="16"/>
      <c r="D139" s="16"/>
      <c r="E139" s="16"/>
      <c r="F139" s="16"/>
      <c r="G139" s="16"/>
      <c r="H139" s="16"/>
      <c r="I139" s="16"/>
      <c r="J139" s="16"/>
      <c r="K139" s="16"/>
      <c r="L139" s="16"/>
    </row>
    <row r="140" spans="2:12" x14ac:dyDescent="0.3">
      <c r="B140" s="16"/>
      <c r="C140" s="16"/>
      <c r="D140" s="16"/>
      <c r="E140" s="16"/>
      <c r="F140" s="16"/>
      <c r="G140" s="16"/>
      <c r="H140" s="16"/>
      <c r="I140" s="16"/>
      <c r="J140" s="16"/>
      <c r="K140" s="16"/>
      <c r="L140" s="16"/>
    </row>
    <row r="141" spans="2:12" x14ac:dyDescent="0.3">
      <c r="B141" s="16"/>
      <c r="C141" s="16"/>
      <c r="D141" s="16"/>
      <c r="E141" s="16"/>
      <c r="F141" s="16"/>
      <c r="G141" s="16"/>
      <c r="H141" s="16"/>
      <c r="I141" s="16"/>
      <c r="J141" s="16"/>
      <c r="K141" s="16"/>
      <c r="L141" s="16"/>
    </row>
    <row r="142" spans="2:12" x14ac:dyDescent="0.3">
      <c r="B142" s="16"/>
      <c r="C142" s="16"/>
      <c r="D142" s="16"/>
      <c r="E142" s="16"/>
      <c r="F142" s="16"/>
      <c r="G142" s="16"/>
      <c r="H142" s="16"/>
      <c r="I142" s="16"/>
      <c r="J142" s="16"/>
      <c r="K142" s="16"/>
      <c r="L142" s="16"/>
    </row>
    <row r="143" spans="2:12" x14ac:dyDescent="0.3">
      <c r="B143" s="16"/>
      <c r="C143" s="16"/>
      <c r="D143" s="16"/>
      <c r="E143" s="16"/>
      <c r="F143" s="16"/>
      <c r="G143" s="16"/>
      <c r="H143" s="16"/>
      <c r="I143" s="16"/>
      <c r="J143" s="16"/>
      <c r="K143" s="16"/>
      <c r="L143" s="16"/>
    </row>
    <row r="144" spans="2:12" x14ac:dyDescent="0.3">
      <c r="B144" s="16"/>
      <c r="C144" s="16"/>
      <c r="D144" s="16"/>
      <c r="E144" s="16"/>
      <c r="F144" s="16"/>
      <c r="G144" s="16"/>
      <c r="H144" s="16"/>
      <c r="I144" s="16"/>
      <c r="J144" s="16"/>
      <c r="K144" s="16"/>
      <c r="L144" s="16"/>
    </row>
    <row r="145" spans="2:12" x14ac:dyDescent="0.3">
      <c r="B145" s="16"/>
      <c r="C145" s="16"/>
      <c r="D145" s="16"/>
      <c r="E145" s="16"/>
      <c r="F145" s="16"/>
      <c r="G145" s="16"/>
      <c r="H145" s="16"/>
      <c r="I145" s="16"/>
      <c r="J145" s="16"/>
      <c r="K145" s="16"/>
      <c r="L145" s="16"/>
    </row>
    <row r="146" spans="2:12" x14ac:dyDescent="0.3">
      <c r="B146" s="16"/>
      <c r="C146" s="16"/>
      <c r="D146" s="16"/>
      <c r="E146" s="16"/>
      <c r="F146" s="16"/>
      <c r="G146" s="16"/>
      <c r="H146" s="16"/>
      <c r="I146" s="16"/>
      <c r="J146" s="16"/>
      <c r="K146" s="16"/>
      <c r="L146" s="16"/>
    </row>
    <row r="147" spans="2:12" x14ac:dyDescent="0.3">
      <c r="B147" s="16"/>
      <c r="C147" s="16"/>
      <c r="D147" s="16"/>
      <c r="E147" s="16"/>
      <c r="F147" s="16"/>
      <c r="G147" s="16"/>
      <c r="H147" s="16"/>
      <c r="I147" s="16"/>
      <c r="J147" s="16"/>
      <c r="K147" s="16"/>
      <c r="L147" s="16"/>
    </row>
    <row r="148" spans="2:12" x14ac:dyDescent="0.3">
      <c r="B148" s="16"/>
      <c r="C148" s="16"/>
      <c r="D148" s="16"/>
      <c r="E148" s="16"/>
      <c r="F148" s="16"/>
      <c r="G148" s="16"/>
      <c r="H148" s="16"/>
      <c r="I148" s="16"/>
      <c r="J148" s="16"/>
      <c r="K148" s="16"/>
      <c r="L148" s="16"/>
    </row>
    <row r="149" spans="2:12" x14ac:dyDescent="0.3">
      <c r="B149" s="16"/>
      <c r="C149" s="16"/>
      <c r="D149" s="16"/>
      <c r="E149" s="16"/>
      <c r="F149" s="16"/>
      <c r="G149" s="16"/>
      <c r="H149" s="16"/>
      <c r="I149" s="16"/>
      <c r="J149" s="16"/>
      <c r="K149" s="16"/>
      <c r="L149" s="16"/>
    </row>
    <row r="150" spans="2:12" x14ac:dyDescent="0.3">
      <c r="B150" s="16"/>
      <c r="C150" s="16"/>
      <c r="D150" s="16"/>
      <c r="E150" s="16"/>
      <c r="F150" s="16"/>
      <c r="G150" s="16"/>
      <c r="H150" s="16"/>
      <c r="I150" s="16"/>
      <c r="J150" s="16"/>
      <c r="K150" s="16"/>
      <c r="L150" s="16"/>
    </row>
    <row r="151" spans="2:12" x14ac:dyDescent="0.3">
      <c r="B151" s="16"/>
      <c r="C151" s="16"/>
      <c r="D151" s="16"/>
      <c r="E151" s="16"/>
      <c r="F151" s="16"/>
      <c r="G151" s="16"/>
      <c r="H151" s="16"/>
      <c r="I151" s="16"/>
      <c r="J151" s="16"/>
      <c r="K151" s="16"/>
      <c r="L151" s="16"/>
    </row>
    <row r="154" spans="2:12" x14ac:dyDescent="0.3">
      <c r="B154" s="16"/>
      <c r="C154" s="16"/>
      <c r="D154" s="16"/>
      <c r="E154" s="16"/>
      <c r="F154" s="16"/>
      <c r="G154" s="16"/>
      <c r="H154" s="16"/>
      <c r="I154" s="16"/>
      <c r="J154" s="16"/>
      <c r="K154" s="16"/>
      <c r="L154" s="16"/>
    </row>
    <row r="161" spans="8:11" x14ac:dyDescent="0.3">
      <c r="H161" s="335"/>
      <c r="I161" s="335"/>
      <c r="J161" s="335"/>
      <c r="K161" s="335"/>
    </row>
    <row r="162" spans="8:11" x14ac:dyDescent="0.3">
      <c r="H162" s="335"/>
      <c r="I162" s="335"/>
      <c r="J162" s="335"/>
      <c r="K162" s="335"/>
    </row>
  </sheetData>
  <mergeCells count="64">
    <mergeCell ref="H162:K162"/>
    <mergeCell ref="H102:K102"/>
    <mergeCell ref="J107:L107"/>
    <mergeCell ref="A109:F109"/>
    <mergeCell ref="A110:F110"/>
    <mergeCell ref="B111:E111"/>
    <mergeCell ref="A113:F113"/>
    <mergeCell ref="B114:E114"/>
    <mergeCell ref="A118:A119"/>
    <mergeCell ref="B118:I119"/>
    <mergeCell ref="J118:L119"/>
    <mergeCell ref="H161:K161"/>
    <mergeCell ref="H101:K101"/>
    <mergeCell ref="H38:K38"/>
    <mergeCell ref="H39:K39"/>
    <mergeCell ref="J47:L47"/>
    <mergeCell ref="A49:F49"/>
    <mergeCell ref="A50:F50"/>
    <mergeCell ref="B51:E51"/>
    <mergeCell ref="A53:F53"/>
    <mergeCell ref="B54:E54"/>
    <mergeCell ref="A58:A59"/>
    <mergeCell ref="B58:I59"/>
    <mergeCell ref="J58:L59"/>
    <mergeCell ref="H37:K37"/>
    <mergeCell ref="B22:F22"/>
    <mergeCell ref="H22:I22"/>
    <mergeCell ref="J22:L22"/>
    <mergeCell ref="B23:F23"/>
    <mergeCell ref="H23:I23"/>
    <mergeCell ref="J23:L23"/>
    <mergeCell ref="C25:F26"/>
    <mergeCell ref="I25:J26"/>
    <mergeCell ref="C29:F30"/>
    <mergeCell ref="I29:K29"/>
    <mergeCell ref="H36:K36"/>
    <mergeCell ref="B20:F20"/>
    <mergeCell ref="H20:I20"/>
    <mergeCell ref="J20:L20"/>
    <mergeCell ref="B21:F21"/>
    <mergeCell ref="H21:I21"/>
    <mergeCell ref="J21:L21"/>
    <mergeCell ref="B18:F18"/>
    <mergeCell ref="H18:I18"/>
    <mergeCell ref="J18:L18"/>
    <mergeCell ref="B19:F19"/>
    <mergeCell ref="H19:I19"/>
    <mergeCell ref="J19:L19"/>
    <mergeCell ref="B8:E8"/>
    <mergeCell ref="H8:L8"/>
    <mergeCell ref="B11:D11"/>
    <mergeCell ref="E11:H12"/>
    <mergeCell ref="I11:L12"/>
    <mergeCell ref="A14:A17"/>
    <mergeCell ref="B14:F17"/>
    <mergeCell ref="G14:G17"/>
    <mergeCell ref="H14:I17"/>
    <mergeCell ref="J14:L17"/>
    <mergeCell ref="A7:G7"/>
    <mergeCell ref="J1:L1"/>
    <mergeCell ref="A3:F3"/>
    <mergeCell ref="A4:G4"/>
    <mergeCell ref="A5:G5"/>
    <mergeCell ref="H5:L5"/>
  </mergeCells>
  <dataValidations count="1">
    <dataValidation type="list" allowBlank="1" showInputMessage="1" showErrorMessage="1" sqref="A18:A23" xr:uid="{5D5EA4FB-4134-40E1-BF40-4E2F4CD61EBD}">
      <formula1>ITEMNO</formula1>
    </dataValidation>
  </dataValidations>
  <hyperlinks>
    <hyperlink ref="I11" r:id="rId1" xr:uid="{8A893513-8B52-4198-A317-951A12A599E1}"/>
  </hyperlinks>
  <pageMargins left="0.7" right="0.7" top="0.75" bottom="0.75" header="0.3" footer="0.3"/>
  <pageSetup paperSize="9" scale="87" orientation="portrait" r:id="rId2"/>
  <rowBreaks count="1" manualBreakCount="1">
    <brk id="40" max="16383" man="1"/>
  </rowBreak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814B9-17A8-4BB8-AA40-F5C5D86E9F4A}">
  <sheetPr>
    <tabColor theme="5" tint="0.79998168889431442"/>
  </sheetPr>
  <dimension ref="A1:C17"/>
  <sheetViews>
    <sheetView workbookViewId="0">
      <pane ySplit="1" topLeftCell="A2" activePane="bottomLeft" state="frozen"/>
      <selection pane="bottomLeft" activeCell="B5" sqref="B5"/>
    </sheetView>
  </sheetViews>
  <sheetFormatPr defaultRowHeight="14.4" x14ac:dyDescent="0.3"/>
  <cols>
    <col min="1" max="1" width="23.5546875" style="4" customWidth="1"/>
    <col min="2" max="2" width="77" customWidth="1"/>
    <col min="3" max="3" width="44.88671875" customWidth="1"/>
  </cols>
  <sheetData>
    <row r="1" spans="1:3" ht="23.4" x14ac:dyDescent="0.45">
      <c r="A1" s="80" t="s">
        <v>630</v>
      </c>
    </row>
    <row r="2" spans="1:3" ht="15.6" x14ac:dyDescent="0.3">
      <c r="A2" s="84" t="s">
        <v>4</v>
      </c>
      <c r="B2" s="84" t="s">
        <v>631</v>
      </c>
      <c r="C2" s="84" t="s">
        <v>11</v>
      </c>
    </row>
    <row r="3" spans="1:3" x14ac:dyDescent="0.3">
      <c r="A3" s="85" t="s">
        <v>22</v>
      </c>
      <c r="B3" t="s">
        <v>632</v>
      </c>
      <c r="C3" t="s">
        <v>633</v>
      </c>
    </row>
    <row r="4" spans="1:3" x14ac:dyDescent="0.3">
      <c r="A4" s="85" t="s">
        <v>104</v>
      </c>
      <c r="B4" t="s">
        <v>634</v>
      </c>
      <c r="C4" t="s">
        <v>635</v>
      </c>
    </row>
    <row r="5" spans="1:3" x14ac:dyDescent="0.3">
      <c r="A5" s="85" t="s">
        <v>80</v>
      </c>
      <c r="B5" t="s">
        <v>636</v>
      </c>
      <c r="C5" t="s">
        <v>635</v>
      </c>
    </row>
    <row r="6" spans="1:3" x14ac:dyDescent="0.3">
      <c r="A6" s="85" t="s">
        <v>637</v>
      </c>
      <c r="B6" t="s">
        <v>638</v>
      </c>
      <c r="C6" s="7" t="s">
        <v>635</v>
      </c>
    </row>
    <row r="7" spans="1:3" x14ac:dyDescent="0.3">
      <c r="A7" s="79">
        <v>111</v>
      </c>
      <c r="B7" t="s">
        <v>639</v>
      </c>
      <c r="C7" s="3" t="s">
        <v>640</v>
      </c>
    </row>
    <row r="8" spans="1:3" ht="86.4" x14ac:dyDescent="0.3">
      <c r="A8" s="79">
        <v>105</v>
      </c>
      <c r="B8" s="7" t="s">
        <v>641</v>
      </c>
      <c r="C8" s="6" t="s">
        <v>642</v>
      </c>
    </row>
    <row r="9" spans="1:3" ht="28.8" x14ac:dyDescent="0.3">
      <c r="A9" s="79">
        <v>99</v>
      </c>
      <c r="B9" t="s">
        <v>643</v>
      </c>
      <c r="C9" s="6" t="s">
        <v>644</v>
      </c>
    </row>
    <row r="10" spans="1:3" ht="72" x14ac:dyDescent="0.3">
      <c r="A10" s="79">
        <v>97</v>
      </c>
      <c r="B10" s="7" t="s">
        <v>645</v>
      </c>
      <c r="C10" s="3" t="s">
        <v>633</v>
      </c>
    </row>
    <row r="11" spans="1:3" x14ac:dyDescent="0.3">
      <c r="A11" s="79">
        <v>95</v>
      </c>
      <c r="B11" t="s">
        <v>646</v>
      </c>
      <c r="C11" s="3" t="s">
        <v>633</v>
      </c>
    </row>
    <row r="12" spans="1:3" x14ac:dyDescent="0.3">
      <c r="A12" s="79">
        <v>32</v>
      </c>
      <c r="B12" t="s">
        <v>647</v>
      </c>
      <c r="C12" s="3" t="s">
        <v>633</v>
      </c>
    </row>
    <row r="13" spans="1:3" ht="57.6" x14ac:dyDescent="0.3">
      <c r="A13" s="79">
        <v>28</v>
      </c>
      <c r="B13" s="7" t="s">
        <v>648</v>
      </c>
      <c r="C13" s="3" t="s">
        <v>633</v>
      </c>
    </row>
    <row r="14" spans="1:3" ht="43.2" x14ac:dyDescent="0.3">
      <c r="A14" s="78">
        <v>26</v>
      </c>
      <c r="B14" s="6" t="s">
        <v>649</v>
      </c>
      <c r="C14" s="6" t="s">
        <v>650</v>
      </c>
    </row>
    <row r="15" spans="1:3" ht="86.4" x14ac:dyDescent="0.3">
      <c r="A15" s="79">
        <v>15</v>
      </c>
      <c r="B15" s="6" t="s">
        <v>651</v>
      </c>
      <c r="C15" s="6" t="s">
        <v>652</v>
      </c>
    </row>
    <row r="16" spans="1:3" ht="115.2" x14ac:dyDescent="0.3">
      <c r="A16" s="79">
        <v>14</v>
      </c>
      <c r="B16" s="7" t="s">
        <v>653</v>
      </c>
      <c r="C16" s="6" t="s">
        <v>654</v>
      </c>
    </row>
    <row r="17" spans="1:3" ht="57.6" x14ac:dyDescent="0.3">
      <c r="A17" s="79">
        <v>7</v>
      </c>
      <c r="B17" s="7" t="s">
        <v>655</v>
      </c>
      <c r="C17" s="6" t="s">
        <v>656</v>
      </c>
    </row>
  </sheetData>
  <sortState xmlns:xlrd2="http://schemas.microsoft.com/office/spreadsheetml/2017/richdata2" ref="A3:H18">
    <sortCondition descending="1" ref="A3:A18"/>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95FD9-E378-4B3F-A2B8-DBAB1C71ABCE}">
  <dimension ref="A1:M233"/>
  <sheetViews>
    <sheetView zoomScale="70" zoomScaleNormal="70" workbookViewId="0">
      <pane ySplit="1" topLeftCell="A167" activePane="bottomLeft" state="frozen"/>
      <selection activeCell="C1" sqref="C1"/>
      <selection pane="bottomLeft" activeCell="B184" sqref="B184"/>
    </sheetView>
  </sheetViews>
  <sheetFormatPr defaultRowHeight="30" customHeight="1" x14ac:dyDescent="0.3"/>
  <cols>
    <col min="1" max="1" width="22.6640625" style="1" customWidth="1"/>
    <col min="2" max="2" width="71.88671875" customWidth="1"/>
    <col min="3" max="3" width="53.6640625" customWidth="1"/>
    <col min="4" max="4" width="8.88671875" style="5" customWidth="1"/>
    <col min="5" max="5" width="30.44140625" bestFit="1" customWidth="1"/>
    <col min="11" max="11" width="18" customWidth="1"/>
    <col min="12" max="12" width="18.33203125" customWidth="1"/>
  </cols>
  <sheetData>
    <row r="1" spans="1:13" ht="30" customHeight="1" x14ac:dyDescent="0.3">
      <c r="A1" s="11" t="s">
        <v>657</v>
      </c>
      <c r="B1" s="11" t="s">
        <v>5</v>
      </c>
      <c r="C1" s="11" t="s">
        <v>11</v>
      </c>
      <c r="D1" s="97"/>
      <c r="E1" s="4" t="s">
        <v>6</v>
      </c>
      <c r="F1" s="4" t="s">
        <v>657</v>
      </c>
      <c r="K1" s="4" t="s">
        <v>13</v>
      </c>
      <c r="L1" t="s">
        <v>658</v>
      </c>
      <c r="M1" t="s">
        <v>1</v>
      </c>
    </row>
    <row r="2" spans="1:13" s="3" customFormat="1" ht="30" customHeight="1" x14ac:dyDescent="0.3">
      <c r="A2" s="5">
        <v>1</v>
      </c>
      <c r="B2" s="3" t="s">
        <v>659</v>
      </c>
      <c r="C2" s="3" t="s">
        <v>660</v>
      </c>
      <c r="D2" s="5"/>
      <c r="E2" s="3" t="s">
        <v>417</v>
      </c>
      <c r="F2" s="2">
        <v>1</v>
      </c>
      <c r="K2" s="100" t="s">
        <v>313</v>
      </c>
      <c r="L2" s="3" t="s">
        <v>416</v>
      </c>
      <c r="M2" s="3">
        <v>1</v>
      </c>
    </row>
    <row r="3" spans="1:13" s="3" customFormat="1" ht="30" customHeight="1" x14ac:dyDescent="0.3">
      <c r="A3" s="5">
        <v>2</v>
      </c>
      <c r="B3" s="3" t="s">
        <v>661</v>
      </c>
      <c r="C3" s="3" t="s">
        <v>662</v>
      </c>
      <c r="D3" s="5">
        <v>1</v>
      </c>
      <c r="E3" s="3" t="s">
        <v>663</v>
      </c>
      <c r="F3" s="2">
        <v>2</v>
      </c>
      <c r="K3" s="100" t="s">
        <v>310</v>
      </c>
      <c r="L3" s="3" t="s">
        <v>446</v>
      </c>
      <c r="M3" s="3">
        <v>2</v>
      </c>
    </row>
    <row r="4" spans="1:13" ht="30" customHeight="1" x14ac:dyDescent="0.3">
      <c r="A4" s="5">
        <v>3</v>
      </c>
      <c r="B4" s="3" t="s">
        <v>664</v>
      </c>
      <c r="C4" s="3" t="s">
        <v>633</v>
      </c>
      <c r="D4" s="5">
        <v>1</v>
      </c>
      <c r="E4" t="s">
        <v>454</v>
      </c>
      <c r="F4" s="1">
        <v>3</v>
      </c>
      <c r="K4" s="4" t="s">
        <v>419</v>
      </c>
      <c r="L4" s="3" t="s">
        <v>453</v>
      </c>
      <c r="M4" s="3">
        <v>3</v>
      </c>
    </row>
    <row r="5" spans="1:13" ht="30" customHeight="1" x14ac:dyDescent="0.3">
      <c r="A5" s="5">
        <v>4</v>
      </c>
      <c r="B5" s="3" t="s">
        <v>665</v>
      </c>
      <c r="C5" s="3" t="s">
        <v>633</v>
      </c>
      <c r="D5" s="5">
        <v>1</v>
      </c>
      <c r="E5" t="s">
        <v>666</v>
      </c>
      <c r="F5" s="1">
        <v>4</v>
      </c>
      <c r="L5" s="3" t="s">
        <v>460</v>
      </c>
      <c r="M5" s="3">
        <v>4</v>
      </c>
    </row>
    <row r="6" spans="1:13" ht="30" customHeight="1" x14ac:dyDescent="0.3">
      <c r="A6" s="5">
        <v>5</v>
      </c>
      <c r="B6" s="3" t="s">
        <v>667</v>
      </c>
      <c r="C6" s="3" t="s">
        <v>633</v>
      </c>
      <c r="D6" s="5">
        <v>1</v>
      </c>
      <c r="E6" t="s">
        <v>23</v>
      </c>
      <c r="F6" s="1">
        <v>5</v>
      </c>
      <c r="L6" s="3" t="s">
        <v>478</v>
      </c>
      <c r="M6" s="3">
        <v>5</v>
      </c>
    </row>
    <row r="7" spans="1:13" ht="30" customHeight="1" x14ac:dyDescent="0.3">
      <c r="A7" s="5"/>
      <c r="B7" s="3"/>
      <c r="C7" s="3"/>
      <c r="E7" t="s">
        <v>447</v>
      </c>
      <c r="F7" s="1"/>
      <c r="L7" s="3"/>
      <c r="M7" s="3"/>
    </row>
    <row r="8" spans="1:13" ht="30" customHeight="1" x14ac:dyDescent="0.3">
      <c r="A8" s="5">
        <v>6</v>
      </c>
      <c r="B8" s="6" t="s">
        <v>668</v>
      </c>
      <c r="C8" s="3" t="s">
        <v>669</v>
      </c>
      <c r="E8" t="s">
        <v>34</v>
      </c>
      <c r="F8" s="1">
        <v>6</v>
      </c>
      <c r="L8" s="3" t="s">
        <v>479</v>
      </c>
      <c r="M8" s="3">
        <v>6</v>
      </c>
    </row>
    <row r="9" spans="1:13" ht="30" customHeight="1" x14ac:dyDescent="0.3">
      <c r="A9" s="5">
        <v>7</v>
      </c>
      <c r="B9" s="7" t="s">
        <v>670</v>
      </c>
      <c r="C9" s="6" t="s">
        <v>656</v>
      </c>
      <c r="D9" s="98">
        <v>2</v>
      </c>
      <c r="E9" t="s">
        <v>17</v>
      </c>
      <c r="F9" s="1">
        <v>7</v>
      </c>
      <c r="L9" s="3" t="s">
        <v>488</v>
      </c>
      <c r="M9" s="3">
        <v>7</v>
      </c>
    </row>
    <row r="10" spans="1:13" ht="30" customHeight="1" x14ac:dyDescent="0.3">
      <c r="A10" s="5">
        <v>8</v>
      </c>
      <c r="B10" t="s">
        <v>671</v>
      </c>
      <c r="C10" s="3" t="s">
        <v>672</v>
      </c>
      <c r="D10" s="5">
        <v>2</v>
      </c>
      <c r="F10" s="1">
        <v>8</v>
      </c>
      <c r="L10" s="3" t="s">
        <v>491</v>
      </c>
      <c r="M10" s="3">
        <v>8</v>
      </c>
    </row>
    <row r="11" spans="1:13" ht="30" customHeight="1" x14ac:dyDescent="0.3">
      <c r="A11" s="5">
        <v>9</v>
      </c>
      <c r="B11" t="s">
        <v>673</v>
      </c>
      <c r="C11" s="3" t="s">
        <v>674</v>
      </c>
      <c r="D11" s="5">
        <v>2</v>
      </c>
      <c r="F11" s="1">
        <v>9</v>
      </c>
      <c r="L11" s="3" t="s">
        <v>496</v>
      </c>
      <c r="M11" s="3">
        <v>9</v>
      </c>
    </row>
    <row r="12" spans="1:13" ht="30" customHeight="1" x14ac:dyDescent="0.3">
      <c r="A12" s="5">
        <v>10</v>
      </c>
      <c r="B12" t="s">
        <v>675</v>
      </c>
      <c r="C12" s="6" t="s">
        <v>676</v>
      </c>
      <c r="D12" s="98"/>
      <c r="F12" s="1">
        <v>10</v>
      </c>
      <c r="L12" s="3" t="s">
        <v>677</v>
      </c>
      <c r="M12" s="3">
        <v>10</v>
      </c>
    </row>
    <row r="13" spans="1:13" ht="30" customHeight="1" x14ac:dyDescent="0.3">
      <c r="A13" s="5">
        <v>11</v>
      </c>
      <c r="B13" t="s">
        <v>678</v>
      </c>
      <c r="C13" s="3" t="s">
        <v>679</v>
      </c>
      <c r="F13" s="1">
        <v>11</v>
      </c>
      <c r="L13" s="3" t="s">
        <v>680</v>
      </c>
      <c r="M13" s="3">
        <v>11</v>
      </c>
    </row>
    <row r="14" spans="1:13" ht="30" customHeight="1" x14ac:dyDescent="0.3">
      <c r="A14" s="5">
        <v>12</v>
      </c>
      <c r="B14" t="s">
        <v>681</v>
      </c>
      <c r="C14" s="3" t="s">
        <v>682</v>
      </c>
      <c r="D14" s="5">
        <v>2</v>
      </c>
      <c r="F14" s="1">
        <v>12</v>
      </c>
      <c r="L14" s="3" t="s">
        <v>683</v>
      </c>
      <c r="M14" s="3">
        <v>12</v>
      </c>
    </row>
    <row r="15" spans="1:13" ht="30" customHeight="1" x14ac:dyDescent="0.3">
      <c r="A15" s="5">
        <v>13</v>
      </c>
      <c r="B15" s="7" t="s">
        <v>684</v>
      </c>
      <c r="C15" s="6" t="s">
        <v>685</v>
      </c>
      <c r="D15" s="98">
        <v>2</v>
      </c>
      <c r="F15" s="1">
        <v>13</v>
      </c>
      <c r="L15" s="3" t="s">
        <v>686</v>
      </c>
      <c r="M15" s="3">
        <v>13</v>
      </c>
    </row>
    <row r="16" spans="1:13" ht="30" customHeight="1" x14ac:dyDescent="0.3">
      <c r="A16" s="5">
        <v>14</v>
      </c>
      <c r="B16" s="7" t="s">
        <v>653</v>
      </c>
      <c r="C16" s="6" t="s">
        <v>654</v>
      </c>
      <c r="D16" s="98">
        <v>1</v>
      </c>
      <c r="F16" s="1">
        <v>14</v>
      </c>
      <c r="L16" s="3" t="s">
        <v>687</v>
      </c>
      <c r="M16" s="3">
        <v>14</v>
      </c>
    </row>
    <row r="17" spans="1:13" ht="30" customHeight="1" x14ac:dyDescent="0.3">
      <c r="A17" s="5">
        <v>15</v>
      </c>
      <c r="B17" s="6" t="s">
        <v>651</v>
      </c>
      <c r="C17" s="6" t="s">
        <v>652</v>
      </c>
      <c r="D17" s="98">
        <v>2</v>
      </c>
      <c r="F17" s="1">
        <v>15</v>
      </c>
      <c r="L17" s="3" t="s">
        <v>688</v>
      </c>
      <c r="M17" s="3">
        <v>15</v>
      </c>
    </row>
    <row r="18" spans="1:13" ht="30" customHeight="1" x14ac:dyDescent="0.3">
      <c r="A18" s="5">
        <v>16</v>
      </c>
      <c r="B18" t="s">
        <v>689</v>
      </c>
      <c r="C18" s="3" t="s">
        <v>669</v>
      </c>
      <c r="F18" s="1">
        <v>16</v>
      </c>
      <c r="L18" s="3" t="s">
        <v>690</v>
      </c>
      <c r="M18" s="3">
        <v>16</v>
      </c>
    </row>
    <row r="19" spans="1:13" ht="30" customHeight="1" x14ac:dyDescent="0.3">
      <c r="A19" s="5">
        <v>17</v>
      </c>
      <c r="B19" s="7" t="s">
        <v>691</v>
      </c>
      <c r="C19" s="6" t="s">
        <v>692</v>
      </c>
      <c r="D19" s="98">
        <v>1</v>
      </c>
      <c r="F19" s="1">
        <v>17</v>
      </c>
      <c r="L19" s="3" t="s">
        <v>693</v>
      </c>
      <c r="M19" s="3">
        <v>17</v>
      </c>
    </row>
    <row r="20" spans="1:13" ht="30" customHeight="1" x14ac:dyDescent="0.3">
      <c r="A20" s="5">
        <v>18</v>
      </c>
      <c r="B20" t="s">
        <v>694</v>
      </c>
      <c r="C20" s="3" t="s">
        <v>669</v>
      </c>
      <c r="F20" s="1">
        <v>18</v>
      </c>
      <c r="L20" s="3" t="s">
        <v>695</v>
      </c>
      <c r="M20" s="3">
        <v>18</v>
      </c>
    </row>
    <row r="21" spans="1:13" ht="30" customHeight="1" x14ac:dyDescent="0.3">
      <c r="A21" s="5">
        <v>19</v>
      </c>
      <c r="B21" t="s">
        <v>696</v>
      </c>
      <c r="C21" s="3" t="s">
        <v>697</v>
      </c>
      <c r="D21" s="5">
        <v>1</v>
      </c>
      <c r="F21" s="1">
        <v>19</v>
      </c>
      <c r="L21" s="3" t="s">
        <v>698</v>
      </c>
      <c r="M21" s="3">
        <v>19</v>
      </c>
    </row>
    <row r="22" spans="1:13" ht="30" customHeight="1" x14ac:dyDescent="0.3">
      <c r="A22" s="5">
        <v>20</v>
      </c>
      <c r="B22" s="7" t="s">
        <v>699</v>
      </c>
      <c r="C22" s="6" t="s">
        <v>700</v>
      </c>
      <c r="D22" s="98">
        <v>3</v>
      </c>
      <c r="F22" s="1">
        <v>20</v>
      </c>
      <c r="L22" s="3" t="s">
        <v>701</v>
      </c>
      <c r="M22" s="3">
        <v>20</v>
      </c>
    </row>
    <row r="23" spans="1:13" ht="30" customHeight="1" x14ac:dyDescent="0.3">
      <c r="A23" s="5">
        <v>21</v>
      </c>
      <c r="B23" t="s">
        <v>702</v>
      </c>
      <c r="C23" s="3" t="s">
        <v>669</v>
      </c>
      <c r="F23" s="1">
        <v>21</v>
      </c>
      <c r="L23" s="3" t="s">
        <v>703</v>
      </c>
      <c r="M23" s="3">
        <v>21</v>
      </c>
    </row>
    <row r="24" spans="1:13" ht="30" customHeight="1" x14ac:dyDescent="0.3">
      <c r="A24" s="5">
        <v>22</v>
      </c>
      <c r="B24" s="6" t="s">
        <v>704</v>
      </c>
      <c r="C24" s="6" t="s">
        <v>705</v>
      </c>
      <c r="D24" s="98">
        <v>3</v>
      </c>
      <c r="F24" s="1">
        <v>22</v>
      </c>
      <c r="L24" s="3" t="s">
        <v>706</v>
      </c>
      <c r="M24" s="3">
        <v>22</v>
      </c>
    </row>
    <row r="25" spans="1:13" ht="30" customHeight="1" x14ac:dyDescent="0.3">
      <c r="A25" s="5">
        <v>23</v>
      </c>
      <c r="B25" s="3" t="s">
        <v>707</v>
      </c>
      <c r="C25" s="6" t="s">
        <v>708</v>
      </c>
      <c r="D25" s="98"/>
      <c r="F25" s="1">
        <v>23</v>
      </c>
      <c r="L25" s="3" t="s">
        <v>709</v>
      </c>
      <c r="M25" s="3">
        <v>23</v>
      </c>
    </row>
    <row r="26" spans="1:13" ht="30" customHeight="1" x14ac:dyDescent="0.3">
      <c r="A26" s="5">
        <v>24</v>
      </c>
      <c r="B26" t="s">
        <v>710</v>
      </c>
      <c r="C26" s="3" t="s">
        <v>669</v>
      </c>
      <c r="F26" s="1">
        <v>24</v>
      </c>
      <c r="L26" s="3" t="s">
        <v>711</v>
      </c>
      <c r="M26" s="3">
        <v>24</v>
      </c>
    </row>
    <row r="27" spans="1:13" ht="30" customHeight="1" x14ac:dyDescent="0.3">
      <c r="A27" s="5">
        <v>25</v>
      </c>
      <c r="B27" t="s">
        <v>712</v>
      </c>
      <c r="C27" s="3" t="s">
        <v>669</v>
      </c>
      <c r="F27" s="1">
        <v>25</v>
      </c>
      <c r="L27" s="3" t="s">
        <v>713</v>
      </c>
      <c r="M27" s="3">
        <v>25</v>
      </c>
    </row>
    <row r="28" spans="1:13" ht="30" customHeight="1" x14ac:dyDescent="0.3">
      <c r="A28" s="5">
        <v>26</v>
      </c>
      <c r="B28" s="7" t="s">
        <v>714</v>
      </c>
      <c r="C28" s="6" t="s">
        <v>650</v>
      </c>
      <c r="D28" s="98">
        <v>2</v>
      </c>
      <c r="F28" s="1">
        <v>26</v>
      </c>
      <c r="H28" t="e" cm="1">
        <f t="array" ref="H28">-ANNUAL/SPECIAL</f>
        <v>#NAME?</v>
      </c>
      <c r="L28" s="3" t="s">
        <v>715</v>
      </c>
      <c r="M28" s="3">
        <v>26</v>
      </c>
    </row>
    <row r="29" spans="1:13" ht="30" customHeight="1" x14ac:dyDescent="0.3">
      <c r="A29" s="5">
        <v>27</v>
      </c>
      <c r="B29" t="s">
        <v>716</v>
      </c>
      <c r="C29" s="3" t="s">
        <v>682</v>
      </c>
      <c r="D29" s="5">
        <v>2</v>
      </c>
      <c r="F29" s="1">
        <v>27</v>
      </c>
      <c r="L29" s="3" t="s">
        <v>717</v>
      </c>
      <c r="M29" s="3">
        <v>27</v>
      </c>
    </row>
    <row r="30" spans="1:13" ht="30" customHeight="1" x14ac:dyDescent="0.3">
      <c r="A30" s="5">
        <v>28</v>
      </c>
      <c r="B30" s="7" t="s">
        <v>648</v>
      </c>
      <c r="C30" s="3" t="s">
        <v>633</v>
      </c>
      <c r="D30" s="5">
        <v>1</v>
      </c>
      <c r="F30" s="1">
        <v>28</v>
      </c>
      <c r="L30" s="3" t="s">
        <v>718</v>
      </c>
      <c r="M30" s="3">
        <v>28</v>
      </c>
    </row>
    <row r="31" spans="1:13" ht="30" customHeight="1" x14ac:dyDescent="0.3">
      <c r="A31" s="5">
        <v>29</v>
      </c>
      <c r="B31" t="s">
        <v>719</v>
      </c>
      <c r="C31" s="3" t="s">
        <v>669</v>
      </c>
      <c r="F31" s="1">
        <v>29</v>
      </c>
      <c r="L31" s="3" t="s">
        <v>720</v>
      </c>
      <c r="M31" s="3">
        <v>29</v>
      </c>
    </row>
    <row r="32" spans="1:13" ht="30" customHeight="1" x14ac:dyDescent="0.3">
      <c r="A32" s="5">
        <v>30</v>
      </c>
      <c r="B32" t="s">
        <v>721</v>
      </c>
      <c r="C32" s="3" t="s">
        <v>669</v>
      </c>
      <c r="F32" s="1">
        <v>30</v>
      </c>
      <c r="L32" s="3" t="s">
        <v>722</v>
      </c>
      <c r="M32" s="3">
        <v>30</v>
      </c>
    </row>
    <row r="33" spans="1:13" ht="30" customHeight="1" x14ac:dyDescent="0.3">
      <c r="A33" s="5">
        <v>31</v>
      </c>
      <c r="B33" t="s">
        <v>723</v>
      </c>
      <c r="C33" s="3" t="s">
        <v>724</v>
      </c>
      <c r="D33" s="5">
        <v>1</v>
      </c>
      <c r="F33" s="1">
        <v>31</v>
      </c>
      <c r="L33" s="3" t="s">
        <v>725</v>
      </c>
      <c r="M33" s="3">
        <v>31</v>
      </c>
    </row>
    <row r="34" spans="1:13" ht="30" customHeight="1" x14ac:dyDescent="0.3">
      <c r="A34" s="5">
        <v>32</v>
      </c>
      <c r="B34" t="s">
        <v>647</v>
      </c>
      <c r="C34" s="3" t="s">
        <v>633</v>
      </c>
      <c r="D34" s="5">
        <v>1</v>
      </c>
      <c r="F34" s="1">
        <v>32</v>
      </c>
      <c r="L34" s="3" t="s">
        <v>726</v>
      </c>
      <c r="M34" s="3">
        <v>32</v>
      </c>
    </row>
    <row r="35" spans="1:13" ht="30" customHeight="1" x14ac:dyDescent="0.3">
      <c r="A35" s="5"/>
      <c r="C35" s="3"/>
      <c r="F35" s="1">
        <v>33</v>
      </c>
      <c r="L35" s="3" t="s">
        <v>727</v>
      </c>
      <c r="M35" s="3">
        <v>33</v>
      </c>
    </row>
    <row r="36" spans="1:13" ht="30" customHeight="1" x14ac:dyDescent="0.3">
      <c r="A36" s="5"/>
      <c r="B36" s="12" t="s">
        <v>728</v>
      </c>
      <c r="C36" s="3"/>
      <c r="F36" s="1">
        <v>34</v>
      </c>
      <c r="L36" s="3" t="s">
        <v>729</v>
      </c>
      <c r="M36" s="3">
        <v>34</v>
      </c>
    </row>
    <row r="37" spans="1:13" ht="30" customHeight="1" x14ac:dyDescent="0.3">
      <c r="A37" s="5"/>
      <c r="C37" s="3"/>
      <c r="F37" s="1">
        <v>35</v>
      </c>
      <c r="L37" s="3" t="s">
        <v>730</v>
      </c>
      <c r="M37" s="3">
        <v>35</v>
      </c>
    </row>
    <row r="38" spans="1:13" ht="30" customHeight="1" x14ac:dyDescent="0.3">
      <c r="A38" s="5">
        <v>33</v>
      </c>
      <c r="B38" s="6" t="s">
        <v>731</v>
      </c>
      <c r="C38" s="8" t="s">
        <v>732</v>
      </c>
      <c r="D38" s="98">
        <v>3</v>
      </c>
      <c r="F38" s="1">
        <v>36</v>
      </c>
      <c r="L38" s="3" t="s">
        <v>733</v>
      </c>
      <c r="M38" s="3">
        <v>36</v>
      </c>
    </row>
    <row r="39" spans="1:13" ht="30" customHeight="1" x14ac:dyDescent="0.3">
      <c r="A39" s="5">
        <v>34</v>
      </c>
      <c r="B39" t="s">
        <v>734</v>
      </c>
      <c r="C39" s="6" t="s">
        <v>735</v>
      </c>
      <c r="D39" s="98">
        <v>3</v>
      </c>
      <c r="F39" s="1">
        <v>37</v>
      </c>
      <c r="L39" s="3" t="s">
        <v>736</v>
      </c>
      <c r="M39" s="3">
        <v>37</v>
      </c>
    </row>
    <row r="40" spans="1:13" ht="30" customHeight="1" x14ac:dyDescent="0.3">
      <c r="A40" s="5">
        <v>35</v>
      </c>
      <c r="B40" s="7" t="s">
        <v>737</v>
      </c>
      <c r="C40" s="3" t="s">
        <v>738</v>
      </c>
      <c r="D40" s="5">
        <v>3</v>
      </c>
      <c r="F40" s="1">
        <v>38</v>
      </c>
      <c r="L40" s="3" t="s">
        <v>739</v>
      </c>
      <c r="M40" s="3">
        <v>38</v>
      </c>
    </row>
    <row r="41" spans="1:13" ht="30" customHeight="1" x14ac:dyDescent="0.3">
      <c r="A41" s="5">
        <v>36</v>
      </c>
      <c r="B41" s="7" t="s">
        <v>740</v>
      </c>
      <c r="C41" s="3" t="s">
        <v>741</v>
      </c>
      <c r="D41" s="5">
        <v>5</v>
      </c>
      <c r="F41" s="1">
        <v>39</v>
      </c>
      <c r="L41" s="3" t="s">
        <v>742</v>
      </c>
      <c r="M41" s="3">
        <v>39</v>
      </c>
    </row>
    <row r="42" spans="1:13" ht="30" customHeight="1" x14ac:dyDescent="0.3">
      <c r="A42" s="5">
        <v>37</v>
      </c>
      <c r="B42" s="7" t="s">
        <v>743</v>
      </c>
      <c r="C42" s="3" t="s">
        <v>744</v>
      </c>
      <c r="D42" s="5">
        <v>10</v>
      </c>
      <c r="F42" s="1">
        <v>40</v>
      </c>
      <c r="L42" s="3" t="s">
        <v>745</v>
      </c>
      <c r="M42" s="3">
        <v>40</v>
      </c>
    </row>
    <row r="43" spans="1:13" ht="30" customHeight="1" x14ac:dyDescent="0.3">
      <c r="A43" s="5">
        <v>38</v>
      </c>
      <c r="B43" t="s">
        <v>746</v>
      </c>
      <c r="C43" s="3" t="s">
        <v>738</v>
      </c>
      <c r="D43" s="5">
        <v>3</v>
      </c>
      <c r="F43" s="1">
        <v>41</v>
      </c>
      <c r="L43" s="3" t="s">
        <v>747</v>
      </c>
      <c r="M43" s="3">
        <v>41</v>
      </c>
    </row>
    <row r="44" spans="1:13" ht="30" customHeight="1" x14ac:dyDescent="0.3">
      <c r="A44" s="5">
        <v>39</v>
      </c>
      <c r="B44" t="s">
        <v>748</v>
      </c>
      <c r="C44" s="3" t="s">
        <v>738</v>
      </c>
      <c r="D44" s="5">
        <v>3</v>
      </c>
      <c r="F44" s="1">
        <v>42</v>
      </c>
      <c r="L44" s="3" t="s">
        <v>749</v>
      </c>
      <c r="M44" s="3">
        <v>42</v>
      </c>
    </row>
    <row r="45" spans="1:13" ht="30" customHeight="1" x14ac:dyDescent="0.3">
      <c r="A45" s="5">
        <v>40</v>
      </c>
      <c r="B45" t="s">
        <v>750</v>
      </c>
      <c r="C45" s="3" t="s">
        <v>738</v>
      </c>
      <c r="D45" s="5">
        <v>3</v>
      </c>
      <c r="F45" s="1">
        <v>43</v>
      </c>
      <c r="L45" s="3" t="s">
        <v>751</v>
      </c>
      <c r="M45" s="3">
        <v>43</v>
      </c>
    </row>
    <row r="46" spans="1:13" ht="30" customHeight="1" x14ac:dyDescent="0.3">
      <c r="A46" s="5">
        <v>41</v>
      </c>
      <c r="B46" t="s">
        <v>752</v>
      </c>
      <c r="C46" s="3" t="s">
        <v>633</v>
      </c>
      <c r="D46" s="5">
        <v>1</v>
      </c>
      <c r="F46" s="1">
        <v>44</v>
      </c>
      <c r="L46" s="3" t="s">
        <v>753</v>
      </c>
      <c r="M46" s="3">
        <v>44</v>
      </c>
    </row>
    <row r="47" spans="1:13" ht="30" customHeight="1" x14ac:dyDescent="0.3">
      <c r="A47" s="5">
        <v>42</v>
      </c>
      <c r="B47" t="s">
        <v>754</v>
      </c>
      <c r="C47" s="3" t="s">
        <v>738</v>
      </c>
      <c r="D47" s="5">
        <v>3</v>
      </c>
      <c r="F47" s="1">
        <v>45</v>
      </c>
      <c r="L47" s="3" t="s">
        <v>755</v>
      </c>
      <c r="M47" s="3">
        <v>45</v>
      </c>
    </row>
    <row r="48" spans="1:13" ht="30" customHeight="1" x14ac:dyDescent="0.3">
      <c r="A48" s="5">
        <v>43</v>
      </c>
      <c r="B48" t="s">
        <v>756</v>
      </c>
      <c r="C48" s="3" t="s">
        <v>669</v>
      </c>
      <c r="F48" s="1">
        <v>46</v>
      </c>
      <c r="L48" s="3" t="s">
        <v>757</v>
      </c>
      <c r="M48" s="3">
        <v>46</v>
      </c>
    </row>
    <row r="49" spans="1:13" ht="30" customHeight="1" x14ac:dyDescent="0.3">
      <c r="A49" s="5">
        <v>44</v>
      </c>
      <c r="B49" t="s">
        <v>758</v>
      </c>
      <c r="C49" s="3" t="s">
        <v>738</v>
      </c>
      <c r="D49" s="5">
        <v>3</v>
      </c>
      <c r="F49" s="1">
        <v>47</v>
      </c>
      <c r="L49" s="3" t="s">
        <v>759</v>
      </c>
      <c r="M49" s="3">
        <v>47</v>
      </c>
    </row>
    <row r="50" spans="1:13" ht="30" customHeight="1" x14ac:dyDescent="0.3">
      <c r="A50" s="5">
        <v>45</v>
      </c>
      <c r="B50" t="s">
        <v>760</v>
      </c>
      <c r="C50" s="3" t="s">
        <v>738</v>
      </c>
      <c r="D50" s="5">
        <v>3</v>
      </c>
      <c r="F50" s="1">
        <v>48</v>
      </c>
      <c r="L50" s="3" t="s">
        <v>761</v>
      </c>
      <c r="M50" s="3">
        <v>48</v>
      </c>
    </row>
    <row r="51" spans="1:13" ht="30" customHeight="1" x14ac:dyDescent="0.3">
      <c r="A51" s="5">
        <v>46</v>
      </c>
      <c r="B51" t="s">
        <v>762</v>
      </c>
      <c r="C51" s="3" t="s">
        <v>738</v>
      </c>
      <c r="D51" s="5">
        <v>3</v>
      </c>
      <c r="F51" s="1">
        <v>49</v>
      </c>
      <c r="L51" s="3" t="s">
        <v>763</v>
      </c>
      <c r="M51" s="3">
        <v>49</v>
      </c>
    </row>
    <row r="52" spans="1:13" ht="30" customHeight="1" x14ac:dyDescent="0.3">
      <c r="A52" s="5"/>
      <c r="C52" s="3"/>
      <c r="F52" s="1">
        <v>50</v>
      </c>
      <c r="L52" s="3" t="s">
        <v>764</v>
      </c>
      <c r="M52" s="3">
        <v>50</v>
      </c>
    </row>
    <row r="53" spans="1:13" ht="30" customHeight="1" x14ac:dyDescent="0.3">
      <c r="A53" s="5"/>
      <c r="B53" s="13" t="s">
        <v>765</v>
      </c>
      <c r="C53" s="3"/>
      <c r="F53" s="1">
        <v>51</v>
      </c>
      <c r="L53" s="3" t="s">
        <v>766</v>
      </c>
      <c r="M53" s="3">
        <v>51</v>
      </c>
    </row>
    <row r="54" spans="1:13" ht="30" customHeight="1" x14ac:dyDescent="0.3">
      <c r="A54" s="5"/>
      <c r="C54" s="3"/>
      <c r="F54" s="1">
        <v>52</v>
      </c>
      <c r="L54" s="3" t="s">
        <v>767</v>
      </c>
      <c r="M54" s="3">
        <v>52</v>
      </c>
    </row>
    <row r="55" spans="1:13" ht="30" customHeight="1" x14ac:dyDescent="0.3">
      <c r="A55" s="5">
        <v>47</v>
      </c>
      <c r="B55" s="7" t="s">
        <v>768</v>
      </c>
      <c r="C55" s="6" t="s">
        <v>769</v>
      </c>
      <c r="D55" s="98">
        <v>5</v>
      </c>
      <c r="F55" s="1">
        <v>53</v>
      </c>
      <c r="L55" s="3" t="s">
        <v>770</v>
      </c>
      <c r="M55" s="3">
        <v>53</v>
      </c>
    </row>
    <row r="56" spans="1:13" ht="30" customHeight="1" x14ac:dyDescent="0.3">
      <c r="A56" s="5">
        <v>48</v>
      </c>
      <c r="B56" s="7" t="s">
        <v>771</v>
      </c>
      <c r="C56" s="6" t="s">
        <v>772</v>
      </c>
      <c r="D56" s="98">
        <v>10</v>
      </c>
      <c r="F56" s="1">
        <v>54</v>
      </c>
      <c r="L56" s="3" t="s">
        <v>773</v>
      </c>
      <c r="M56" s="3">
        <v>54</v>
      </c>
    </row>
    <row r="57" spans="1:13" ht="30" customHeight="1" x14ac:dyDescent="0.3">
      <c r="A57" s="5">
        <v>49</v>
      </c>
      <c r="B57" t="s">
        <v>774</v>
      </c>
      <c r="C57" s="3" t="s">
        <v>669</v>
      </c>
      <c r="F57" s="1">
        <v>55</v>
      </c>
      <c r="L57" s="3" t="s">
        <v>775</v>
      </c>
      <c r="M57" s="3">
        <v>55</v>
      </c>
    </row>
    <row r="58" spans="1:13" ht="30" customHeight="1" x14ac:dyDescent="0.3">
      <c r="A58" s="5">
        <v>50</v>
      </c>
      <c r="B58" t="s">
        <v>776</v>
      </c>
      <c r="C58" s="3" t="s">
        <v>738</v>
      </c>
      <c r="D58" s="5">
        <v>3</v>
      </c>
      <c r="F58" s="1">
        <v>56</v>
      </c>
      <c r="L58" s="3" t="s">
        <v>777</v>
      </c>
      <c r="M58" s="3">
        <v>56</v>
      </c>
    </row>
    <row r="59" spans="1:13" ht="30" customHeight="1" x14ac:dyDescent="0.3">
      <c r="A59" s="5">
        <v>51</v>
      </c>
      <c r="B59" t="s">
        <v>778</v>
      </c>
      <c r="C59" s="3" t="s">
        <v>779</v>
      </c>
      <c r="D59" s="5">
        <v>2</v>
      </c>
      <c r="F59" s="1">
        <v>57</v>
      </c>
      <c r="L59" s="3" t="s">
        <v>780</v>
      </c>
      <c r="M59" s="3">
        <v>57</v>
      </c>
    </row>
    <row r="60" spans="1:13" ht="30" customHeight="1" x14ac:dyDescent="0.3">
      <c r="A60" s="5">
        <v>52</v>
      </c>
      <c r="B60" s="7" t="s">
        <v>781</v>
      </c>
      <c r="C60" s="3" t="s">
        <v>782</v>
      </c>
      <c r="D60" s="5">
        <v>1</v>
      </c>
      <c r="F60" s="1">
        <v>58</v>
      </c>
      <c r="L60" s="3" t="s">
        <v>783</v>
      </c>
      <c r="M60" s="3">
        <v>58</v>
      </c>
    </row>
    <row r="61" spans="1:13" ht="30" customHeight="1" x14ac:dyDescent="0.3">
      <c r="A61" s="5">
        <v>53</v>
      </c>
      <c r="B61" s="7" t="s">
        <v>784</v>
      </c>
      <c r="C61" s="3" t="s">
        <v>744</v>
      </c>
      <c r="D61" s="5">
        <v>10</v>
      </c>
      <c r="F61" s="1">
        <v>59</v>
      </c>
      <c r="L61" s="3" t="s">
        <v>785</v>
      </c>
      <c r="M61" s="3">
        <v>59</v>
      </c>
    </row>
    <row r="62" spans="1:13" ht="30" customHeight="1" x14ac:dyDescent="0.3">
      <c r="A62" s="5">
        <v>54</v>
      </c>
      <c r="B62" t="s">
        <v>786</v>
      </c>
      <c r="C62" s="3" t="s">
        <v>787</v>
      </c>
      <c r="D62" s="5">
        <v>10</v>
      </c>
      <c r="F62" s="1">
        <v>60</v>
      </c>
      <c r="L62" s="3" t="s">
        <v>788</v>
      </c>
      <c r="M62" s="3">
        <v>60</v>
      </c>
    </row>
    <row r="63" spans="1:13" ht="30" customHeight="1" x14ac:dyDescent="0.3">
      <c r="A63" s="5">
        <v>55</v>
      </c>
      <c r="B63" s="7" t="s">
        <v>789</v>
      </c>
      <c r="C63" s="6" t="s">
        <v>790</v>
      </c>
      <c r="D63" s="98">
        <v>5</v>
      </c>
      <c r="F63" s="1">
        <v>61</v>
      </c>
      <c r="L63" s="3" t="s">
        <v>791</v>
      </c>
    </row>
    <row r="64" spans="1:13" ht="30" customHeight="1" x14ac:dyDescent="0.3">
      <c r="A64" s="5">
        <v>56</v>
      </c>
      <c r="B64" s="7" t="s">
        <v>792</v>
      </c>
      <c r="C64" s="3" t="s">
        <v>669</v>
      </c>
      <c r="F64" s="1">
        <v>62</v>
      </c>
      <c r="L64" s="3" t="s">
        <v>793</v>
      </c>
    </row>
    <row r="65" spans="1:12" ht="30" customHeight="1" x14ac:dyDescent="0.3">
      <c r="A65" s="5">
        <v>57</v>
      </c>
      <c r="B65" s="7" t="s">
        <v>794</v>
      </c>
      <c r="C65" s="3" t="s">
        <v>669</v>
      </c>
      <c r="F65" s="1">
        <v>63</v>
      </c>
      <c r="L65" s="3" t="s">
        <v>795</v>
      </c>
    </row>
    <row r="66" spans="1:12" ht="30" customHeight="1" x14ac:dyDescent="0.3">
      <c r="A66" s="5">
        <v>58</v>
      </c>
      <c r="B66" t="s">
        <v>796</v>
      </c>
      <c r="C66" s="3" t="s">
        <v>669</v>
      </c>
      <c r="F66" s="1">
        <v>64</v>
      </c>
      <c r="L66" s="3" t="s">
        <v>797</v>
      </c>
    </row>
    <row r="67" spans="1:12" ht="30" customHeight="1" x14ac:dyDescent="0.3">
      <c r="A67" s="5">
        <v>59</v>
      </c>
      <c r="B67" s="6" t="s">
        <v>798</v>
      </c>
      <c r="C67" s="6" t="s">
        <v>799</v>
      </c>
      <c r="D67" s="98">
        <v>10</v>
      </c>
      <c r="F67" s="1">
        <v>65</v>
      </c>
      <c r="L67" s="3" t="s">
        <v>800</v>
      </c>
    </row>
    <row r="68" spans="1:12" ht="30" customHeight="1" x14ac:dyDescent="0.3">
      <c r="A68" s="5">
        <v>60</v>
      </c>
      <c r="B68" s="7" t="s">
        <v>801</v>
      </c>
      <c r="C68" s="3" t="s">
        <v>802</v>
      </c>
      <c r="D68" s="5">
        <v>10</v>
      </c>
      <c r="F68" s="1">
        <v>66</v>
      </c>
      <c r="L68" s="3" t="s">
        <v>803</v>
      </c>
    </row>
    <row r="69" spans="1:12" ht="30" customHeight="1" x14ac:dyDescent="0.3">
      <c r="A69" s="5">
        <v>61</v>
      </c>
      <c r="B69" s="3" t="s">
        <v>804</v>
      </c>
      <c r="C69" s="6" t="s">
        <v>805</v>
      </c>
      <c r="D69" s="98">
        <v>10</v>
      </c>
      <c r="F69" s="1">
        <v>67</v>
      </c>
      <c r="L69" s="3" t="s">
        <v>806</v>
      </c>
    </row>
    <row r="70" spans="1:12" ht="30" customHeight="1" x14ac:dyDescent="0.3">
      <c r="A70" s="5">
        <v>62</v>
      </c>
      <c r="B70" t="s">
        <v>807</v>
      </c>
      <c r="C70" s="3" t="s">
        <v>738</v>
      </c>
      <c r="D70" s="5">
        <v>3</v>
      </c>
      <c r="F70" s="1">
        <v>68</v>
      </c>
      <c r="L70" s="3" t="s">
        <v>808</v>
      </c>
    </row>
    <row r="71" spans="1:12" ht="30" customHeight="1" x14ac:dyDescent="0.3">
      <c r="A71" s="5">
        <v>63</v>
      </c>
      <c r="B71" t="s">
        <v>809</v>
      </c>
      <c r="C71" s="3" t="s">
        <v>741</v>
      </c>
      <c r="D71" s="5">
        <v>5</v>
      </c>
      <c r="F71" s="1">
        <v>69</v>
      </c>
      <c r="L71" s="3" t="s">
        <v>810</v>
      </c>
    </row>
    <row r="72" spans="1:12" ht="30" customHeight="1" x14ac:dyDescent="0.3">
      <c r="A72" s="5">
        <v>64</v>
      </c>
      <c r="B72" t="s">
        <v>811</v>
      </c>
      <c r="C72" s="3" t="s">
        <v>669</v>
      </c>
      <c r="F72" s="1">
        <v>70</v>
      </c>
      <c r="L72" s="3" t="s">
        <v>812</v>
      </c>
    </row>
    <row r="73" spans="1:12" ht="30" customHeight="1" x14ac:dyDescent="0.3">
      <c r="A73" s="5">
        <v>65</v>
      </c>
      <c r="B73" s="7" t="s">
        <v>813</v>
      </c>
      <c r="C73" s="3" t="s">
        <v>669</v>
      </c>
      <c r="F73" s="1">
        <v>71</v>
      </c>
      <c r="L73" s="3" t="s">
        <v>814</v>
      </c>
    </row>
    <row r="74" spans="1:12" ht="30" customHeight="1" x14ac:dyDescent="0.3">
      <c r="A74" s="5">
        <v>66</v>
      </c>
      <c r="B74" s="7" t="s">
        <v>815</v>
      </c>
      <c r="C74" s="6" t="s">
        <v>816</v>
      </c>
      <c r="D74" s="98">
        <v>15</v>
      </c>
      <c r="F74" s="1">
        <v>72</v>
      </c>
      <c r="L74" s="3" t="s">
        <v>817</v>
      </c>
    </row>
    <row r="75" spans="1:12" ht="30" customHeight="1" x14ac:dyDescent="0.3">
      <c r="A75" s="5">
        <v>67</v>
      </c>
      <c r="B75" t="s">
        <v>818</v>
      </c>
      <c r="C75" s="6" t="s">
        <v>819</v>
      </c>
      <c r="D75" s="98">
        <v>12</v>
      </c>
      <c r="F75" s="1">
        <v>73</v>
      </c>
      <c r="L75" s="3" t="s">
        <v>820</v>
      </c>
    </row>
    <row r="76" spans="1:12" ht="30" customHeight="1" x14ac:dyDescent="0.3">
      <c r="A76" s="5">
        <v>68</v>
      </c>
      <c r="B76" s="7" t="s">
        <v>821</v>
      </c>
      <c r="C76" s="3" t="s">
        <v>669</v>
      </c>
      <c r="F76" s="1">
        <v>74</v>
      </c>
      <c r="L76" s="3" t="s">
        <v>822</v>
      </c>
    </row>
    <row r="77" spans="1:12" ht="30" customHeight="1" x14ac:dyDescent="0.3">
      <c r="A77" s="5">
        <v>69</v>
      </c>
      <c r="B77" t="s">
        <v>823</v>
      </c>
      <c r="C77" s="3" t="s">
        <v>824</v>
      </c>
      <c r="D77" s="5">
        <v>3</v>
      </c>
      <c r="F77" s="1">
        <v>75</v>
      </c>
      <c r="L77" s="3" t="s">
        <v>825</v>
      </c>
    </row>
    <row r="78" spans="1:12" ht="30" customHeight="1" x14ac:dyDescent="0.3">
      <c r="A78" s="5">
        <v>70</v>
      </c>
      <c r="B78" s="7" t="s">
        <v>826</v>
      </c>
      <c r="C78" s="3" t="s">
        <v>672</v>
      </c>
      <c r="D78" s="5">
        <v>2</v>
      </c>
      <c r="F78" s="1">
        <v>76</v>
      </c>
      <c r="L78" s="3" t="s">
        <v>827</v>
      </c>
    </row>
    <row r="79" spans="1:12" ht="30" customHeight="1" x14ac:dyDescent="0.3">
      <c r="A79" s="5">
        <v>71</v>
      </c>
      <c r="B79" s="7" t="s">
        <v>828</v>
      </c>
      <c r="C79" s="3" t="s">
        <v>829</v>
      </c>
      <c r="D79" s="5">
        <v>3</v>
      </c>
      <c r="F79" s="1">
        <v>77</v>
      </c>
      <c r="L79" s="3" t="s">
        <v>830</v>
      </c>
    </row>
    <row r="80" spans="1:12" ht="30" customHeight="1" x14ac:dyDescent="0.3">
      <c r="A80" s="5">
        <v>72</v>
      </c>
      <c r="B80" t="s">
        <v>831</v>
      </c>
      <c r="C80" s="3" t="s">
        <v>669</v>
      </c>
      <c r="F80" s="1">
        <v>78</v>
      </c>
      <c r="L80" s="3" t="s">
        <v>832</v>
      </c>
    </row>
    <row r="81" spans="1:12" ht="30" customHeight="1" x14ac:dyDescent="0.3">
      <c r="A81" s="5">
        <v>73</v>
      </c>
      <c r="B81" t="s">
        <v>833</v>
      </c>
      <c r="C81" s="3" t="s">
        <v>669</v>
      </c>
      <c r="F81" s="1">
        <v>79</v>
      </c>
      <c r="L81" s="3" t="s">
        <v>834</v>
      </c>
    </row>
    <row r="82" spans="1:12" ht="30" customHeight="1" x14ac:dyDescent="0.3">
      <c r="A82" s="5">
        <v>74</v>
      </c>
      <c r="B82" s="3" t="s">
        <v>835</v>
      </c>
      <c r="C82" s="6" t="s">
        <v>836</v>
      </c>
      <c r="D82" s="98">
        <v>10</v>
      </c>
      <c r="F82" s="1">
        <v>80</v>
      </c>
      <c r="L82" s="3" t="s">
        <v>837</v>
      </c>
    </row>
    <row r="83" spans="1:12" ht="30" customHeight="1" x14ac:dyDescent="0.3">
      <c r="A83" s="5">
        <v>75</v>
      </c>
      <c r="B83" t="s">
        <v>838</v>
      </c>
      <c r="C83" s="3" t="s">
        <v>744</v>
      </c>
      <c r="D83" s="5">
        <v>10</v>
      </c>
      <c r="F83" s="1">
        <v>81</v>
      </c>
      <c r="L83" s="3" t="s">
        <v>839</v>
      </c>
    </row>
    <row r="84" spans="1:12" ht="30" customHeight="1" x14ac:dyDescent="0.3">
      <c r="A84" s="5">
        <v>76</v>
      </c>
      <c r="B84" s="3" t="s">
        <v>840</v>
      </c>
      <c r="C84" s="6" t="s">
        <v>841</v>
      </c>
      <c r="D84" s="98">
        <v>10</v>
      </c>
      <c r="F84" s="1">
        <v>82</v>
      </c>
      <c r="L84" s="3" t="s">
        <v>842</v>
      </c>
    </row>
    <row r="85" spans="1:12" ht="30" customHeight="1" x14ac:dyDescent="0.3">
      <c r="A85" s="5">
        <v>77</v>
      </c>
      <c r="B85" t="s">
        <v>843</v>
      </c>
      <c r="C85" s="3" t="s">
        <v>744</v>
      </c>
      <c r="D85" s="98">
        <v>10</v>
      </c>
      <c r="F85" s="1">
        <v>83</v>
      </c>
      <c r="L85" s="3" t="s">
        <v>844</v>
      </c>
    </row>
    <row r="86" spans="1:12" ht="30" customHeight="1" x14ac:dyDescent="0.3">
      <c r="A86" s="5">
        <v>78</v>
      </c>
      <c r="B86" s="7" t="s">
        <v>845</v>
      </c>
      <c r="C86" s="3" t="s">
        <v>744</v>
      </c>
      <c r="D86" s="98">
        <v>10</v>
      </c>
      <c r="F86" s="1">
        <v>84</v>
      </c>
      <c r="L86" s="3" t="s">
        <v>846</v>
      </c>
    </row>
    <row r="87" spans="1:12" ht="30" customHeight="1" x14ac:dyDescent="0.3">
      <c r="A87" s="5">
        <v>79</v>
      </c>
      <c r="B87" t="s">
        <v>847</v>
      </c>
      <c r="C87" s="6" t="s">
        <v>669</v>
      </c>
      <c r="D87" s="98"/>
      <c r="F87" s="1">
        <v>85</v>
      </c>
      <c r="L87" s="3" t="s">
        <v>848</v>
      </c>
    </row>
    <row r="88" spans="1:12" ht="30" customHeight="1" x14ac:dyDescent="0.3">
      <c r="A88" s="5">
        <v>80</v>
      </c>
      <c r="B88" s="7" t="s">
        <v>849</v>
      </c>
      <c r="C88" s="3" t="s">
        <v>669</v>
      </c>
      <c r="F88" s="1">
        <v>86</v>
      </c>
      <c r="L88" s="3" t="s">
        <v>850</v>
      </c>
    </row>
    <row r="89" spans="1:12" ht="30" customHeight="1" x14ac:dyDescent="0.3">
      <c r="A89" s="5">
        <v>81</v>
      </c>
      <c r="B89" s="7" t="s">
        <v>851</v>
      </c>
      <c r="C89" s="6" t="s">
        <v>852</v>
      </c>
      <c r="D89" s="98">
        <v>10</v>
      </c>
      <c r="F89" s="1">
        <v>87</v>
      </c>
      <c r="L89" s="3" t="s">
        <v>853</v>
      </c>
    </row>
    <row r="90" spans="1:12" ht="30" customHeight="1" x14ac:dyDescent="0.3">
      <c r="A90" s="5">
        <v>82</v>
      </c>
      <c r="B90" s="6" t="s">
        <v>854</v>
      </c>
      <c r="C90" s="3" t="s">
        <v>738</v>
      </c>
      <c r="D90" s="98">
        <v>3</v>
      </c>
      <c r="F90" s="1">
        <v>88</v>
      </c>
      <c r="L90" s="3" t="s">
        <v>855</v>
      </c>
    </row>
    <row r="91" spans="1:12" ht="30" customHeight="1" x14ac:dyDescent="0.3">
      <c r="A91" s="5">
        <v>83</v>
      </c>
      <c r="B91" t="s">
        <v>856</v>
      </c>
      <c r="C91" s="3" t="s">
        <v>738</v>
      </c>
      <c r="D91" s="5">
        <v>3</v>
      </c>
      <c r="F91" s="1">
        <v>89</v>
      </c>
      <c r="L91" s="3" t="s">
        <v>857</v>
      </c>
    </row>
    <row r="92" spans="1:12" ht="30" customHeight="1" x14ac:dyDescent="0.3">
      <c r="A92" s="5">
        <v>84</v>
      </c>
      <c r="B92" s="7" t="s">
        <v>858</v>
      </c>
      <c r="C92" s="6" t="s">
        <v>859</v>
      </c>
      <c r="D92" s="98">
        <v>10</v>
      </c>
      <c r="F92" s="1">
        <v>90</v>
      </c>
      <c r="L92" s="3" t="s">
        <v>860</v>
      </c>
    </row>
    <row r="93" spans="1:12" ht="30" customHeight="1" x14ac:dyDescent="0.3">
      <c r="A93" s="5">
        <v>85</v>
      </c>
      <c r="B93" s="7" t="s">
        <v>861</v>
      </c>
      <c r="C93" s="3" t="s">
        <v>744</v>
      </c>
      <c r="D93" s="5">
        <v>10</v>
      </c>
      <c r="F93" s="1">
        <v>91</v>
      </c>
      <c r="L93" s="3" t="s">
        <v>862</v>
      </c>
    </row>
    <row r="94" spans="1:12" ht="30" customHeight="1" x14ac:dyDescent="0.3">
      <c r="A94" s="5">
        <v>86</v>
      </c>
      <c r="B94" t="s">
        <v>863</v>
      </c>
      <c r="C94" s="3" t="s">
        <v>744</v>
      </c>
      <c r="D94" s="5">
        <v>10</v>
      </c>
      <c r="F94" s="1">
        <v>92</v>
      </c>
      <c r="L94" s="3" t="s">
        <v>864</v>
      </c>
    </row>
    <row r="95" spans="1:12" ht="30" customHeight="1" x14ac:dyDescent="0.3">
      <c r="A95" s="5">
        <v>87</v>
      </c>
      <c r="B95" t="s">
        <v>865</v>
      </c>
      <c r="C95" s="3" t="s">
        <v>744</v>
      </c>
      <c r="D95" s="5">
        <v>10</v>
      </c>
      <c r="F95" s="1">
        <v>93</v>
      </c>
      <c r="L95" s="3" t="s">
        <v>866</v>
      </c>
    </row>
    <row r="96" spans="1:12" ht="30" customHeight="1" x14ac:dyDescent="0.3">
      <c r="A96" s="5">
        <v>88</v>
      </c>
      <c r="B96" t="s">
        <v>867</v>
      </c>
      <c r="C96" s="3" t="s">
        <v>744</v>
      </c>
      <c r="D96" s="5">
        <v>10</v>
      </c>
      <c r="F96" s="1">
        <v>94</v>
      </c>
      <c r="L96" s="3" t="s">
        <v>868</v>
      </c>
    </row>
    <row r="97" spans="1:12" ht="30" customHeight="1" x14ac:dyDescent="0.3">
      <c r="A97" s="5">
        <v>89</v>
      </c>
      <c r="B97" t="s">
        <v>869</v>
      </c>
      <c r="C97" s="3" t="s">
        <v>744</v>
      </c>
      <c r="D97" s="5">
        <v>10</v>
      </c>
      <c r="F97" s="1">
        <v>95</v>
      </c>
      <c r="L97" s="3" t="s">
        <v>870</v>
      </c>
    </row>
    <row r="98" spans="1:12" ht="30" customHeight="1" x14ac:dyDescent="0.3">
      <c r="A98" s="5">
        <v>90</v>
      </c>
      <c r="B98" s="6" t="s">
        <v>871</v>
      </c>
      <c r="C98" s="6" t="s">
        <v>872</v>
      </c>
      <c r="D98" s="98">
        <v>10</v>
      </c>
      <c r="F98" s="1">
        <v>96</v>
      </c>
      <c r="L98" s="3" t="s">
        <v>873</v>
      </c>
    </row>
    <row r="99" spans="1:12" ht="30" customHeight="1" x14ac:dyDescent="0.3">
      <c r="A99" s="5">
        <v>91</v>
      </c>
      <c r="B99" s="7" t="s">
        <v>874</v>
      </c>
      <c r="C99" s="6" t="s">
        <v>875</v>
      </c>
      <c r="D99" s="98">
        <v>10</v>
      </c>
      <c r="F99" s="1">
        <v>97</v>
      </c>
      <c r="L99" s="3" t="s">
        <v>876</v>
      </c>
    </row>
    <row r="100" spans="1:12" ht="30" customHeight="1" x14ac:dyDescent="0.3">
      <c r="A100" s="5">
        <v>92</v>
      </c>
      <c r="B100" t="s">
        <v>877</v>
      </c>
      <c r="C100" s="3" t="s">
        <v>878</v>
      </c>
      <c r="D100" s="5">
        <v>4</v>
      </c>
      <c r="F100" s="1">
        <v>98</v>
      </c>
      <c r="L100" s="3" t="s">
        <v>879</v>
      </c>
    </row>
    <row r="101" spans="1:12" ht="30" customHeight="1" x14ac:dyDescent="0.3">
      <c r="A101" s="5"/>
      <c r="B101" s="14" t="s">
        <v>880</v>
      </c>
      <c r="C101" s="3"/>
      <c r="F101" s="1">
        <v>99</v>
      </c>
      <c r="L101" s="3" t="s">
        <v>881</v>
      </c>
    </row>
    <row r="102" spans="1:12" ht="30" customHeight="1" x14ac:dyDescent="0.3">
      <c r="A102" s="5">
        <v>93</v>
      </c>
      <c r="B102" s="7" t="s">
        <v>882</v>
      </c>
      <c r="C102" s="3" t="s">
        <v>741</v>
      </c>
      <c r="D102" s="5">
        <v>5</v>
      </c>
      <c r="F102" s="1">
        <v>100</v>
      </c>
      <c r="L102" s="3" t="s">
        <v>883</v>
      </c>
    </row>
    <row r="103" spans="1:12" ht="30" customHeight="1" x14ac:dyDescent="0.3">
      <c r="A103" s="5">
        <v>94</v>
      </c>
      <c r="B103" s="7" t="s">
        <v>884</v>
      </c>
      <c r="C103" s="6" t="s">
        <v>885</v>
      </c>
      <c r="D103" s="98">
        <v>5</v>
      </c>
      <c r="F103" s="1">
        <v>101</v>
      </c>
      <c r="L103" s="3" t="s">
        <v>886</v>
      </c>
    </row>
    <row r="104" spans="1:12" ht="30" customHeight="1" x14ac:dyDescent="0.3">
      <c r="A104" s="5">
        <v>95</v>
      </c>
      <c r="B104" t="s">
        <v>646</v>
      </c>
      <c r="C104" s="3" t="s">
        <v>633</v>
      </c>
      <c r="D104" s="5">
        <v>1</v>
      </c>
      <c r="F104" s="1">
        <v>102</v>
      </c>
      <c r="L104" s="3" t="s">
        <v>887</v>
      </c>
    </row>
    <row r="105" spans="1:12" ht="30" customHeight="1" x14ac:dyDescent="0.3">
      <c r="A105" s="5">
        <v>96</v>
      </c>
      <c r="B105" s="7" t="s">
        <v>888</v>
      </c>
      <c r="C105" s="6" t="s">
        <v>889</v>
      </c>
      <c r="D105" s="98">
        <v>2</v>
      </c>
      <c r="F105" s="1">
        <v>103</v>
      </c>
      <c r="L105" s="3" t="s">
        <v>890</v>
      </c>
    </row>
    <row r="106" spans="1:12" ht="30" customHeight="1" x14ac:dyDescent="0.3">
      <c r="A106" s="5">
        <v>97</v>
      </c>
      <c r="B106" s="7" t="s">
        <v>645</v>
      </c>
      <c r="C106" s="3" t="s">
        <v>633</v>
      </c>
      <c r="D106" s="5">
        <v>1</v>
      </c>
      <c r="F106" s="1">
        <v>104</v>
      </c>
      <c r="L106" s="3" t="s">
        <v>891</v>
      </c>
    </row>
    <row r="107" spans="1:12" ht="30" customHeight="1" x14ac:dyDescent="0.3">
      <c r="A107" s="5">
        <v>98</v>
      </c>
      <c r="B107" t="s">
        <v>892</v>
      </c>
      <c r="C107" s="3" t="s">
        <v>672</v>
      </c>
      <c r="D107" s="5">
        <v>2</v>
      </c>
      <c r="F107" s="1">
        <v>105</v>
      </c>
      <c r="L107" s="3" t="s">
        <v>893</v>
      </c>
    </row>
    <row r="108" spans="1:12" ht="30" customHeight="1" x14ac:dyDescent="0.3">
      <c r="A108" s="5">
        <v>99</v>
      </c>
      <c r="B108" t="s">
        <v>643</v>
      </c>
      <c r="C108" s="6" t="s">
        <v>644</v>
      </c>
      <c r="D108" s="98">
        <v>1</v>
      </c>
      <c r="F108" s="1">
        <v>106</v>
      </c>
      <c r="L108" s="3" t="s">
        <v>894</v>
      </c>
    </row>
    <row r="109" spans="1:12" ht="30" customHeight="1" x14ac:dyDescent="0.3">
      <c r="A109" s="5">
        <v>100</v>
      </c>
      <c r="B109" t="s">
        <v>895</v>
      </c>
      <c r="C109" s="3" t="s">
        <v>633</v>
      </c>
      <c r="D109" s="5">
        <v>1</v>
      </c>
      <c r="F109" s="1">
        <v>107</v>
      </c>
      <c r="L109" s="3" t="s">
        <v>896</v>
      </c>
    </row>
    <row r="110" spans="1:12" ht="30" customHeight="1" x14ac:dyDescent="0.3">
      <c r="A110" s="5">
        <v>101</v>
      </c>
      <c r="B110" t="s">
        <v>897</v>
      </c>
      <c r="C110" s="3" t="s">
        <v>669</v>
      </c>
      <c r="F110" s="1">
        <v>108</v>
      </c>
      <c r="L110" s="3" t="s">
        <v>898</v>
      </c>
    </row>
    <row r="111" spans="1:12" ht="30" customHeight="1" x14ac:dyDescent="0.3">
      <c r="A111" s="5">
        <v>102</v>
      </c>
      <c r="B111" t="s">
        <v>899</v>
      </c>
      <c r="C111" s="3" t="s">
        <v>900</v>
      </c>
      <c r="D111" s="5">
        <v>5</v>
      </c>
      <c r="F111" s="1">
        <v>109</v>
      </c>
      <c r="L111" s="3" t="s">
        <v>901</v>
      </c>
    </row>
    <row r="112" spans="1:12" ht="30" customHeight="1" x14ac:dyDescent="0.3">
      <c r="A112" s="5">
        <v>103</v>
      </c>
      <c r="B112" t="s">
        <v>902</v>
      </c>
      <c r="C112" s="3" t="s">
        <v>903</v>
      </c>
      <c r="D112" s="5">
        <v>15</v>
      </c>
      <c r="F112" s="1">
        <v>110</v>
      </c>
      <c r="L112" s="3" t="s">
        <v>904</v>
      </c>
    </row>
    <row r="113" spans="1:12" ht="30" customHeight="1" x14ac:dyDescent="0.3">
      <c r="A113" s="5">
        <v>104</v>
      </c>
      <c r="B113" t="s">
        <v>905</v>
      </c>
      <c r="C113" s="3" t="s">
        <v>906</v>
      </c>
      <c r="D113" s="5">
        <v>1</v>
      </c>
      <c r="F113" s="1">
        <v>111</v>
      </c>
      <c r="L113" s="3" t="s">
        <v>907</v>
      </c>
    </row>
    <row r="114" spans="1:12" ht="30" customHeight="1" x14ac:dyDescent="0.3">
      <c r="A114" s="5">
        <v>105</v>
      </c>
      <c r="B114" s="7" t="s">
        <v>641</v>
      </c>
      <c r="C114" s="6" t="s">
        <v>642</v>
      </c>
      <c r="D114" s="98">
        <v>2</v>
      </c>
      <c r="F114" s="1">
        <v>112</v>
      </c>
      <c r="L114" s="3" t="s">
        <v>908</v>
      </c>
    </row>
    <row r="115" spans="1:12" ht="30" customHeight="1" x14ac:dyDescent="0.3">
      <c r="A115" s="5">
        <v>106</v>
      </c>
      <c r="B115" s="7" t="s">
        <v>909</v>
      </c>
      <c r="C115" s="6" t="s">
        <v>910</v>
      </c>
      <c r="D115" s="98">
        <v>3</v>
      </c>
      <c r="F115" s="1">
        <v>113</v>
      </c>
      <c r="L115" s="3" t="s">
        <v>911</v>
      </c>
    </row>
    <row r="116" spans="1:12" ht="30" customHeight="1" x14ac:dyDescent="0.3">
      <c r="A116" s="5">
        <v>107</v>
      </c>
      <c r="B116" s="7" t="s">
        <v>912</v>
      </c>
      <c r="C116" s="3" t="s">
        <v>903</v>
      </c>
      <c r="D116" s="5">
        <v>15</v>
      </c>
      <c r="F116" s="1">
        <v>114</v>
      </c>
      <c r="L116" s="3" t="s">
        <v>913</v>
      </c>
    </row>
    <row r="117" spans="1:12" ht="30" customHeight="1" x14ac:dyDescent="0.3">
      <c r="A117" s="5">
        <v>108</v>
      </c>
      <c r="B117" t="s">
        <v>914</v>
      </c>
      <c r="C117" s="3" t="s">
        <v>640</v>
      </c>
      <c r="D117" s="5">
        <v>1</v>
      </c>
      <c r="F117" s="1">
        <v>115</v>
      </c>
      <c r="L117" s="3" t="s">
        <v>915</v>
      </c>
    </row>
    <row r="118" spans="1:12" ht="30" customHeight="1" x14ac:dyDescent="0.3">
      <c r="A118" s="5">
        <v>109</v>
      </c>
      <c r="B118" s="7" t="s">
        <v>916</v>
      </c>
      <c r="C118" s="6" t="s">
        <v>917</v>
      </c>
      <c r="D118" s="98">
        <v>5</v>
      </c>
      <c r="F118" s="1">
        <v>116</v>
      </c>
      <c r="L118" s="3" t="s">
        <v>918</v>
      </c>
    </row>
    <row r="119" spans="1:12" ht="30" customHeight="1" x14ac:dyDescent="0.3">
      <c r="A119" s="5">
        <v>110</v>
      </c>
      <c r="B119" s="7" t="s">
        <v>919</v>
      </c>
      <c r="C119" s="3" t="s">
        <v>920</v>
      </c>
      <c r="D119" s="5">
        <v>2</v>
      </c>
      <c r="F119" s="1">
        <v>117</v>
      </c>
      <c r="L119" s="3" t="s">
        <v>921</v>
      </c>
    </row>
    <row r="120" spans="1:12" ht="30" customHeight="1" x14ac:dyDescent="0.3">
      <c r="A120" s="5">
        <v>111</v>
      </c>
      <c r="B120" t="s">
        <v>639</v>
      </c>
      <c r="C120" s="3" t="s">
        <v>640</v>
      </c>
      <c r="D120" s="5">
        <v>1</v>
      </c>
      <c r="F120" s="1">
        <v>118</v>
      </c>
      <c r="L120" s="3" t="s">
        <v>922</v>
      </c>
    </row>
    <row r="121" spans="1:12" ht="30" customHeight="1" x14ac:dyDescent="0.3">
      <c r="A121" s="5">
        <v>112</v>
      </c>
      <c r="B121" s="7" t="s">
        <v>923</v>
      </c>
      <c r="C121" s="3" t="s">
        <v>903</v>
      </c>
      <c r="D121" s="5">
        <v>15</v>
      </c>
      <c r="F121" s="1">
        <v>119</v>
      </c>
      <c r="L121" s="3" t="s">
        <v>924</v>
      </c>
    </row>
    <row r="122" spans="1:12" ht="30" customHeight="1" x14ac:dyDescent="0.3">
      <c r="A122" s="5">
        <v>113</v>
      </c>
      <c r="B122" s="3" t="s">
        <v>925</v>
      </c>
      <c r="C122" s="6" t="s">
        <v>926</v>
      </c>
      <c r="D122" s="98"/>
      <c r="F122" s="1">
        <v>120</v>
      </c>
      <c r="L122" s="3" t="s">
        <v>499</v>
      </c>
    </row>
    <row r="123" spans="1:12" ht="30" customHeight="1" x14ac:dyDescent="0.3">
      <c r="A123" s="5">
        <v>114</v>
      </c>
      <c r="B123" t="s">
        <v>927</v>
      </c>
      <c r="C123" s="3" t="s">
        <v>738</v>
      </c>
      <c r="D123" s="5">
        <v>3</v>
      </c>
      <c r="F123" s="1">
        <v>121</v>
      </c>
      <c r="L123" s="3" t="s">
        <v>507</v>
      </c>
    </row>
    <row r="124" spans="1:12" ht="30" customHeight="1" x14ac:dyDescent="0.3">
      <c r="A124" s="5">
        <v>115</v>
      </c>
      <c r="B124" t="s">
        <v>928</v>
      </c>
      <c r="C124" s="3" t="s">
        <v>929</v>
      </c>
      <c r="D124" s="5">
        <v>5</v>
      </c>
      <c r="F124" s="1">
        <v>122</v>
      </c>
      <c r="L124" s="3" t="s">
        <v>505</v>
      </c>
    </row>
    <row r="125" spans="1:12" ht="30" customHeight="1" x14ac:dyDescent="0.3">
      <c r="A125" s="5">
        <v>116</v>
      </c>
      <c r="B125" t="s">
        <v>930</v>
      </c>
      <c r="C125" s="3" t="s">
        <v>724</v>
      </c>
      <c r="D125" s="5">
        <v>1</v>
      </c>
      <c r="F125" s="1">
        <v>123</v>
      </c>
      <c r="L125" s="3" t="s">
        <v>513</v>
      </c>
    </row>
    <row r="126" spans="1:12" ht="30" customHeight="1" x14ac:dyDescent="0.3">
      <c r="A126" s="5">
        <v>117</v>
      </c>
      <c r="B126" s="7" t="s">
        <v>931</v>
      </c>
      <c r="C126" s="6" t="s">
        <v>932</v>
      </c>
      <c r="D126" s="98">
        <v>2</v>
      </c>
      <c r="F126" s="1">
        <v>124</v>
      </c>
      <c r="L126" s="3" t="s">
        <v>933</v>
      </c>
    </row>
    <row r="127" spans="1:12" ht="30" customHeight="1" x14ac:dyDescent="0.3">
      <c r="A127" s="5">
        <v>118</v>
      </c>
      <c r="B127" s="7" t="s">
        <v>934</v>
      </c>
      <c r="C127" s="3" t="s">
        <v>935</v>
      </c>
      <c r="D127" s="5">
        <v>1</v>
      </c>
      <c r="F127" s="1">
        <v>125</v>
      </c>
      <c r="L127" s="3" t="s">
        <v>936</v>
      </c>
    </row>
    <row r="128" spans="1:12" ht="30" customHeight="1" x14ac:dyDescent="0.3">
      <c r="A128" s="5">
        <v>119</v>
      </c>
      <c r="B128" t="s">
        <v>937</v>
      </c>
      <c r="C128" s="3" t="s">
        <v>929</v>
      </c>
      <c r="D128" s="5">
        <v>5</v>
      </c>
      <c r="F128" s="1">
        <v>126</v>
      </c>
      <c r="L128" s="3" t="s">
        <v>938</v>
      </c>
    </row>
    <row r="129" spans="1:12" ht="30" customHeight="1" x14ac:dyDescent="0.3">
      <c r="A129" s="5">
        <v>120</v>
      </c>
      <c r="B129" t="s">
        <v>939</v>
      </c>
      <c r="C129" s="3" t="s">
        <v>669</v>
      </c>
      <c r="F129" s="1">
        <v>127</v>
      </c>
      <c r="L129" s="3" t="s">
        <v>940</v>
      </c>
    </row>
    <row r="130" spans="1:12" ht="30" customHeight="1" x14ac:dyDescent="0.3">
      <c r="A130" s="5">
        <v>121</v>
      </c>
      <c r="B130" t="s">
        <v>941</v>
      </c>
      <c r="C130" s="3" t="s">
        <v>669</v>
      </c>
      <c r="F130" s="1">
        <v>128</v>
      </c>
      <c r="L130" s="3" t="s">
        <v>942</v>
      </c>
    </row>
    <row r="131" spans="1:12" ht="30" customHeight="1" x14ac:dyDescent="0.3">
      <c r="A131" s="5">
        <v>122</v>
      </c>
      <c r="B131" t="s">
        <v>943</v>
      </c>
      <c r="C131" s="3" t="s">
        <v>744</v>
      </c>
      <c r="D131" s="5">
        <v>10</v>
      </c>
      <c r="F131" s="1">
        <v>129</v>
      </c>
      <c r="L131" s="3" t="s">
        <v>944</v>
      </c>
    </row>
    <row r="132" spans="1:12" ht="30" customHeight="1" x14ac:dyDescent="0.3">
      <c r="A132" s="5"/>
      <c r="C132" s="3"/>
      <c r="F132" s="1">
        <v>130</v>
      </c>
      <c r="L132" s="3" t="s">
        <v>945</v>
      </c>
    </row>
    <row r="133" spans="1:12" ht="30" customHeight="1" x14ac:dyDescent="0.3">
      <c r="A133" s="5"/>
      <c r="B133" s="15" t="s">
        <v>946</v>
      </c>
      <c r="C133" s="3"/>
      <c r="F133" s="1">
        <v>131</v>
      </c>
      <c r="L133" s="3" t="s">
        <v>947</v>
      </c>
    </row>
    <row r="134" spans="1:12" ht="30" customHeight="1" x14ac:dyDescent="0.3">
      <c r="A134" s="5"/>
      <c r="B134" s="10"/>
      <c r="C134" s="3"/>
      <c r="F134" s="1">
        <v>132</v>
      </c>
      <c r="L134" s="3" t="s">
        <v>948</v>
      </c>
    </row>
    <row r="135" spans="1:12" ht="30" customHeight="1" x14ac:dyDescent="0.3">
      <c r="A135" s="5">
        <v>123</v>
      </c>
      <c r="B135" s="3" t="s">
        <v>949</v>
      </c>
      <c r="C135" s="6" t="s">
        <v>950</v>
      </c>
      <c r="D135" s="98">
        <v>7</v>
      </c>
      <c r="F135" s="1">
        <v>133</v>
      </c>
      <c r="L135" s="3" t="s">
        <v>951</v>
      </c>
    </row>
    <row r="136" spans="1:12" ht="30" customHeight="1" x14ac:dyDescent="0.3">
      <c r="A136" s="5">
        <v>124</v>
      </c>
      <c r="B136" t="s">
        <v>952</v>
      </c>
      <c r="C136" s="3" t="s">
        <v>953</v>
      </c>
      <c r="D136" s="5">
        <v>1</v>
      </c>
      <c r="F136" s="1">
        <v>134</v>
      </c>
      <c r="L136" s="3" t="s">
        <v>954</v>
      </c>
    </row>
    <row r="137" spans="1:12" ht="30" customHeight="1" x14ac:dyDescent="0.3">
      <c r="A137" s="5">
        <v>125</v>
      </c>
      <c r="B137" t="s">
        <v>955</v>
      </c>
      <c r="C137" s="3" t="s">
        <v>669</v>
      </c>
      <c r="F137" s="1">
        <v>135</v>
      </c>
      <c r="L137" s="3" t="s">
        <v>956</v>
      </c>
    </row>
    <row r="138" spans="1:12" ht="30" customHeight="1" x14ac:dyDescent="0.3">
      <c r="A138" s="5">
        <v>126</v>
      </c>
      <c r="B138" t="s">
        <v>957</v>
      </c>
      <c r="C138" s="3" t="s">
        <v>958</v>
      </c>
      <c r="D138" s="5">
        <v>5</v>
      </c>
      <c r="F138" s="1">
        <v>136</v>
      </c>
      <c r="L138" s="3" t="s">
        <v>959</v>
      </c>
    </row>
    <row r="139" spans="1:12" ht="30" customHeight="1" x14ac:dyDescent="0.3">
      <c r="A139" s="5">
        <v>127</v>
      </c>
      <c r="B139" s="3" t="s">
        <v>960</v>
      </c>
      <c r="C139" s="6" t="s">
        <v>961</v>
      </c>
      <c r="D139" s="98">
        <v>5</v>
      </c>
      <c r="F139" s="1">
        <v>137</v>
      </c>
      <c r="L139" s="3" t="s">
        <v>962</v>
      </c>
    </row>
    <row r="140" spans="1:12" ht="30" customHeight="1" x14ac:dyDescent="0.3">
      <c r="A140" s="5">
        <v>128</v>
      </c>
      <c r="B140" t="s">
        <v>963</v>
      </c>
      <c r="C140" s="3" t="s">
        <v>669</v>
      </c>
      <c r="F140" s="1">
        <v>138</v>
      </c>
      <c r="L140" s="3" t="s">
        <v>964</v>
      </c>
    </row>
    <row r="141" spans="1:12" ht="30" customHeight="1" x14ac:dyDescent="0.3">
      <c r="A141" s="5">
        <v>129</v>
      </c>
      <c r="B141" s="7" t="s">
        <v>965</v>
      </c>
      <c r="C141" s="3" t="s">
        <v>669</v>
      </c>
      <c r="F141" s="1">
        <v>139</v>
      </c>
      <c r="L141" s="3" t="s">
        <v>966</v>
      </c>
    </row>
    <row r="142" spans="1:12" ht="30" customHeight="1" x14ac:dyDescent="0.3">
      <c r="A142" s="5">
        <v>130</v>
      </c>
      <c r="B142" t="s">
        <v>967</v>
      </c>
      <c r="C142" s="3" t="s">
        <v>669</v>
      </c>
      <c r="F142" s="1">
        <v>140</v>
      </c>
      <c r="L142" s="3" t="s">
        <v>968</v>
      </c>
    </row>
    <row r="143" spans="1:12" ht="30" customHeight="1" x14ac:dyDescent="0.3">
      <c r="A143" s="5">
        <v>131</v>
      </c>
      <c r="B143" t="s">
        <v>969</v>
      </c>
      <c r="C143" s="3" t="s">
        <v>669</v>
      </c>
      <c r="F143" s="1">
        <v>141</v>
      </c>
      <c r="L143" s="3" t="s">
        <v>970</v>
      </c>
    </row>
    <row r="144" spans="1:12" ht="30" customHeight="1" x14ac:dyDescent="0.3">
      <c r="A144" s="5">
        <v>132</v>
      </c>
      <c r="B144" t="s">
        <v>971</v>
      </c>
      <c r="C144" s="3" t="s">
        <v>958</v>
      </c>
      <c r="D144" s="5">
        <v>5</v>
      </c>
      <c r="F144" s="1">
        <v>142</v>
      </c>
      <c r="L144" s="3" t="s">
        <v>972</v>
      </c>
    </row>
    <row r="145" spans="1:12" ht="30" customHeight="1" x14ac:dyDescent="0.3">
      <c r="A145" s="5">
        <v>133</v>
      </c>
      <c r="B145" t="s">
        <v>973</v>
      </c>
      <c r="C145" s="3" t="s">
        <v>669</v>
      </c>
      <c r="F145" s="1">
        <v>143</v>
      </c>
      <c r="L145" s="3" t="s">
        <v>974</v>
      </c>
    </row>
    <row r="146" spans="1:12" ht="30" customHeight="1" x14ac:dyDescent="0.3">
      <c r="A146" s="5">
        <v>134</v>
      </c>
      <c r="B146" t="s">
        <v>975</v>
      </c>
      <c r="C146" s="3" t="s">
        <v>953</v>
      </c>
      <c r="D146" s="5">
        <v>1</v>
      </c>
      <c r="F146" s="1">
        <v>144</v>
      </c>
      <c r="L146" s="3" t="s">
        <v>976</v>
      </c>
    </row>
    <row r="147" spans="1:12" ht="30" customHeight="1" x14ac:dyDescent="0.3">
      <c r="A147" s="5">
        <v>135</v>
      </c>
      <c r="B147" s="7" t="s">
        <v>977</v>
      </c>
      <c r="C147" s="6" t="s">
        <v>978</v>
      </c>
      <c r="D147" s="98">
        <v>3</v>
      </c>
      <c r="F147" s="1">
        <v>145</v>
      </c>
      <c r="L147" s="3" t="s">
        <v>979</v>
      </c>
    </row>
    <row r="148" spans="1:12" ht="30" customHeight="1" x14ac:dyDescent="0.3">
      <c r="A148" s="5"/>
      <c r="B148" s="7"/>
      <c r="C148" s="6"/>
      <c r="D148" s="98"/>
      <c r="F148" s="1">
        <v>146</v>
      </c>
      <c r="L148" s="3" t="s">
        <v>980</v>
      </c>
    </row>
    <row r="149" spans="1:12" ht="30" customHeight="1" x14ac:dyDescent="0.3">
      <c r="A149" s="5"/>
      <c r="B149" s="13" t="s">
        <v>981</v>
      </c>
      <c r="C149" s="3"/>
      <c r="F149" s="1">
        <v>147</v>
      </c>
      <c r="L149" s="3" t="s">
        <v>982</v>
      </c>
    </row>
    <row r="150" spans="1:12" ht="30" customHeight="1" x14ac:dyDescent="0.3">
      <c r="A150" s="5"/>
      <c r="B150" s="9"/>
      <c r="C150" s="3"/>
      <c r="F150" s="1">
        <v>148</v>
      </c>
      <c r="L150" s="3" t="s">
        <v>983</v>
      </c>
    </row>
    <row r="151" spans="1:12" ht="30" customHeight="1" x14ac:dyDescent="0.3">
      <c r="A151" s="5">
        <v>136</v>
      </c>
      <c r="B151" s="7" t="s">
        <v>984</v>
      </c>
      <c r="C151" s="3" t="s">
        <v>985</v>
      </c>
      <c r="D151" s="5">
        <v>1</v>
      </c>
      <c r="F151" s="1">
        <v>149</v>
      </c>
      <c r="L151" s="3" t="s">
        <v>986</v>
      </c>
    </row>
    <row r="152" spans="1:12" ht="30" customHeight="1" x14ac:dyDescent="0.3">
      <c r="A152" s="5">
        <v>137</v>
      </c>
      <c r="B152" s="7" t="s">
        <v>987</v>
      </c>
      <c r="C152" s="3" t="s">
        <v>738</v>
      </c>
      <c r="D152" s="5">
        <v>3</v>
      </c>
      <c r="F152" s="1">
        <v>150</v>
      </c>
      <c r="L152" s="3" t="s">
        <v>988</v>
      </c>
    </row>
    <row r="153" spans="1:12" ht="30" customHeight="1" x14ac:dyDescent="0.3">
      <c r="A153" s="5">
        <v>138</v>
      </c>
      <c r="B153" s="7" t="s">
        <v>989</v>
      </c>
      <c r="C153" s="6" t="s">
        <v>990</v>
      </c>
      <c r="D153" s="98">
        <v>5</v>
      </c>
      <c r="F153" s="1">
        <v>151</v>
      </c>
      <c r="L153" s="3" t="s">
        <v>991</v>
      </c>
    </row>
    <row r="154" spans="1:12" ht="30" customHeight="1" x14ac:dyDescent="0.3">
      <c r="A154" s="5">
        <v>139</v>
      </c>
      <c r="B154" t="s">
        <v>992</v>
      </c>
      <c r="C154" s="3" t="s">
        <v>993</v>
      </c>
      <c r="D154" s="5">
        <v>2</v>
      </c>
      <c r="F154" s="1">
        <v>152</v>
      </c>
      <c r="L154" s="3" t="s">
        <v>994</v>
      </c>
    </row>
    <row r="155" spans="1:12" ht="30" customHeight="1" x14ac:dyDescent="0.3">
      <c r="A155" s="5">
        <v>140</v>
      </c>
      <c r="B155" t="s">
        <v>995</v>
      </c>
      <c r="C155" s="3" t="s">
        <v>824</v>
      </c>
      <c r="D155" s="5">
        <v>3</v>
      </c>
      <c r="F155" s="1">
        <v>153</v>
      </c>
      <c r="L155" s="3" t="s">
        <v>996</v>
      </c>
    </row>
    <row r="156" spans="1:12" ht="30" customHeight="1" x14ac:dyDescent="0.3">
      <c r="A156" s="5">
        <v>141</v>
      </c>
      <c r="B156" s="3" t="s">
        <v>997</v>
      </c>
      <c r="C156" s="6" t="s">
        <v>998</v>
      </c>
      <c r="D156" s="98">
        <v>10</v>
      </c>
      <c r="F156" s="1">
        <v>154</v>
      </c>
      <c r="L156" s="3" t="s">
        <v>999</v>
      </c>
    </row>
    <row r="157" spans="1:12" ht="30" customHeight="1" x14ac:dyDescent="0.3">
      <c r="A157" s="5">
        <v>142</v>
      </c>
      <c r="B157" t="s">
        <v>1000</v>
      </c>
      <c r="C157" s="3" t="s">
        <v>1001</v>
      </c>
      <c r="D157" s="5">
        <v>2</v>
      </c>
      <c r="F157" s="1">
        <v>155</v>
      </c>
      <c r="L157" s="3" t="s">
        <v>1002</v>
      </c>
    </row>
    <row r="158" spans="1:12" ht="30" customHeight="1" x14ac:dyDescent="0.3">
      <c r="A158" s="5">
        <v>143</v>
      </c>
      <c r="B158" s="7" t="s">
        <v>1003</v>
      </c>
      <c r="C158" s="3" t="s">
        <v>1004</v>
      </c>
      <c r="D158" s="5">
        <v>1</v>
      </c>
      <c r="F158" s="1">
        <v>156</v>
      </c>
      <c r="L158" s="3" t="s">
        <v>1005</v>
      </c>
    </row>
    <row r="159" spans="1:12" ht="30" customHeight="1" x14ac:dyDescent="0.3">
      <c r="A159" s="5">
        <v>144</v>
      </c>
      <c r="B159" t="s">
        <v>1006</v>
      </c>
      <c r="C159" s="3" t="s">
        <v>906</v>
      </c>
      <c r="D159" s="5">
        <v>1</v>
      </c>
      <c r="F159" s="1">
        <v>157</v>
      </c>
      <c r="L159" s="3" t="s">
        <v>1007</v>
      </c>
    </row>
    <row r="160" spans="1:12" ht="30" customHeight="1" x14ac:dyDescent="0.3">
      <c r="A160" s="5">
        <v>145</v>
      </c>
      <c r="B160" t="s">
        <v>1008</v>
      </c>
      <c r="C160" s="3" t="s">
        <v>906</v>
      </c>
      <c r="D160" s="5">
        <v>1</v>
      </c>
      <c r="F160" s="1">
        <v>158</v>
      </c>
      <c r="L160" s="3" t="s">
        <v>1009</v>
      </c>
    </row>
    <row r="161" spans="1:12" ht="30" customHeight="1" x14ac:dyDescent="0.3">
      <c r="A161" s="5">
        <v>146</v>
      </c>
      <c r="B161" s="7" t="s">
        <v>1010</v>
      </c>
      <c r="C161" s="6" t="s">
        <v>1011</v>
      </c>
      <c r="D161" s="98">
        <v>3</v>
      </c>
      <c r="F161" s="1">
        <v>159</v>
      </c>
      <c r="L161" s="3" t="s">
        <v>1012</v>
      </c>
    </row>
    <row r="162" spans="1:12" ht="30" customHeight="1" x14ac:dyDescent="0.3">
      <c r="A162" s="5">
        <v>147</v>
      </c>
      <c r="B162" s="7" t="s">
        <v>1013</v>
      </c>
      <c r="C162" s="3" t="s">
        <v>741</v>
      </c>
      <c r="D162" s="5">
        <v>5</v>
      </c>
      <c r="F162" s="1">
        <v>160</v>
      </c>
      <c r="L162" s="3" t="s">
        <v>526</v>
      </c>
    </row>
    <row r="163" spans="1:12" ht="30" customHeight="1" x14ac:dyDescent="0.3">
      <c r="A163" s="5">
        <v>148</v>
      </c>
      <c r="B163" t="s">
        <v>1014</v>
      </c>
      <c r="C163" s="3" t="s">
        <v>633</v>
      </c>
      <c r="D163" s="5">
        <v>1</v>
      </c>
      <c r="F163" s="1">
        <v>161</v>
      </c>
      <c r="L163" s="3" t="s">
        <v>529</v>
      </c>
    </row>
    <row r="164" spans="1:12" ht="30" customHeight="1" x14ac:dyDescent="0.3">
      <c r="A164" s="5">
        <v>149</v>
      </c>
      <c r="B164" t="s">
        <v>1015</v>
      </c>
      <c r="C164" s="3" t="s">
        <v>741</v>
      </c>
      <c r="D164" s="5">
        <v>5</v>
      </c>
      <c r="F164" s="1">
        <v>162</v>
      </c>
      <c r="L164" s="3" t="s">
        <v>531</v>
      </c>
    </row>
    <row r="165" spans="1:12" ht="30" customHeight="1" x14ac:dyDescent="0.3">
      <c r="A165" s="5">
        <v>150</v>
      </c>
      <c r="B165" t="s">
        <v>1016</v>
      </c>
      <c r="C165" s="3" t="s">
        <v>633</v>
      </c>
      <c r="D165" s="5">
        <v>1</v>
      </c>
      <c r="F165" s="1">
        <v>163</v>
      </c>
      <c r="L165" s="3" t="s">
        <v>537</v>
      </c>
    </row>
    <row r="166" spans="1:12" ht="30" customHeight="1" x14ac:dyDescent="0.3">
      <c r="A166" s="5">
        <v>151</v>
      </c>
      <c r="B166" t="s">
        <v>1017</v>
      </c>
      <c r="C166" s="3" t="s">
        <v>669</v>
      </c>
      <c r="F166" s="1">
        <v>164</v>
      </c>
      <c r="L166" s="3" t="s">
        <v>547</v>
      </c>
    </row>
    <row r="167" spans="1:12" ht="30" customHeight="1" x14ac:dyDescent="0.3">
      <c r="A167" s="5">
        <v>152</v>
      </c>
      <c r="B167" t="s">
        <v>1018</v>
      </c>
      <c r="C167" s="3" t="s">
        <v>1019</v>
      </c>
      <c r="D167" s="5">
        <v>4</v>
      </c>
      <c r="F167" s="1">
        <v>165</v>
      </c>
      <c r="L167" s="3" t="s">
        <v>554</v>
      </c>
    </row>
    <row r="168" spans="1:12" ht="30" customHeight="1" x14ac:dyDescent="0.3">
      <c r="A168" s="5">
        <v>153</v>
      </c>
      <c r="B168" t="s">
        <v>1020</v>
      </c>
      <c r="C168" s="3" t="s">
        <v>633</v>
      </c>
      <c r="D168" s="5">
        <v>1</v>
      </c>
      <c r="F168" s="1">
        <v>166</v>
      </c>
      <c r="L168" s="3" t="s">
        <v>1021</v>
      </c>
    </row>
    <row r="169" spans="1:12" ht="30" customHeight="1" x14ac:dyDescent="0.3">
      <c r="A169" s="5">
        <v>154</v>
      </c>
      <c r="B169" s="7" t="s">
        <v>1022</v>
      </c>
      <c r="C169" s="3" t="s">
        <v>633</v>
      </c>
      <c r="D169" s="5">
        <v>1</v>
      </c>
      <c r="F169" s="1">
        <v>167</v>
      </c>
      <c r="L169" s="3" t="s">
        <v>1023</v>
      </c>
    </row>
    <row r="170" spans="1:12" ht="30" customHeight="1" x14ac:dyDescent="0.3">
      <c r="A170" s="5">
        <v>155</v>
      </c>
      <c r="B170" t="s">
        <v>1024</v>
      </c>
      <c r="C170" s="3" t="s">
        <v>672</v>
      </c>
      <c r="D170" s="5">
        <v>2</v>
      </c>
      <c r="F170" s="1">
        <v>168</v>
      </c>
      <c r="L170" s="3" t="s">
        <v>1025</v>
      </c>
    </row>
    <row r="171" spans="1:12" ht="30" customHeight="1" x14ac:dyDescent="0.3">
      <c r="A171" s="2">
        <v>156</v>
      </c>
      <c r="B171" s="7" t="s">
        <v>1026</v>
      </c>
      <c r="C171" s="6" t="s">
        <v>1027</v>
      </c>
      <c r="D171" s="98">
        <v>1</v>
      </c>
      <c r="F171" s="1">
        <v>169</v>
      </c>
      <c r="L171" s="3" t="s">
        <v>1028</v>
      </c>
    </row>
    <row r="172" spans="1:12" ht="30" customHeight="1" x14ac:dyDescent="0.3">
      <c r="A172" s="5">
        <v>157</v>
      </c>
      <c r="B172" t="s">
        <v>1029</v>
      </c>
      <c r="C172" s="3" t="s">
        <v>633</v>
      </c>
      <c r="D172" s="5">
        <v>1</v>
      </c>
      <c r="F172" s="1">
        <v>170</v>
      </c>
      <c r="L172" s="3" t="s">
        <v>1030</v>
      </c>
    </row>
    <row r="173" spans="1:12" ht="30" customHeight="1" x14ac:dyDescent="0.3">
      <c r="A173" s="5">
        <v>158</v>
      </c>
      <c r="B173" s="7" t="s">
        <v>1031</v>
      </c>
      <c r="C173" s="3" t="s">
        <v>1032</v>
      </c>
      <c r="D173" s="5">
        <v>2</v>
      </c>
      <c r="F173" s="1">
        <v>171</v>
      </c>
      <c r="L173" s="3" t="s">
        <v>1033</v>
      </c>
    </row>
    <row r="174" spans="1:12" ht="30" customHeight="1" x14ac:dyDescent="0.3">
      <c r="A174" s="5">
        <v>159</v>
      </c>
      <c r="B174" t="s">
        <v>1034</v>
      </c>
      <c r="C174" s="3" t="s">
        <v>1035</v>
      </c>
      <c r="D174" s="5">
        <v>1</v>
      </c>
      <c r="F174" s="1">
        <v>172</v>
      </c>
      <c r="L174" s="3" t="s">
        <v>1036</v>
      </c>
    </row>
    <row r="175" spans="1:12" ht="30" customHeight="1" x14ac:dyDescent="0.3">
      <c r="A175" s="5">
        <v>160</v>
      </c>
      <c r="B175" t="s">
        <v>1037</v>
      </c>
      <c r="C175" s="3" t="s">
        <v>633</v>
      </c>
      <c r="D175" s="5">
        <v>1</v>
      </c>
      <c r="F175" s="16" t="s">
        <v>22</v>
      </c>
      <c r="L175" s="3" t="s">
        <v>1038</v>
      </c>
    </row>
    <row r="176" spans="1:12" ht="30" customHeight="1" x14ac:dyDescent="0.3">
      <c r="A176" s="5">
        <v>161</v>
      </c>
      <c r="B176" t="s">
        <v>1039</v>
      </c>
      <c r="C176" s="3" t="s">
        <v>741</v>
      </c>
      <c r="D176" s="5">
        <v>5</v>
      </c>
      <c r="F176" s="16" t="s">
        <v>80</v>
      </c>
      <c r="L176" s="3" t="s">
        <v>1040</v>
      </c>
    </row>
    <row r="177" spans="1:12" ht="30" customHeight="1" x14ac:dyDescent="0.3">
      <c r="A177" s="5">
        <v>162</v>
      </c>
      <c r="B177" t="s">
        <v>1041</v>
      </c>
      <c r="C177" s="3" t="s">
        <v>741</v>
      </c>
      <c r="D177" s="5">
        <v>5</v>
      </c>
      <c r="F177" s="16" t="s">
        <v>104</v>
      </c>
      <c r="L177" s="3" t="s">
        <v>1042</v>
      </c>
    </row>
    <row r="178" spans="1:12" ht="30" customHeight="1" x14ac:dyDescent="0.3">
      <c r="A178" s="5"/>
      <c r="C178" s="3"/>
      <c r="F178" s="16" t="s">
        <v>637</v>
      </c>
      <c r="L178" s="3" t="s">
        <v>1043</v>
      </c>
    </row>
    <row r="179" spans="1:12" ht="30" customHeight="1" x14ac:dyDescent="0.3">
      <c r="A179" s="5"/>
      <c r="B179" s="13" t="s">
        <v>1044</v>
      </c>
      <c r="C179" s="3"/>
      <c r="F179" s="2"/>
      <c r="L179" s="3" t="s">
        <v>1045</v>
      </c>
    </row>
    <row r="180" spans="1:12" ht="30" customHeight="1" x14ac:dyDescent="0.3">
      <c r="A180" s="5"/>
      <c r="C180" s="3"/>
      <c r="F180" s="2"/>
      <c r="L180" s="3" t="s">
        <v>1046</v>
      </c>
    </row>
    <row r="181" spans="1:12" ht="30" customHeight="1" x14ac:dyDescent="0.3">
      <c r="A181" s="5">
        <v>163</v>
      </c>
      <c r="B181" t="s">
        <v>1047</v>
      </c>
      <c r="C181" s="3" t="s">
        <v>640</v>
      </c>
      <c r="D181" s="5">
        <v>1</v>
      </c>
      <c r="F181" s="1"/>
      <c r="L181" s="3" t="s">
        <v>1048</v>
      </c>
    </row>
    <row r="182" spans="1:12" ht="30" customHeight="1" x14ac:dyDescent="0.3">
      <c r="A182" s="5">
        <v>164</v>
      </c>
      <c r="B182" t="s">
        <v>1049</v>
      </c>
      <c r="C182" s="3" t="s">
        <v>640</v>
      </c>
      <c r="D182" s="5">
        <v>1</v>
      </c>
      <c r="F182" s="1"/>
      <c r="L182" s="3" t="s">
        <v>1050</v>
      </c>
    </row>
    <row r="183" spans="1:12" ht="30" customHeight="1" x14ac:dyDescent="0.3">
      <c r="A183" s="2">
        <v>165</v>
      </c>
      <c r="B183" s="7" t="s">
        <v>1051</v>
      </c>
      <c r="C183" s="3" t="s">
        <v>669</v>
      </c>
      <c r="L183" s="3" t="s">
        <v>1052</v>
      </c>
    </row>
    <row r="184" spans="1:12" ht="30" customHeight="1" x14ac:dyDescent="0.3">
      <c r="A184" s="5">
        <v>166</v>
      </c>
      <c r="B184" t="s">
        <v>1053</v>
      </c>
      <c r="C184" s="3" t="s">
        <v>640</v>
      </c>
      <c r="D184" s="5">
        <v>1</v>
      </c>
      <c r="L184" s="3" t="s">
        <v>1054</v>
      </c>
    </row>
    <row r="185" spans="1:12" ht="30" customHeight="1" x14ac:dyDescent="0.3">
      <c r="A185" s="5">
        <v>167</v>
      </c>
      <c r="B185" t="s">
        <v>1055</v>
      </c>
      <c r="C185" s="3" t="s">
        <v>640</v>
      </c>
      <c r="D185" s="5">
        <v>1</v>
      </c>
      <c r="L185" s="3" t="s">
        <v>1056</v>
      </c>
    </row>
    <row r="186" spans="1:12" ht="30" customHeight="1" x14ac:dyDescent="0.3">
      <c r="A186" s="5">
        <v>168</v>
      </c>
      <c r="B186" t="s">
        <v>1057</v>
      </c>
      <c r="C186" s="3" t="s">
        <v>1058</v>
      </c>
      <c r="D186" s="5">
        <v>1</v>
      </c>
      <c r="L186" s="3" t="s">
        <v>1059</v>
      </c>
    </row>
    <row r="187" spans="1:12" ht="30" customHeight="1" x14ac:dyDescent="0.3">
      <c r="A187" s="5">
        <v>169</v>
      </c>
      <c r="B187" t="s">
        <v>1060</v>
      </c>
      <c r="C187" s="3" t="s">
        <v>640</v>
      </c>
      <c r="D187" s="5">
        <v>1</v>
      </c>
      <c r="L187" s="3" t="s">
        <v>1061</v>
      </c>
    </row>
    <row r="188" spans="1:12" ht="30" customHeight="1" x14ac:dyDescent="0.3">
      <c r="A188" s="5">
        <v>170</v>
      </c>
      <c r="B188" t="s">
        <v>1062</v>
      </c>
      <c r="C188" s="3" t="s">
        <v>1063</v>
      </c>
      <c r="D188" s="5">
        <v>3</v>
      </c>
      <c r="L188" s="3" t="s">
        <v>1064</v>
      </c>
    </row>
    <row r="189" spans="1:12" ht="30" customHeight="1" x14ac:dyDescent="0.3">
      <c r="A189" s="5">
        <v>171</v>
      </c>
      <c r="B189" t="s">
        <v>1065</v>
      </c>
      <c r="C189" s="3" t="s">
        <v>672</v>
      </c>
      <c r="D189" s="5">
        <v>2</v>
      </c>
      <c r="L189" s="3" t="s">
        <v>1066</v>
      </c>
    </row>
    <row r="190" spans="1:12" ht="30" customHeight="1" x14ac:dyDescent="0.3">
      <c r="A190" s="5">
        <v>172</v>
      </c>
      <c r="B190" t="s">
        <v>1067</v>
      </c>
      <c r="C190" s="3" t="s">
        <v>633</v>
      </c>
      <c r="D190" s="5">
        <v>1</v>
      </c>
      <c r="L190" s="3" t="s">
        <v>1068</v>
      </c>
    </row>
    <row r="191" spans="1:12" ht="30" customHeight="1" x14ac:dyDescent="0.3">
      <c r="A191" s="85" t="s">
        <v>22</v>
      </c>
      <c r="B191" t="s">
        <v>632</v>
      </c>
      <c r="C191" t="s">
        <v>633</v>
      </c>
      <c r="D191" s="5">
        <v>1</v>
      </c>
      <c r="L191" s="3" t="s">
        <v>1069</v>
      </c>
    </row>
    <row r="192" spans="1:12" ht="30" customHeight="1" x14ac:dyDescent="0.3">
      <c r="A192" s="85" t="s">
        <v>104</v>
      </c>
      <c r="B192" t="s">
        <v>1070</v>
      </c>
      <c r="C192" t="s">
        <v>635</v>
      </c>
      <c r="D192" s="5">
        <v>1</v>
      </c>
      <c r="L192" s="3" t="s">
        <v>1071</v>
      </c>
    </row>
    <row r="193" spans="1:12" ht="30" customHeight="1" x14ac:dyDescent="0.3">
      <c r="A193" s="85" t="s">
        <v>80</v>
      </c>
      <c r="B193" t="s">
        <v>1072</v>
      </c>
      <c r="C193" t="s">
        <v>635</v>
      </c>
      <c r="D193" s="5">
        <v>1</v>
      </c>
      <c r="L193" s="3" t="s">
        <v>1073</v>
      </c>
    </row>
    <row r="194" spans="1:12" ht="30" customHeight="1" x14ac:dyDescent="0.3">
      <c r="A194" s="85" t="s">
        <v>637</v>
      </c>
      <c r="B194" t="s">
        <v>638</v>
      </c>
      <c r="C194" s="7" t="s">
        <v>635</v>
      </c>
      <c r="D194" s="98">
        <v>1</v>
      </c>
      <c r="L194" s="3" t="s">
        <v>1074</v>
      </c>
    </row>
    <row r="195" spans="1:12" ht="30" customHeight="1" x14ac:dyDescent="0.3">
      <c r="A195" s="79"/>
      <c r="C195" s="3"/>
      <c r="L195" s="3" t="s">
        <v>1075</v>
      </c>
    </row>
    <row r="196" spans="1:12" ht="30" customHeight="1" x14ac:dyDescent="0.3">
      <c r="L196" s="3" t="s">
        <v>1076</v>
      </c>
    </row>
    <row r="197" spans="1:12" ht="30" customHeight="1" x14ac:dyDescent="0.3">
      <c r="L197" s="3" t="s">
        <v>1077</v>
      </c>
    </row>
    <row r="198" spans="1:12" ht="30" customHeight="1" x14ac:dyDescent="0.3">
      <c r="L198" s="3" t="s">
        <v>1078</v>
      </c>
    </row>
    <row r="199" spans="1:12" ht="30" customHeight="1" x14ac:dyDescent="0.3">
      <c r="L199" s="3" t="s">
        <v>1079</v>
      </c>
    </row>
    <row r="200" spans="1:12" ht="30" customHeight="1" x14ac:dyDescent="0.3">
      <c r="L200" s="3" t="s">
        <v>1080</v>
      </c>
    </row>
    <row r="201" spans="1:12" ht="30" customHeight="1" x14ac:dyDescent="0.3">
      <c r="L201" s="3" t="s">
        <v>1081</v>
      </c>
    </row>
    <row r="202" spans="1:12" ht="30" customHeight="1" x14ac:dyDescent="0.3">
      <c r="L202" s="3" t="s">
        <v>1082</v>
      </c>
    </row>
    <row r="203" spans="1:12" ht="30" customHeight="1" x14ac:dyDescent="0.3">
      <c r="L203" s="3" t="s">
        <v>1083</v>
      </c>
    </row>
    <row r="204" spans="1:12" ht="30" customHeight="1" x14ac:dyDescent="0.3">
      <c r="L204" s="3" t="s">
        <v>1084</v>
      </c>
    </row>
    <row r="205" spans="1:12" ht="30" customHeight="1" x14ac:dyDescent="0.3">
      <c r="L205" s="3" t="s">
        <v>1085</v>
      </c>
    </row>
    <row r="206" spans="1:12" ht="30" customHeight="1" x14ac:dyDescent="0.3">
      <c r="L206" s="3" t="s">
        <v>1086</v>
      </c>
    </row>
    <row r="207" spans="1:12" ht="30" customHeight="1" x14ac:dyDescent="0.3">
      <c r="L207" s="3" t="s">
        <v>1087</v>
      </c>
    </row>
    <row r="208" spans="1:12" ht="30" customHeight="1" x14ac:dyDescent="0.3">
      <c r="L208" s="3" t="s">
        <v>1088</v>
      </c>
    </row>
    <row r="209" spans="12:12" ht="30" customHeight="1" x14ac:dyDescent="0.3">
      <c r="L209" s="3" t="s">
        <v>1089</v>
      </c>
    </row>
    <row r="210" spans="12:12" ht="30" customHeight="1" x14ac:dyDescent="0.3">
      <c r="L210" s="3" t="s">
        <v>1090</v>
      </c>
    </row>
    <row r="211" spans="12:12" ht="30" customHeight="1" x14ac:dyDescent="0.3">
      <c r="L211" s="3" t="s">
        <v>1091</v>
      </c>
    </row>
    <row r="212" spans="12:12" ht="30" customHeight="1" x14ac:dyDescent="0.3">
      <c r="L212" s="3" t="s">
        <v>1092</v>
      </c>
    </row>
    <row r="213" spans="12:12" ht="30" customHeight="1" x14ac:dyDescent="0.3">
      <c r="L213" s="3" t="s">
        <v>1093</v>
      </c>
    </row>
    <row r="214" spans="12:12" ht="30" customHeight="1" x14ac:dyDescent="0.3">
      <c r="L214" s="3" t="s">
        <v>1094</v>
      </c>
    </row>
    <row r="215" spans="12:12" ht="30" customHeight="1" x14ac:dyDescent="0.3">
      <c r="L215" s="3" t="s">
        <v>1095</v>
      </c>
    </row>
    <row r="216" spans="12:12" ht="30" customHeight="1" x14ac:dyDescent="0.3">
      <c r="L216" s="3" t="s">
        <v>1096</v>
      </c>
    </row>
    <row r="217" spans="12:12" ht="30" customHeight="1" x14ac:dyDescent="0.3">
      <c r="L217" s="3" t="s">
        <v>1097</v>
      </c>
    </row>
    <row r="218" spans="12:12" ht="30" customHeight="1" x14ac:dyDescent="0.3">
      <c r="L218" s="3" t="s">
        <v>1098</v>
      </c>
    </row>
    <row r="219" spans="12:12" ht="30" customHeight="1" x14ac:dyDescent="0.3">
      <c r="L219" s="3" t="s">
        <v>1099</v>
      </c>
    </row>
    <row r="220" spans="12:12" ht="30" customHeight="1" x14ac:dyDescent="0.3">
      <c r="L220" s="3" t="s">
        <v>1100</v>
      </c>
    </row>
    <row r="221" spans="12:12" ht="30" customHeight="1" x14ac:dyDescent="0.3">
      <c r="L221" s="3" t="s">
        <v>1101</v>
      </c>
    </row>
    <row r="222" spans="12:12" ht="30" customHeight="1" x14ac:dyDescent="0.3">
      <c r="L222" s="3" t="s">
        <v>1102</v>
      </c>
    </row>
    <row r="223" spans="12:12" ht="30" customHeight="1" x14ac:dyDescent="0.3">
      <c r="L223" s="3" t="s">
        <v>1103</v>
      </c>
    </row>
    <row r="224" spans="12:12" ht="30" customHeight="1" x14ac:dyDescent="0.3">
      <c r="L224" s="3" t="s">
        <v>1104</v>
      </c>
    </row>
    <row r="225" spans="12:12" ht="30" customHeight="1" x14ac:dyDescent="0.3">
      <c r="L225" s="3" t="s">
        <v>1105</v>
      </c>
    </row>
    <row r="226" spans="12:12" ht="30" customHeight="1" x14ac:dyDescent="0.3">
      <c r="L226" s="3" t="s">
        <v>1106</v>
      </c>
    </row>
    <row r="227" spans="12:12" ht="30" customHeight="1" x14ac:dyDescent="0.3">
      <c r="L227" s="3" t="s">
        <v>1107</v>
      </c>
    </row>
    <row r="228" spans="12:12" ht="30" customHeight="1" x14ac:dyDescent="0.3">
      <c r="L228" s="3" t="s">
        <v>1108</v>
      </c>
    </row>
    <row r="229" spans="12:12" ht="30" customHeight="1" x14ac:dyDescent="0.3">
      <c r="L229" s="3" t="s">
        <v>1109</v>
      </c>
    </row>
    <row r="230" spans="12:12" ht="30" customHeight="1" x14ac:dyDescent="0.3">
      <c r="L230" s="3" t="s">
        <v>1110</v>
      </c>
    </row>
    <row r="231" spans="12:12" ht="30" customHeight="1" x14ac:dyDescent="0.3">
      <c r="L231" s="3" t="s">
        <v>1111</v>
      </c>
    </row>
    <row r="232" spans="12:12" ht="30" customHeight="1" x14ac:dyDescent="0.3">
      <c r="L232" s="3" t="s">
        <v>1112</v>
      </c>
    </row>
    <row r="233" spans="12:12" ht="30" customHeight="1" x14ac:dyDescent="0.3">
      <c r="L233" s="3" t="s">
        <v>1113</v>
      </c>
    </row>
  </sheetData>
  <sortState xmlns:xlrd2="http://schemas.microsoft.com/office/spreadsheetml/2017/richdata2" ref="E2:E9">
    <sortCondition ref="E2:E9"/>
  </sortState>
  <phoneticPr fontId="3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17</vt:i4>
      </vt:variant>
    </vt:vector>
  </HeadingPairs>
  <TitlesOfParts>
    <vt:vector size="28" baseType="lpstr">
      <vt:lpstr>DATA ENTRY FOR DISPOSAL</vt:lpstr>
      <vt:lpstr>Sheet1</vt:lpstr>
      <vt:lpstr>LABEL FORM - FOR DISPOSAL</vt:lpstr>
      <vt:lpstr>DATA ENTRY ARCHIVING</vt:lpstr>
      <vt:lpstr>LABEL FORM - FOR ARCHIVING</vt:lpstr>
      <vt:lpstr>NAP Form 3 ADMIN USE ONLY (B1)</vt:lpstr>
      <vt:lpstr>NAP Form 3 ADMIN USE ONLY (B2)</vt:lpstr>
      <vt:lpstr>NAP Form 3 ADMIN USE ONLY (B3)</vt:lpstr>
      <vt:lpstr>NAP Form 3 - B4</vt:lpstr>
      <vt:lpstr>BRANCH COMMONLY USED ITEMS</vt:lpstr>
      <vt:lpstr>REFERENCE</vt:lpstr>
      <vt:lpstr>ARCH2026</vt:lpstr>
      <vt:lpstr>ARCH24</vt:lpstr>
      <vt:lpstr>ARCH25</vt:lpstr>
      <vt:lpstr>'DATA ENTRY ARCHIVING'!BATCHING</vt:lpstr>
      <vt:lpstr>BATCHING</vt:lpstr>
      <vt:lpstr>BOXNO</vt:lpstr>
      <vt:lpstr>DESCRIP</vt:lpstr>
      <vt:lpstr>FORARCH</vt:lpstr>
      <vt:lpstr>FORDIS</vt:lpstr>
      <vt:lpstr>ITEMNO</vt:lpstr>
      <vt:lpstr>'LABEL FORM - FOR ARCHIVING'!Print_Area</vt:lpstr>
      <vt:lpstr>'LABEL FORM - FOR DISPOSAL'!Print_Area</vt:lpstr>
      <vt:lpstr>'NAP Form 3 - B4'!Print_Area</vt:lpstr>
      <vt:lpstr>'NAP Form 3 ADMIN USE ONLY (B3)'!Print_Area</vt:lpstr>
      <vt:lpstr>RETENTION1</vt:lpstr>
      <vt:lpstr>SCANNING</vt:lpstr>
      <vt:lpstr>SECTION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Arnel Balistoy</dc:creator>
  <cp:keywords/>
  <dc:description/>
  <cp:lastModifiedBy>Arnel Balistoy</cp:lastModifiedBy>
  <cp:revision/>
  <dcterms:created xsi:type="dcterms:W3CDTF">2023-10-09T07:59:58Z</dcterms:created>
  <dcterms:modified xsi:type="dcterms:W3CDTF">2026-07-20T05:45:20Z</dcterms:modified>
  <cp:category/>
  <cp:contentStatus/>
</cp:coreProperties>
</file>