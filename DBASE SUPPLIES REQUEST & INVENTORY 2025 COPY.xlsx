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listoyay\Downloads\"/>
    </mc:Choice>
  </mc:AlternateContent>
  <xr:revisionPtr revIDLastSave="0" documentId="8_{20E03CB7-8D4E-4CEB-98C8-51AD631DD5BC}" xr6:coauthVersionLast="47" xr6:coauthVersionMax="47" xr10:uidLastSave="{00000000-0000-0000-0000-000000000000}"/>
  <bookViews>
    <workbookView xWindow="-108" yWindow="-108" windowWidth="23256" windowHeight="12576" tabRatio="859" activeTab="4" xr2:uid="{00000000-000D-0000-FFFF-FFFF00000000}"/>
  </bookViews>
  <sheets>
    <sheet name="DATA ENTRY - REQUEST" sheetId="4" r:id="rId1"/>
    <sheet name="DATA ENTRY - RECEIVED" sheetId="14" r:id="rId2"/>
    <sheet name="DATA ENTRY - JANITORIAL" sheetId="9" state="hidden" r:id="rId3"/>
    <sheet name="Sheet1" sheetId="10" state="hidden" r:id="rId4"/>
    <sheet name="DATA ENTRY - RELEASED" sheetId="15" r:id="rId5"/>
    <sheet name="SUMMARY" sheetId="16" r:id="rId6"/>
    <sheet name="REQUISITION AND ISSUE SLIP" sheetId="3" state="hidden" r:id="rId7"/>
    <sheet name="SUPPLIES SUMMARY" sheetId="6" state="hidden" r:id="rId8"/>
    <sheet name="RIS FORM V112022" sheetId="12" r:id="rId9"/>
    <sheet name="ENDING BAL" sheetId="55" r:id="rId10"/>
    <sheet name="082023" sheetId="13" state="hidden" r:id="rId11"/>
    <sheet name="new INVENTORY" sheetId="11" state="hidden" r:id="rId12"/>
    <sheet name="092023" sheetId="17" state="hidden" r:id="rId13"/>
    <sheet name="REFERENCE" sheetId="5" state="hidden" r:id="rId14"/>
    <sheet name="ACTUAL NUMBER OF SUPPLIES" sheetId="35" state="hidden" r:id="rId15"/>
    <sheet name="Inventory Supply 2021" sheetId="2" state="hidden" r:id="rId16"/>
    <sheet name="MEDICINES" sheetId="7" state="hidden" r:id="rId17"/>
    <sheet name="APR - agency procurement req" sheetId="8" state="hidden" r:id="rId18"/>
    <sheet name="102023 " sheetId="18" state="hidden" r:id="rId19"/>
    <sheet name="112023 " sheetId="20" state="hidden" r:id="rId20"/>
    <sheet name="122023" sheetId="19" state="hidden" r:id="rId21"/>
    <sheet name="022024" sheetId="21" state="hidden" r:id="rId22"/>
    <sheet name="032024 " sheetId="22" state="hidden" r:id="rId23"/>
    <sheet name="042024" sheetId="23" state="hidden" r:id="rId24"/>
    <sheet name="052024" sheetId="24" r:id="rId25"/>
    <sheet name="062024" sheetId="25" r:id="rId26"/>
    <sheet name="092024" sheetId="28" r:id="rId27"/>
    <sheet name="102024" sheetId="26" r:id="rId28"/>
    <sheet name="112024" sheetId="29" r:id="rId29"/>
    <sheet name="122024" sheetId="31" r:id="rId30"/>
    <sheet name="012025" sheetId="32" r:id="rId31"/>
    <sheet name="022025" sheetId="33" r:id="rId32"/>
    <sheet name="032025" sheetId="34" r:id="rId33"/>
    <sheet name="042025 (2)" sheetId="36" r:id="rId34"/>
    <sheet name="042025 (3)" sheetId="37" r:id="rId35"/>
    <sheet name="042025 (4)" sheetId="38" r:id="rId36"/>
    <sheet name="042025 (6)" sheetId="40" r:id="rId37"/>
    <sheet name="052025" sheetId="41" r:id="rId38"/>
    <sheet name="052025-2" sheetId="42" r:id="rId39"/>
    <sheet name="062025" sheetId="43" r:id="rId40"/>
    <sheet name="072025-1" sheetId="44" r:id="rId41"/>
    <sheet name="072025-2" sheetId="45" r:id="rId42"/>
    <sheet name="082025 (2)" sheetId="46" r:id="rId43"/>
    <sheet name="092025" sheetId="47" r:id="rId44"/>
    <sheet name="102025" sheetId="48" r:id="rId45"/>
    <sheet name="122025" sheetId="49" r:id="rId46"/>
    <sheet name="012026" sheetId="50" r:id="rId47"/>
    <sheet name="022026 " sheetId="51" r:id="rId48"/>
    <sheet name="032026" sheetId="52" r:id="rId49"/>
    <sheet name="042026 (2)" sheetId="53" r:id="rId50"/>
    <sheet name="052026 (2)" sheetId="54" r:id="rId51"/>
    <sheet name="062026" sheetId="39" r:id="rId52"/>
  </sheets>
  <definedNames>
    <definedName name="_xlnm._FilterDatabase" localSheetId="1" hidden="1">'DATA ENTRY - RECEIVED'!#REF!</definedName>
    <definedName name="_xlnm._FilterDatabase" localSheetId="4" hidden="1">'DATA ENTRY - RELEASED'!#REF!</definedName>
    <definedName name="_xlnm._FilterDatabase" localSheetId="0" hidden="1">'DATA ENTRY - REQUEST'!#REF!</definedName>
    <definedName name="_xlnm._FilterDatabase" localSheetId="5" hidden="1">SUMMARY!#REF!</definedName>
    <definedName name="_xlnm._FilterDatabase" localSheetId="7" hidden="1">'SUPPLIES SUMMARY'!$A$1:$G$144</definedName>
    <definedName name="AVAIL1" localSheetId="2">'DATA ENTRY - JANITORIAL'!$E$2:$E$33</definedName>
    <definedName name="AVAIL1" localSheetId="1">'DATA ENTRY - RECEIVED'!$E$2:$E$2</definedName>
    <definedName name="AVAIL1" localSheetId="4">'DATA ENTRY - RELEASED'!$B$2:$B$630</definedName>
    <definedName name="AVAIL1" localSheetId="5">SUMMARY!$B$2:$B$2</definedName>
    <definedName name="AVAIL1">'DATA ENTRY - REQUEST'!$E$2:$E$2</definedName>
    <definedName name="Excel_BuiltIn_Print_Area" localSheetId="15">'Inventory Supply 2021'!$A$1:$J$150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">#REF!</definedName>
    <definedName name="Excel_BuiltIn_Print_Area_4_1">#REF!</definedName>
    <definedName name="_xlnm.Print_Area" localSheetId="30">'012025'!$A$1:$E$99</definedName>
    <definedName name="_xlnm.Print_Area" localSheetId="46">'012026'!$A$1:$E$99</definedName>
    <definedName name="_xlnm.Print_Area" localSheetId="21">'022024'!$A$1:$E$94</definedName>
    <definedName name="_xlnm.Print_Area" localSheetId="31">'022025'!$A$1:$E$99</definedName>
    <definedName name="_xlnm.Print_Area" localSheetId="47">'022026 '!$A$1:$E$99</definedName>
    <definedName name="_xlnm.Print_Area" localSheetId="22">'032024 '!$A$1:$E$94</definedName>
    <definedName name="_xlnm.Print_Area" localSheetId="32">'032025'!$A$1:$E$99</definedName>
    <definedName name="_xlnm.Print_Area" localSheetId="48">'032026'!$A$1:$E$99</definedName>
    <definedName name="_xlnm.Print_Area" localSheetId="23">'042024'!$A$1:$E$94</definedName>
    <definedName name="_xlnm.Print_Area" localSheetId="33">'042025 (2)'!$A$1:$E$99</definedName>
    <definedName name="_xlnm.Print_Area" localSheetId="34">'042025 (3)'!$A$1:$E$99</definedName>
    <definedName name="_xlnm.Print_Area" localSheetId="35">'042025 (4)'!$A$1:$E$99</definedName>
    <definedName name="_xlnm.Print_Area" localSheetId="36">'042025 (6)'!$A$1:$E$99</definedName>
    <definedName name="_xlnm.Print_Area" localSheetId="49">'042026 (2)'!$A$1:$E$99</definedName>
    <definedName name="_xlnm.Print_Area" localSheetId="24">'052024'!$A$1:$E$99</definedName>
    <definedName name="_xlnm.Print_Area" localSheetId="37">'052025'!$A$1:$E$99</definedName>
    <definedName name="_xlnm.Print_Area" localSheetId="38">'052025-2'!$A$1:$E$99</definedName>
    <definedName name="_xlnm.Print_Area" localSheetId="50">'052026 (2)'!$A$1:$E$99</definedName>
    <definedName name="_xlnm.Print_Area" localSheetId="25">'062024'!$A$1:$E$94</definedName>
    <definedName name="_xlnm.Print_Area" localSheetId="39">'062025'!$A$1:$E$99</definedName>
    <definedName name="_xlnm.Print_Area" localSheetId="51">'062026'!$A$1:$E$99</definedName>
    <definedName name="_xlnm.Print_Area" localSheetId="40">'072025-1'!$A$1:$E$99</definedName>
    <definedName name="_xlnm.Print_Area" localSheetId="41">'072025-2'!$A$1:$E$99</definedName>
    <definedName name="_xlnm.Print_Area" localSheetId="42">'082025 (2)'!$A$1:$E$99</definedName>
    <definedName name="_xlnm.Print_Area" localSheetId="26">'092024'!$A$1:$E$99</definedName>
    <definedName name="_xlnm.Print_Area" localSheetId="43">'092025'!$A$1:$E$99</definedName>
    <definedName name="_xlnm.Print_Area" localSheetId="27">'102024'!$A$1:$E$99</definedName>
    <definedName name="_xlnm.Print_Area" localSheetId="44">'102025'!$A$1:$E$99</definedName>
    <definedName name="_xlnm.Print_Area" localSheetId="28">'112024'!$A$1:$E$99</definedName>
    <definedName name="_xlnm.Print_Area" localSheetId="29">'122024'!$A$1:$E$99</definedName>
    <definedName name="_xlnm.Print_Area" localSheetId="45">'122025'!$A$1:$E$99</definedName>
    <definedName name="_xlnm.Print_Area" localSheetId="15">'Inventory Supply 2021'!$A$1:$H$150</definedName>
    <definedName name="_xlnm.Print_Area" localSheetId="8">'RIS FORM V112022'!$D$1:$BE$70</definedName>
    <definedName name="REQUEST1">'DATA ENTRY - REQUEST'!$C:$E</definedName>
    <definedName name="REQUEST2">'DATA ENTRY - REQUEST'!$C:$F</definedName>
    <definedName name="SECTION">REFERENCE!$N$3:$N$17</definedName>
    <definedName name="STOCKS">'SUPPLIES SUMMARY'!$A$2:$G$126</definedName>
    <definedName name="SUPPLY">REFERENCE!$B$1:$B$114</definedName>
    <definedName name="SUPPLY2">REFERENCE!$B$1:$E$114</definedName>
    <definedName name="SUPPLY3">'SUPPLIES SUMMARY'!$A$3:$G$144</definedName>
    <definedName name="YEAR2023">REFERENCE!$I:$J</definedName>
    <definedName name="YEAR21">REFERENCE!$I$1:$J$348</definedName>
    <definedName name="YEAR22">REFERENCE!$I$1:$J$630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0" i="14" l="1"/>
  <c r="H359" i="14"/>
  <c r="G360" i="14"/>
  <c r="G359" i="14"/>
  <c r="D59" i="54"/>
  <c r="D623" i="15"/>
  <c r="D624" i="15"/>
  <c r="D625" i="15"/>
  <c r="D626" i="15"/>
  <c r="D627" i="15"/>
  <c r="D628" i="15"/>
  <c r="D629" i="15"/>
  <c r="D630" i="15"/>
  <c r="E623" i="15"/>
  <c r="E624" i="15"/>
  <c r="E625" i="15"/>
  <c r="E626" i="15"/>
  <c r="E627" i="15"/>
  <c r="E628" i="15"/>
  <c r="E629" i="15"/>
  <c r="E630" i="15"/>
  <c r="G623" i="15"/>
  <c r="G624" i="15"/>
  <c r="G625" i="15"/>
  <c r="G626" i="15"/>
  <c r="G627" i="15"/>
  <c r="G628" i="15"/>
  <c r="G629" i="15"/>
  <c r="G630" i="15"/>
  <c r="G428" i="4"/>
  <c r="H428" i="4"/>
  <c r="I428" i="4"/>
  <c r="C421" i="4"/>
  <c r="C422" i="4"/>
  <c r="C423" i="4"/>
  <c r="C424" i="4"/>
  <c r="G421" i="4"/>
  <c r="G422" i="4"/>
  <c r="G423" i="4"/>
  <c r="G424" i="4"/>
  <c r="G425" i="4"/>
  <c r="G426" i="4"/>
  <c r="G427" i="4"/>
  <c r="H421" i="4"/>
  <c r="H422" i="4"/>
  <c r="H423" i="4"/>
  <c r="H424" i="4"/>
  <c r="H425" i="4"/>
  <c r="H426" i="4"/>
  <c r="H427" i="4"/>
  <c r="I421" i="4"/>
  <c r="I422" i="4"/>
  <c r="I423" i="4"/>
  <c r="I424" i="4"/>
  <c r="I425" i="4"/>
  <c r="I426" i="4"/>
  <c r="I427" i="4"/>
  <c r="C410" i="4"/>
  <c r="C411" i="4"/>
  <c r="C412" i="4"/>
  <c r="C413" i="4"/>
  <c r="C414" i="4"/>
  <c r="C415" i="4"/>
  <c r="C416" i="4"/>
  <c r="C417" i="4"/>
  <c r="C418" i="4"/>
  <c r="C419" i="4"/>
  <c r="C420" i="4"/>
  <c r="G410" i="4"/>
  <c r="G411" i="4"/>
  <c r="G412" i="4"/>
  <c r="G413" i="4"/>
  <c r="G414" i="4"/>
  <c r="G415" i="4"/>
  <c r="G416" i="4"/>
  <c r="G417" i="4"/>
  <c r="G418" i="4"/>
  <c r="G419" i="4"/>
  <c r="G420" i="4"/>
  <c r="H410" i="4"/>
  <c r="H411" i="4"/>
  <c r="H412" i="4"/>
  <c r="H413" i="4"/>
  <c r="H414" i="4"/>
  <c r="H415" i="4"/>
  <c r="H416" i="4"/>
  <c r="H417" i="4"/>
  <c r="H418" i="4"/>
  <c r="H419" i="4"/>
  <c r="H420" i="4"/>
  <c r="I410" i="4"/>
  <c r="I411" i="4"/>
  <c r="I412" i="4"/>
  <c r="I413" i="4"/>
  <c r="I414" i="4"/>
  <c r="I415" i="4"/>
  <c r="I416" i="4"/>
  <c r="I417" i="4"/>
  <c r="I418" i="4"/>
  <c r="I419" i="4"/>
  <c r="I420" i="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C359" i="14"/>
  <c r="C358" i="14"/>
  <c r="C357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H343" i="14"/>
  <c r="H342" i="14"/>
  <c r="H341" i="14"/>
  <c r="H340" i="14"/>
  <c r="H339" i="14"/>
  <c r="H338" i="14"/>
  <c r="G343" i="14"/>
  <c r="G342" i="14"/>
  <c r="G341" i="14"/>
  <c r="G340" i="14"/>
  <c r="G339" i="14"/>
  <c r="G338" i="14"/>
  <c r="G337" i="14"/>
  <c r="C343" i="14"/>
  <c r="C342" i="14"/>
  <c r="C341" i="14"/>
  <c r="C340" i="14"/>
  <c r="C339" i="14"/>
  <c r="C338" i="14"/>
  <c r="C337" i="14"/>
  <c r="H337" i="14"/>
  <c r="H336" i="14"/>
  <c r="G336" i="14"/>
  <c r="C333" i="14"/>
  <c r="D613" i="15"/>
  <c r="D614" i="15"/>
  <c r="D615" i="15"/>
  <c r="D616" i="15"/>
  <c r="D617" i="15"/>
  <c r="D618" i="15"/>
  <c r="D619" i="15"/>
  <c r="D620" i="15"/>
  <c r="D621" i="15"/>
  <c r="D622" i="15"/>
  <c r="E613" i="15"/>
  <c r="E614" i="15"/>
  <c r="E615" i="15"/>
  <c r="E616" i="15"/>
  <c r="E617" i="15"/>
  <c r="E618" i="15"/>
  <c r="E619" i="15"/>
  <c r="E620" i="15"/>
  <c r="E621" i="15"/>
  <c r="E622" i="15"/>
  <c r="G613" i="15"/>
  <c r="G614" i="15"/>
  <c r="G615" i="15"/>
  <c r="G616" i="15"/>
  <c r="G617" i="15"/>
  <c r="G618" i="15"/>
  <c r="G619" i="15"/>
  <c r="G620" i="15"/>
  <c r="G621" i="15"/>
  <c r="G622" i="15"/>
  <c r="D607" i="15"/>
  <c r="E607" i="15"/>
  <c r="G607" i="15"/>
  <c r="D606" i="15"/>
  <c r="E606" i="15"/>
  <c r="G606" i="15"/>
  <c r="D605" i="15"/>
  <c r="E605" i="15"/>
  <c r="G605" i="15"/>
  <c r="D604" i="15"/>
  <c r="E604" i="15"/>
  <c r="G604" i="15"/>
  <c r="D602" i="15"/>
  <c r="D603" i="15"/>
  <c r="D608" i="15"/>
  <c r="D609" i="15"/>
  <c r="D610" i="15"/>
  <c r="D611" i="15"/>
  <c r="D612" i="15"/>
  <c r="E602" i="15"/>
  <c r="E603" i="15"/>
  <c r="E608" i="15"/>
  <c r="E609" i="15"/>
  <c r="E610" i="15"/>
  <c r="E611" i="15"/>
  <c r="E612" i="15"/>
  <c r="G602" i="15"/>
  <c r="G603" i="15"/>
  <c r="G608" i="15"/>
  <c r="G609" i="15"/>
  <c r="G610" i="15"/>
  <c r="G611" i="15"/>
  <c r="G612" i="15"/>
  <c r="D592" i="15"/>
  <c r="D593" i="15"/>
  <c r="D594" i="15"/>
  <c r="D595" i="15"/>
  <c r="D596" i="15"/>
  <c r="D597" i="15"/>
  <c r="D598" i="15"/>
  <c r="D599" i="15"/>
  <c r="D600" i="15"/>
  <c r="D601" i="15"/>
  <c r="E592" i="15"/>
  <c r="E593" i="15"/>
  <c r="E594" i="15"/>
  <c r="E595" i="15"/>
  <c r="E596" i="15"/>
  <c r="E597" i="15"/>
  <c r="E598" i="15"/>
  <c r="E599" i="15"/>
  <c r="E600" i="15"/>
  <c r="E601" i="15"/>
  <c r="G592" i="15"/>
  <c r="G593" i="15"/>
  <c r="G594" i="15"/>
  <c r="G595" i="15"/>
  <c r="G596" i="15"/>
  <c r="G597" i="15"/>
  <c r="G598" i="15"/>
  <c r="G599" i="15"/>
  <c r="G600" i="15"/>
  <c r="G601" i="15"/>
  <c r="D591" i="15"/>
  <c r="E591" i="15"/>
  <c r="G591" i="15"/>
  <c r="D590" i="15"/>
  <c r="E590" i="15"/>
  <c r="G590" i="15"/>
  <c r="D59" i="53"/>
  <c r="D589" i="15"/>
  <c r="E589" i="15"/>
  <c r="G589" i="15"/>
  <c r="D588" i="15"/>
  <c r="E588" i="15"/>
  <c r="G588" i="15"/>
  <c r="D587" i="15"/>
  <c r="E587" i="15"/>
  <c r="G587" i="15"/>
  <c r="D586" i="15"/>
  <c r="E586" i="15"/>
  <c r="G586" i="15"/>
  <c r="D585" i="15"/>
  <c r="E585" i="15"/>
  <c r="G585" i="15"/>
  <c r="D584" i="15"/>
  <c r="E584" i="15"/>
  <c r="G584" i="15"/>
  <c r="D583" i="15"/>
  <c r="E583" i="15"/>
  <c r="G583" i="15"/>
  <c r="D582" i="15"/>
  <c r="E582" i="15"/>
  <c r="G582" i="15"/>
  <c r="D581" i="15"/>
  <c r="E581" i="15"/>
  <c r="G581" i="15"/>
  <c r="D580" i="15"/>
  <c r="E580" i="15"/>
  <c r="G580" i="15"/>
  <c r="D579" i="15"/>
  <c r="E579" i="15"/>
  <c r="G579" i="15"/>
  <c r="D578" i="15"/>
  <c r="E578" i="15"/>
  <c r="G578" i="15"/>
  <c r="D577" i="15"/>
  <c r="E577" i="15"/>
  <c r="G577" i="15"/>
  <c r="D59" i="52"/>
  <c r="D576" i="15"/>
  <c r="E576" i="15"/>
  <c r="G576" i="15"/>
  <c r="D575" i="15"/>
  <c r="E575" i="15"/>
  <c r="G575" i="15"/>
  <c r="D574" i="15"/>
  <c r="E574" i="15"/>
  <c r="G574" i="15"/>
  <c r="D573" i="15"/>
  <c r="E573" i="15"/>
  <c r="G573" i="15"/>
  <c r="D572" i="15"/>
  <c r="E572" i="15"/>
  <c r="G572" i="15"/>
  <c r="D571" i="15"/>
  <c r="E571" i="15"/>
  <c r="G571" i="15"/>
  <c r="D570" i="15"/>
  <c r="E570" i="15"/>
  <c r="G570" i="15"/>
  <c r="D569" i="15"/>
  <c r="E569" i="15"/>
  <c r="G569" i="15"/>
  <c r="D568" i="15"/>
  <c r="E568" i="15"/>
  <c r="G568" i="15"/>
  <c r="D567" i="15"/>
  <c r="E567" i="15"/>
  <c r="G567" i="15"/>
  <c r="D563" i="15"/>
  <c r="E563" i="15"/>
  <c r="G563" i="15"/>
  <c r="D562" i="15"/>
  <c r="E562" i="15"/>
  <c r="G562" i="15"/>
  <c r="D566" i="15"/>
  <c r="E566" i="15"/>
  <c r="G566" i="15"/>
  <c r="D565" i="15"/>
  <c r="E565" i="15"/>
  <c r="G565" i="15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17" i="14"/>
  <c r="H316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18" i="14"/>
  <c r="G317" i="14"/>
  <c r="C330" i="14"/>
  <c r="C331" i="14"/>
  <c r="C332" i="14"/>
  <c r="C334" i="14"/>
  <c r="C335" i="14"/>
  <c r="C336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C317" i="14"/>
  <c r="C316" i="14"/>
  <c r="D564" i="15"/>
  <c r="E564" i="15"/>
  <c r="G564" i="15"/>
  <c r="D561" i="15"/>
  <c r="E561" i="15"/>
  <c r="G561" i="15"/>
  <c r="E560" i="15"/>
  <c r="G560" i="15"/>
  <c r="D559" i="15"/>
  <c r="E559" i="15"/>
  <c r="G559" i="15"/>
  <c r="D558" i="15"/>
  <c r="E558" i="15"/>
  <c r="G558" i="15"/>
  <c r="D557" i="15"/>
  <c r="E557" i="15"/>
  <c r="G557" i="15"/>
  <c r="D556" i="15"/>
  <c r="E556" i="15"/>
  <c r="G556" i="15"/>
  <c r="D555" i="15"/>
  <c r="E555" i="15"/>
  <c r="G555" i="15"/>
  <c r="D554" i="15"/>
  <c r="E554" i="15"/>
  <c r="G554" i="15"/>
  <c r="D553" i="15"/>
  <c r="E553" i="15"/>
  <c r="G553" i="15"/>
  <c r="G549" i="15"/>
  <c r="E549" i="15"/>
  <c r="D549" i="15"/>
  <c r="G552" i="15"/>
  <c r="E552" i="15"/>
  <c r="D552" i="15"/>
  <c r="G551" i="15"/>
  <c r="E551" i="15"/>
  <c r="D551" i="15"/>
  <c r="G550" i="15"/>
  <c r="E550" i="15"/>
  <c r="D550" i="15"/>
  <c r="G548" i="15"/>
  <c r="E548" i="15"/>
  <c r="D548" i="15"/>
  <c r="G547" i="15"/>
  <c r="E547" i="15"/>
  <c r="D547" i="15"/>
  <c r="G546" i="15"/>
  <c r="E546" i="15"/>
  <c r="D546" i="15"/>
  <c r="G545" i="15"/>
  <c r="E545" i="15"/>
  <c r="D545" i="15"/>
  <c r="G544" i="15"/>
  <c r="E544" i="15"/>
  <c r="D544" i="15"/>
  <c r="G543" i="15"/>
  <c r="E543" i="15"/>
  <c r="D543" i="15"/>
  <c r="D59" i="51"/>
  <c r="G539" i="15"/>
  <c r="E539" i="15"/>
  <c r="D539" i="15"/>
  <c r="G540" i="15"/>
  <c r="E540" i="15"/>
  <c r="D540" i="15"/>
  <c r="G536" i="15"/>
  <c r="G537" i="15"/>
  <c r="E536" i="15"/>
  <c r="E537" i="15"/>
  <c r="D536" i="15"/>
  <c r="D537" i="15"/>
  <c r="G538" i="15"/>
  <c r="E538" i="15"/>
  <c r="D538" i="15"/>
  <c r="G535" i="15"/>
  <c r="E535" i="15"/>
  <c r="D535" i="15"/>
  <c r="G534" i="15"/>
  <c r="E534" i="15"/>
  <c r="D534" i="15"/>
  <c r="G541" i="15"/>
  <c r="E541" i="15"/>
  <c r="D541" i="15"/>
  <c r="C387" i="4"/>
  <c r="C388" i="4"/>
  <c r="C389" i="4"/>
  <c r="C390" i="4"/>
  <c r="G387" i="4"/>
  <c r="G388" i="4"/>
  <c r="G389" i="4"/>
  <c r="G390" i="4"/>
  <c r="H387" i="4"/>
  <c r="H388" i="4"/>
  <c r="H389" i="4"/>
  <c r="H390" i="4"/>
  <c r="I387" i="4"/>
  <c r="I388" i="4"/>
  <c r="I389" i="4"/>
  <c r="I390" i="4"/>
  <c r="C380" i="4"/>
  <c r="C381" i="4"/>
  <c r="C382" i="4"/>
  <c r="C383" i="4"/>
  <c r="C384" i="4"/>
  <c r="C385" i="4"/>
  <c r="C386" i="4"/>
  <c r="G380" i="4"/>
  <c r="G381" i="4"/>
  <c r="G382" i="4"/>
  <c r="G383" i="4"/>
  <c r="G384" i="4"/>
  <c r="G385" i="4"/>
  <c r="G386" i="4"/>
  <c r="H380" i="4"/>
  <c r="H381" i="4"/>
  <c r="H382" i="4"/>
  <c r="H383" i="4"/>
  <c r="H384" i="4"/>
  <c r="H385" i="4"/>
  <c r="H386" i="4"/>
  <c r="I380" i="4"/>
  <c r="I381" i="4"/>
  <c r="I382" i="4"/>
  <c r="I383" i="4"/>
  <c r="I384" i="4"/>
  <c r="I385" i="4"/>
  <c r="I386" i="4"/>
  <c r="C373" i="4"/>
  <c r="C374" i="4"/>
  <c r="C375" i="4"/>
  <c r="C376" i="4"/>
  <c r="C377" i="4"/>
  <c r="C378" i="4"/>
  <c r="C379" i="4"/>
  <c r="G373" i="4"/>
  <c r="G374" i="4"/>
  <c r="G375" i="4"/>
  <c r="G376" i="4"/>
  <c r="G377" i="4"/>
  <c r="G378" i="4"/>
  <c r="G379" i="4"/>
  <c r="H373" i="4"/>
  <c r="H374" i="4"/>
  <c r="H375" i="4"/>
  <c r="H376" i="4"/>
  <c r="H377" i="4"/>
  <c r="H378" i="4"/>
  <c r="H379" i="4"/>
  <c r="I373" i="4"/>
  <c r="I374" i="4"/>
  <c r="I375" i="4"/>
  <c r="I376" i="4"/>
  <c r="I377" i="4"/>
  <c r="I378" i="4"/>
  <c r="I379" i="4"/>
  <c r="D542" i="15"/>
  <c r="E542" i="15"/>
  <c r="G542" i="15"/>
  <c r="D533" i="15"/>
  <c r="E533" i="15"/>
  <c r="G533" i="15"/>
  <c r="D532" i="15"/>
  <c r="E532" i="15"/>
  <c r="G532" i="15"/>
  <c r="D531" i="15"/>
  <c r="E531" i="15"/>
  <c r="G531" i="15"/>
  <c r="D530" i="15"/>
  <c r="E530" i="15"/>
  <c r="G530" i="15"/>
  <c r="D529" i="15"/>
  <c r="E529" i="15"/>
  <c r="G529" i="15"/>
  <c r="D528" i="15"/>
  <c r="E528" i="15"/>
  <c r="G528" i="15"/>
  <c r="D519" i="15"/>
  <c r="E519" i="15"/>
  <c r="G519" i="15"/>
  <c r="D527" i="15"/>
  <c r="E527" i="15"/>
  <c r="G527" i="15"/>
  <c r="D526" i="15"/>
  <c r="E526" i="15"/>
  <c r="G526" i="15"/>
  <c r="D525" i="15"/>
  <c r="E525" i="15"/>
  <c r="G525" i="15"/>
  <c r="D524" i="15"/>
  <c r="E524" i="15"/>
  <c r="G524" i="15"/>
  <c r="D523" i="15"/>
  <c r="E523" i="15"/>
  <c r="G523" i="15"/>
  <c r="D522" i="15"/>
  <c r="E522" i="15"/>
  <c r="G522" i="15"/>
  <c r="D521" i="15"/>
  <c r="E521" i="15"/>
  <c r="G521" i="15"/>
  <c r="D520" i="15"/>
  <c r="E520" i="15"/>
  <c r="G520" i="15"/>
  <c r="D518" i="15"/>
  <c r="E518" i="15"/>
  <c r="G518" i="15"/>
  <c r="D517" i="15"/>
  <c r="E517" i="15"/>
  <c r="G517" i="15"/>
  <c r="D516" i="15"/>
  <c r="E516" i="15"/>
  <c r="G516" i="15"/>
  <c r="D515" i="15"/>
  <c r="E515" i="15"/>
  <c r="G515" i="15"/>
  <c r="D514" i="15"/>
  <c r="E514" i="15"/>
  <c r="G514" i="15"/>
  <c r="D513" i="15"/>
  <c r="E513" i="15"/>
  <c r="G513" i="15"/>
  <c r="D512" i="15"/>
  <c r="E512" i="15"/>
  <c r="G512" i="15"/>
  <c r="D511" i="15"/>
  <c r="E511" i="15"/>
  <c r="G511" i="15"/>
  <c r="D510" i="15"/>
  <c r="E510" i="15"/>
  <c r="G510" i="15"/>
  <c r="D509" i="15"/>
  <c r="E509" i="15"/>
  <c r="G509" i="15"/>
  <c r="D508" i="15"/>
  <c r="E508" i="15"/>
  <c r="G508" i="15"/>
  <c r="D507" i="15"/>
  <c r="E507" i="15"/>
  <c r="G507" i="15"/>
  <c r="D506" i="15"/>
  <c r="E506" i="15"/>
  <c r="G506" i="15"/>
  <c r="D505" i="15"/>
  <c r="E505" i="15"/>
  <c r="G505" i="15"/>
  <c r="D504" i="15"/>
  <c r="E504" i="15"/>
  <c r="G504" i="15"/>
  <c r="D503" i="15"/>
  <c r="E503" i="15"/>
  <c r="G503" i="15"/>
  <c r="D502" i="15"/>
  <c r="E502" i="15"/>
  <c r="G502" i="15"/>
  <c r="D501" i="15"/>
  <c r="E501" i="15"/>
  <c r="G501" i="15"/>
  <c r="D500" i="15"/>
  <c r="E500" i="15"/>
  <c r="G500" i="15"/>
  <c r="D499" i="15"/>
  <c r="E499" i="15"/>
  <c r="G499" i="15"/>
  <c r="D498" i="15"/>
  <c r="E498" i="15"/>
  <c r="G498" i="15"/>
  <c r="D497" i="15"/>
  <c r="E497" i="15"/>
  <c r="G497" i="15"/>
  <c r="D496" i="15"/>
  <c r="E496" i="15"/>
  <c r="G496" i="15"/>
  <c r="D495" i="15"/>
  <c r="E495" i="15"/>
  <c r="G495" i="15"/>
  <c r="D494" i="15"/>
  <c r="E494" i="15"/>
  <c r="G494" i="15"/>
  <c r="D493" i="15"/>
  <c r="E493" i="15"/>
  <c r="G493" i="15"/>
  <c r="D488" i="15"/>
  <c r="E488" i="15"/>
  <c r="G488" i="15"/>
  <c r="D492" i="15"/>
  <c r="E492" i="15"/>
  <c r="G492" i="15"/>
  <c r="D491" i="15"/>
  <c r="E491" i="15"/>
  <c r="G491" i="15"/>
  <c r="D490" i="15"/>
  <c r="E490" i="15"/>
  <c r="G490" i="15"/>
  <c r="D489" i="15"/>
  <c r="E489" i="15"/>
  <c r="G489" i="15"/>
  <c r="D487" i="15"/>
  <c r="E487" i="15"/>
  <c r="G487" i="15"/>
  <c r="D486" i="15"/>
  <c r="E486" i="15"/>
  <c r="G486" i="15"/>
  <c r="D485" i="15"/>
  <c r="E485" i="15"/>
  <c r="G485" i="15"/>
  <c r="G484" i="15"/>
  <c r="E484" i="15"/>
  <c r="D484" i="15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297" i="14"/>
  <c r="G29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D475" i="15"/>
  <c r="D476" i="15"/>
  <c r="D477" i="15"/>
  <c r="D478" i="15"/>
  <c r="D479" i="15"/>
  <c r="D480" i="15"/>
  <c r="D481" i="15"/>
  <c r="D482" i="15"/>
  <c r="D483" i="15"/>
  <c r="E475" i="15"/>
  <c r="E476" i="15"/>
  <c r="E477" i="15"/>
  <c r="E478" i="15"/>
  <c r="E479" i="15"/>
  <c r="E480" i="15"/>
  <c r="E481" i="15"/>
  <c r="E482" i="15"/>
  <c r="E483" i="15"/>
  <c r="G475" i="15"/>
  <c r="G476" i="15"/>
  <c r="G477" i="15"/>
  <c r="G478" i="15"/>
  <c r="G479" i="15"/>
  <c r="G480" i="15"/>
  <c r="G481" i="15"/>
  <c r="G482" i="15"/>
  <c r="G483" i="15"/>
  <c r="G474" i="15"/>
  <c r="E474" i="15"/>
  <c r="D474" i="15"/>
  <c r="G473" i="15"/>
  <c r="E473" i="15"/>
  <c r="D473" i="15"/>
  <c r="G472" i="15"/>
  <c r="E472" i="15"/>
  <c r="D472" i="15"/>
  <c r="G471" i="15"/>
  <c r="E471" i="15"/>
  <c r="D471" i="15"/>
  <c r="G470" i="15"/>
  <c r="E470" i="15"/>
  <c r="D470" i="15"/>
  <c r="G469" i="15"/>
  <c r="E469" i="15"/>
  <c r="D469" i="15"/>
  <c r="D468" i="15"/>
  <c r="E468" i="15"/>
  <c r="G468" i="15"/>
  <c r="D467" i="15"/>
  <c r="E467" i="15"/>
  <c r="G467" i="15"/>
  <c r="D59" i="50"/>
  <c r="D466" i="15"/>
  <c r="E466" i="15"/>
  <c r="G466" i="15"/>
  <c r="D465" i="15"/>
  <c r="E465" i="15"/>
  <c r="G465" i="15"/>
  <c r="D464" i="15"/>
  <c r="E464" i="15"/>
  <c r="G464" i="15"/>
  <c r="C344" i="4"/>
  <c r="G344" i="4"/>
  <c r="H344" i="4"/>
  <c r="I344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C354" i="4"/>
  <c r="C355" i="4"/>
  <c r="C356" i="4"/>
  <c r="C357" i="4"/>
  <c r="C358" i="4"/>
  <c r="G354" i="4"/>
  <c r="G355" i="4"/>
  <c r="G356" i="4"/>
  <c r="G357" i="4"/>
  <c r="G358" i="4"/>
  <c r="H354" i="4"/>
  <c r="H355" i="4"/>
  <c r="H356" i="4"/>
  <c r="H357" i="4"/>
  <c r="H358" i="4"/>
  <c r="I354" i="4"/>
  <c r="I355" i="4"/>
  <c r="I356" i="4"/>
  <c r="I357" i="4"/>
  <c r="I358" i="4"/>
  <c r="D463" i="15"/>
  <c r="E463" i="15"/>
  <c r="G463" i="15"/>
  <c r="D462" i="15"/>
  <c r="E462" i="15"/>
  <c r="G462" i="15"/>
  <c r="D461" i="15"/>
  <c r="E461" i="15"/>
  <c r="G461" i="15"/>
  <c r="D460" i="15"/>
  <c r="E460" i="15"/>
  <c r="G460" i="15"/>
  <c r="D459" i="15"/>
  <c r="E459" i="15"/>
  <c r="G459" i="15"/>
  <c r="D458" i="15"/>
  <c r="E458" i="15"/>
  <c r="G458" i="15"/>
  <c r="D457" i="15"/>
  <c r="E457" i="15"/>
  <c r="G457" i="15"/>
  <c r="D456" i="15"/>
  <c r="E456" i="15"/>
  <c r="D455" i="15"/>
  <c r="E455" i="15"/>
  <c r="D454" i="15"/>
  <c r="E454" i="15"/>
  <c r="D453" i="15"/>
  <c r="E453" i="15"/>
  <c r="D452" i="15"/>
  <c r="E452" i="15"/>
  <c r="E451" i="15"/>
  <c r="D450" i="15"/>
  <c r="E450" i="15"/>
  <c r="D449" i="15"/>
  <c r="E449" i="15"/>
  <c r="D448" i="15"/>
  <c r="E448" i="15"/>
  <c r="D447" i="15"/>
  <c r="E447" i="15"/>
  <c r="E446" i="15"/>
  <c r="E6" i="16"/>
  <c r="E445" i="15"/>
  <c r="E444" i="15"/>
  <c r="D443" i="15"/>
  <c r="E443" i="15"/>
  <c r="D442" i="15"/>
  <c r="E442" i="15"/>
  <c r="D436" i="15"/>
  <c r="E436" i="15"/>
  <c r="E441" i="15"/>
  <c r="E440" i="15"/>
  <c r="D435" i="15"/>
  <c r="E435" i="15"/>
  <c r="D434" i="15"/>
  <c r="E434" i="15"/>
  <c r="D433" i="15"/>
  <c r="E433" i="15"/>
  <c r="D432" i="15"/>
  <c r="E432" i="15"/>
  <c r="E431" i="15"/>
  <c r="D430" i="15"/>
  <c r="E430" i="15"/>
  <c r="D429" i="15"/>
  <c r="E429" i="15"/>
  <c r="E423" i="15"/>
  <c r="E428" i="15"/>
  <c r="E427" i="15"/>
  <c r="E422" i="15"/>
  <c r="D426" i="15"/>
  <c r="E426" i="15"/>
  <c r="D425" i="15"/>
  <c r="E425" i="15"/>
  <c r="D424" i="15"/>
  <c r="E424" i="15"/>
  <c r="D421" i="15"/>
  <c r="E421" i="15"/>
  <c r="D420" i="15"/>
  <c r="E420" i="15"/>
  <c r="D419" i="15"/>
  <c r="E419" i="15"/>
  <c r="D417" i="15"/>
  <c r="E417" i="15"/>
  <c r="D416" i="15"/>
  <c r="E416" i="15"/>
  <c r="D415" i="15"/>
  <c r="E415" i="15"/>
  <c r="D414" i="15"/>
  <c r="E414" i="15"/>
  <c r="E413" i="15"/>
  <c r="D412" i="15"/>
  <c r="E412" i="15"/>
  <c r="E411" i="15"/>
  <c r="D410" i="15"/>
  <c r="E410" i="15"/>
  <c r="E409" i="15"/>
  <c r="D408" i="15"/>
  <c r="E408" i="15"/>
  <c r="D407" i="15"/>
  <c r="E407" i="15"/>
  <c r="E406" i="15"/>
  <c r="D405" i="15"/>
  <c r="E405" i="15"/>
  <c r="D404" i="15"/>
  <c r="E404" i="15"/>
  <c r="D403" i="15"/>
  <c r="E403" i="15"/>
  <c r="D402" i="15"/>
  <c r="E402" i="15"/>
  <c r="D401" i="15"/>
  <c r="E401" i="15"/>
  <c r="D400" i="15"/>
  <c r="E400" i="15"/>
  <c r="D399" i="15"/>
  <c r="E399" i="15"/>
  <c r="C271" i="14"/>
  <c r="C296" i="14"/>
  <c r="H296" i="14"/>
  <c r="C295" i="14"/>
  <c r="C294" i="14"/>
  <c r="C293" i="14"/>
  <c r="C291" i="14"/>
  <c r="G291" i="14"/>
  <c r="H291" i="14"/>
  <c r="C290" i="14"/>
  <c r="G290" i="14"/>
  <c r="H290" i="14"/>
  <c r="C289" i="14"/>
  <c r="G289" i="14"/>
  <c r="H289" i="14"/>
  <c r="C288" i="14"/>
  <c r="G288" i="14"/>
  <c r="H288" i="14"/>
  <c r="C287" i="14"/>
  <c r="G287" i="14"/>
  <c r="H287" i="14"/>
  <c r="C286" i="14"/>
  <c r="G286" i="14"/>
  <c r="H286" i="14"/>
  <c r="C285" i="14"/>
  <c r="C284" i="14"/>
  <c r="G284" i="14"/>
  <c r="H284" i="14"/>
  <c r="C283" i="14"/>
  <c r="G283" i="14"/>
  <c r="H283" i="14"/>
  <c r="C282" i="14"/>
  <c r="G282" i="14"/>
  <c r="H282" i="14"/>
  <c r="C281" i="14"/>
  <c r="G281" i="14"/>
  <c r="C280" i="14"/>
  <c r="G280" i="14"/>
  <c r="H280" i="14"/>
  <c r="C279" i="14"/>
  <c r="G279" i="14"/>
  <c r="H279" i="14"/>
  <c r="C278" i="14"/>
  <c r="G278" i="14"/>
  <c r="C277" i="14"/>
  <c r="H277" i="14"/>
  <c r="C276" i="14"/>
  <c r="H276" i="14"/>
  <c r="C275" i="14"/>
  <c r="G275" i="14"/>
  <c r="H275" i="14"/>
  <c r="C274" i="14"/>
  <c r="G274" i="14"/>
  <c r="H274" i="14"/>
  <c r="C273" i="14"/>
  <c r="G273" i="14"/>
  <c r="H273" i="14"/>
  <c r="C272" i="14"/>
  <c r="G272" i="14"/>
  <c r="H272" i="14"/>
  <c r="G271" i="14"/>
  <c r="H271" i="14"/>
  <c r="D398" i="15"/>
  <c r="E398" i="15"/>
  <c r="D397" i="15"/>
  <c r="E397" i="15"/>
  <c r="D396" i="15"/>
  <c r="E396" i="15"/>
  <c r="D395" i="15"/>
  <c r="E395" i="15"/>
  <c r="D390" i="15"/>
  <c r="E390" i="15"/>
  <c r="E394" i="15"/>
  <c r="D393" i="15"/>
  <c r="E393" i="15"/>
  <c r="E392" i="15"/>
  <c r="E386" i="15"/>
  <c r="D385" i="15"/>
  <c r="E385" i="15"/>
  <c r="D59" i="49"/>
  <c r="D384" i="15"/>
  <c r="E384" i="15"/>
  <c r="C345" i="4"/>
  <c r="C346" i="4"/>
  <c r="C347" i="4"/>
  <c r="C348" i="4"/>
  <c r="C349" i="4"/>
  <c r="C350" i="4"/>
  <c r="C351" i="4"/>
  <c r="C352" i="4"/>
  <c r="C353" i="4"/>
  <c r="G345" i="4"/>
  <c r="G346" i="4"/>
  <c r="G347" i="4"/>
  <c r="G348" i="4"/>
  <c r="G349" i="4"/>
  <c r="G350" i="4"/>
  <c r="G351" i="4"/>
  <c r="G352" i="4"/>
  <c r="G353" i="4"/>
  <c r="H345" i="4"/>
  <c r="H346" i="4"/>
  <c r="H347" i="4"/>
  <c r="H348" i="4"/>
  <c r="H349" i="4"/>
  <c r="H350" i="4"/>
  <c r="H351" i="4"/>
  <c r="H352" i="4"/>
  <c r="H353" i="4"/>
  <c r="I345" i="4"/>
  <c r="I346" i="4"/>
  <c r="I347" i="4"/>
  <c r="I348" i="4"/>
  <c r="I349" i="4"/>
  <c r="I350" i="4"/>
  <c r="I351" i="4"/>
  <c r="I352" i="4"/>
  <c r="I353" i="4"/>
  <c r="E383" i="15"/>
  <c r="C336" i="4"/>
  <c r="C337" i="4"/>
  <c r="C338" i="4"/>
  <c r="C339" i="4"/>
  <c r="C340" i="4"/>
  <c r="C341" i="4"/>
  <c r="C342" i="4"/>
  <c r="C343" i="4"/>
  <c r="G336" i="4"/>
  <c r="G337" i="4"/>
  <c r="G338" i="4"/>
  <c r="G339" i="4"/>
  <c r="G340" i="4"/>
  <c r="G341" i="4"/>
  <c r="G342" i="4"/>
  <c r="G343" i="4"/>
  <c r="H336" i="4"/>
  <c r="H337" i="4"/>
  <c r="H338" i="4"/>
  <c r="H339" i="4"/>
  <c r="H340" i="4"/>
  <c r="H341" i="4"/>
  <c r="H342" i="4"/>
  <c r="H343" i="4"/>
  <c r="I336" i="4"/>
  <c r="I337" i="4"/>
  <c r="I338" i="4"/>
  <c r="I339" i="4"/>
  <c r="I340" i="4"/>
  <c r="I341" i="4"/>
  <c r="I342" i="4"/>
  <c r="I343" i="4"/>
  <c r="E382" i="15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C321" i="4"/>
  <c r="G321" i="4"/>
  <c r="H321" i="4"/>
  <c r="I321" i="4"/>
  <c r="E381" i="15"/>
  <c r="E380" i="15"/>
  <c r="D380" i="15"/>
  <c r="D379" i="15"/>
  <c r="E379" i="15"/>
  <c r="D378" i="15"/>
  <c r="E378" i="15"/>
  <c r="E375" i="15"/>
  <c r="D374" i="15"/>
  <c r="E374" i="15"/>
  <c r="E373" i="15"/>
  <c r="D372" i="15"/>
  <c r="E372" i="15"/>
  <c r="D371" i="15"/>
  <c r="E371" i="15"/>
  <c r="D370" i="15"/>
  <c r="E370" i="15"/>
  <c r="D369" i="15"/>
  <c r="E369" i="15"/>
  <c r="E368" i="15"/>
  <c r="D367" i="15"/>
  <c r="E367" i="15"/>
  <c r="D365" i="15"/>
  <c r="E365" i="15"/>
  <c r="E364" i="15"/>
  <c r="E363" i="15"/>
  <c r="D362" i="15"/>
  <c r="E362" i="15"/>
  <c r="E361" i="15"/>
  <c r="E360" i="15"/>
  <c r="E359" i="15"/>
  <c r="E358" i="15"/>
  <c r="D357" i="15"/>
  <c r="E357" i="15"/>
  <c r="E356" i="15"/>
  <c r="E355" i="15"/>
  <c r="E354" i="15"/>
  <c r="D353" i="15"/>
  <c r="E353" i="15"/>
  <c r="D352" i="15"/>
  <c r="E352" i="15"/>
  <c r="E351" i="15"/>
  <c r="E350" i="15"/>
  <c r="E349" i="15"/>
  <c r="D348" i="15"/>
  <c r="E348" i="15"/>
  <c r="D347" i="15"/>
  <c r="E347" i="15"/>
  <c r="E346" i="15"/>
  <c r="D345" i="15"/>
  <c r="E345" i="15"/>
  <c r="G269" i="14"/>
  <c r="H269" i="14"/>
  <c r="G267" i="14"/>
  <c r="H267" i="14"/>
  <c r="G266" i="14"/>
  <c r="H266" i="14"/>
  <c r="G265" i="14"/>
  <c r="H265" i="14"/>
  <c r="G264" i="14"/>
  <c r="H264" i="14"/>
  <c r="E344" i="15"/>
  <c r="D343" i="15"/>
  <c r="E343" i="15"/>
  <c r="D342" i="15"/>
  <c r="E342" i="15"/>
  <c r="D341" i="15"/>
  <c r="E341" i="15"/>
  <c r="E340" i="15"/>
  <c r="E339" i="15"/>
  <c r="E338" i="15"/>
  <c r="D337" i="15"/>
  <c r="E337" i="15"/>
  <c r="E336" i="15"/>
  <c r="E335" i="15"/>
  <c r="D334" i="15"/>
  <c r="E334" i="15"/>
  <c r="E333" i="15"/>
  <c r="E332" i="15"/>
  <c r="D331" i="15"/>
  <c r="E331" i="15"/>
  <c r="D330" i="15"/>
  <c r="E330" i="15"/>
  <c r="D329" i="15"/>
  <c r="E329" i="15"/>
  <c r="D328" i="15"/>
  <c r="E328" i="15"/>
  <c r="D327" i="15"/>
  <c r="E327" i="15"/>
  <c r="D326" i="15"/>
  <c r="E326" i="15"/>
  <c r="E325" i="15"/>
  <c r="E324" i="15"/>
  <c r="D323" i="15"/>
  <c r="E323" i="15"/>
  <c r="D322" i="15"/>
  <c r="E322" i="15"/>
  <c r="D321" i="15"/>
  <c r="E321" i="15"/>
  <c r="D320" i="15"/>
  <c r="E320" i="15"/>
  <c r="D319" i="15"/>
  <c r="E319" i="15"/>
  <c r="D318" i="15"/>
  <c r="E318" i="15"/>
  <c r="E317" i="15"/>
  <c r="D316" i="15"/>
  <c r="E316" i="15"/>
  <c r="D315" i="15"/>
  <c r="E315" i="15"/>
  <c r="D313" i="15"/>
  <c r="D314" i="15"/>
  <c r="E313" i="15"/>
  <c r="E314" i="15"/>
  <c r="D312" i="15"/>
  <c r="E312" i="15"/>
  <c r="D311" i="15"/>
  <c r="E311" i="15"/>
  <c r="D310" i="15"/>
  <c r="E310" i="15"/>
  <c r="E309" i="15"/>
  <c r="D308" i="15"/>
  <c r="E308" i="15"/>
  <c r="D307" i="15"/>
  <c r="E307" i="15"/>
  <c r="D306" i="15"/>
  <c r="E306" i="15"/>
  <c r="E305" i="15"/>
  <c r="E304" i="15"/>
  <c r="D303" i="15"/>
  <c r="E303" i="15"/>
  <c r="D302" i="15"/>
  <c r="E302" i="15"/>
  <c r="D301" i="15"/>
  <c r="E301" i="15"/>
  <c r="D300" i="15"/>
  <c r="E300" i="15"/>
  <c r="D299" i="15"/>
  <c r="E299" i="15"/>
  <c r="D298" i="15"/>
  <c r="E298" i="15"/>
  <c r="D297" i="15"/>
  <c r="E297" i="15"/>
  <c r="D296" i="15"/>
  <c r="E296" i="15"/>
  <c r="D295" i="15"/>
  <c r="E295" i="15"/>
  <c r="D294" i="15"/>
  <c r="E294" i="15"/>
  <c r="D293" i="15"/>
  <c r="E293" i="15"/>
  <c r="E292" i="15"/>
  <c r="D291" i="15"/>
  <c r="E291" i="15"/>
  <c r="D290" i="15"/>
  <c r="E290" i="15"/>
  <c r="E289" i="15"/>
  <c r="D288" i="15"/>
  <c r="E288" i="15"/>
  <c r="D287" i="15"/>
  <c r="E287" i="15"/>
  <c r="D286" i="15"/>
  <c r="E286" i="15"/>
  <c r="D285" i="15"/>
  <c r="E285" i="15"/>
  <c r="D284" i="15"/>
  <c r="E284" i="15"/>
  <c r="D283" i="15"/>
  <c r="E283" i="15"/>
  <c r="D282" i="15"/>
  <c r="E282" i="15"/>
  <c r="D277" i="15"/>
  <c r="E277" i="15"/>
  <c r="D281" i="15"/>
  <c r="E281" i="15"/>
  <c r="D280" i="15"/>
  <c r="E280" i="15"/>
  <c r="D279" i="15"/>
  <c r="E279" i="15"/>
  <c r="E278" i="15"/>
  <c r="D276" i="15"/>
  <c r="E276" i="15"/>
  <c r="D275" i="15"/>
  <c r="E275" i="15"/>
  <c r="E274" i="15"/>
  <c r="E273" i="15"/>
  <c r="D272" i="15"/>
  <c r="E272" i="15"/>
  <c r="D59" i="48"/>
  <c r="E271" i="15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C299" i="4"/>
  <c r="G299" i="4"/>
  <c r="H299" i="4"/>
  <c r="I299" i="4"/>
  <c r="C298" i="4"/>
  <c r="G298" i="4"/>
  <c r="H298" i="4"/>
  <c r="I298" i="4"/>
  <c r="C297" i="4"/>
  <c r="G297" i="4"/>
  <c r="H297" i="4"/>
  <c r="I297" i="4"/>
  <c r="D270" i="15"/>
  <c r="E270" i="15"/>
  <c r="D269" i="15"/>
  <c r="E269" i="15"/>
  <c r="D268" i="15"/>
  <c r="E268" i="15"/>
  <c r="D267" i="15"/>
  <c r="E267" i="15"/>
  <c r="D266" i="15"/>
  <c r="E266" i="15"/>
  <c r="D265" i="15"/>
  <c r="E265" i="15"/>
  <c r="E264" i="15"/>
  <c r="E263" i="15"/>
  <c r="D262" i="15"/>
  <c r="E262" i="15"/>
  <c r="D261" i="15"/>
  <c r="E261" i="15"/>
  <c r="E260" i="15"/>
  <c r="D259" i="15"/>
  <c r="E259" i="15"/>
  <c r="D258" i="15"/>
  <c r="E258" i="15"/>
  <c r="E257" i="15"/>
  <c r="D256" i="15"/>
  <c r="E256" i="15"/>
  <c r="E255" i="15"/>
  <c r="D254" i="15"/>
  <c r="E254" i="15"/>
  <c r="D253" i="15"/>
  <c r="E253" i="15"/>
  <c r="D252" i="15"/>
  <c r="E252" i="15"/>
  <c r="D251" i="15"/>
  <c r="E251" i="15"/>
  <c r="E250" i="15"/>
  <c r="D249" i="15"/>
  <c r="E249" i="15"/>
  <c r="E248" i="15"/>
  <c r="E247" i="15"/>
  <c r="D246" i="15"/>
  <c r="E246" i="15"/>
  <c r="D245" i="15"/>
  <c r="E245" i="15"/>
  <c r="D244" i="15"/>
  <c r="E244" i="15"/>
  <c r="D243" i="15"/>
  <c r="E243" i="15"/>
  <c r="D242" i="15"/>
  <c r="E242" i="15"/>
  <c r="E241" i="15"/>
  <c r="D240" i="15"/>
  <c r="E240" i="15"/>
  <c r="E239" i="15"/>
  <c r="E235" i="15"/>
  <c r="D234" i="15"/>
  <c r="E234" i="15"/>
  <c r="E233" i="15"/>
  <c r="D232" i="15"/>
  <c r="E232" i="15"/>
  <c r="E231" i="15"/>
  <c r="D230" i="15"/>
  <c r="E230" i="15"/>
  <c r="E229" i="15"/>
  <c r="D238" i="15"/>
  <c r="E238" i="15"/>
  <c r="E237" i="15"/>
  <c r="D236" i="15"/>
  <c r="E236" i="15"/>
  <c r="D221" i="15"/>
  <c r="E221" i="15"/>
  <c r="G221" i="15"/>
  <c r="D228" i="15"/>
  <c r="E228" i="15"/>
  <c r="G228" i="15"/>
  <c r="E227" i="15"/>
  <c r="G227" i="15"/>
  <c r="D226" i="15"/>
  <c r="E226" i="15"/>
  <c r="G226" i="15"/>
  <c r="D225" i="15"/>
  <c r="E225" i="15"/>
  <c r="G225" i="15"/>
  <c r="D222" i="15"/>
  <c r="E222" i="15"/>
  <c r="G222" i="15"/>
  <c r="D224" i="15"/>
  <c r="E224" i="15"/>
  <c r="G224" i="15"/>
  <c r="D223" i="15"/>
  <c r="E223" i="15"/>
  <c r="G223" i="15"/>
  <c r="D220" i="15"/>
  <c r="E220" i="15"/>
  <c r="G220" i="15"/>
  <c r="D219" i="15"/>
  <c r="E219" i="15"/>
  <c r="G219" i="15"/>
  <c r="D215" i="15"/>
  <c r="E215" i="15"/>
  <c r="G215" i="15"/>
  <c r="D216" i="15"/>
  <c r="E216" i="15"/>
  <c r="G216" i="15"/>
  <c r="D218" i="15"/>
  <c r="E218" i="15"/>
  <c r="G218" i="15"/>
  <c r="D217" i="15"/>
  <c r="E217" i="15"/>
  <c r="G217" i="15"/>
  <c r="D214" i="15"/>
  <c r="E214" i="15"/>
  <c r="G214" i="15"/>
  <c r="D213" i="15"/>
  <c r="E213" i="15"/>
  <c r="G213" i="15"/>
  <c r="D212" i="15"/>
  <c r="E212" i="15"/>
  <c r="G212" i="15"/>
  <c r="E211" i="15"/>
  <c r="G211" i="15"/>
  <c r="E210" i="15"/>
  <c r="G210" i="15"/>
  <c r="D209" i="15"/>
  <c r="E209" i="15"/>
  <c r="G209" i="15"/>
  <c r="D208" i="15"/>
  <c r="E208" i="15"/>
  <c r="G208" i="15"/>
  <c r="D207" i="15"/>
  <c r="E207" i="15"/>
  <c r="G207" i="15"/>
  <c r="D206" i="15"/>
  <c r="E206" i="15"/>
  <c r="G206" i="15"/>
  <c r="D205" i="15"/>
  <c r="E205" i="15"/>
  <c r="G205" i="15"/>
  <c r="D204" i="15"/>
  <c r="E204" i="15"/>
  <c r="G204" i="15"/>
  <c r="D200" i="15"/>
  <c r="E200" i="15"/>
  <c r="G200" i="15"/>
  <c r="D203" i="15"/>
  <c r="E203" i="15"/>
  <c r="G203" i="15"/>
  <c r="D202" i="15"/>
  <c r="E202" i="15"/>
  <c r="G202" i="15"/>
  <c r="D201" i="15"/>
  <c r="E201" i="15"/>
  <c r="G201" i="15"/>
  <c r="D199" i="15"/>
  <c r="E199" i="15"/>
  <c r="G199" i="15"/>
  <c r="D198" i="15"/>
  <c r="E198" i="15"/>
  <c r="G198" i="15"/>
  <c r="D197" i="15"/>
  <c r="E197" i="15"/>
  <c r="G197" i="15"/>
  <c r="D196" i="15"/>
  <c r="E196" i="15"/>
  <c r="G196" i="15"/>
  <c r="D195" i="15"/>
  <c r="E195" i="15"/>
  <c r="G195" i="15"/>
  <c r="D188" i="15"/>
  <c r="E188" i="15"/>
  <c r="G188" i="15"/>
  <c r="D194" i="15"/>
  <c r="E194" i="15"/>
  <c r="G194" i="15"/>
  <c r="D193" i="15"/>
  <c r="E193" i="15"/>
  <c r="G193" i="15"/>
  <c r="D192" i="15"/>
  <c r="E192" i="15"/>
  <c r="G192" i="15"/>
  <c r="D191" i="15"/>
  <c r="E191" i="15"/>
  <c r="G191" i="15"/>
  <c r="E190" i="15"/>
  <c r="G190" i="15"/>
  <c r="D189" i="15"/>
  <c r="E189" i="15"/>
  <c r="G189" i="15"/>
  <c r="D187" i="15"/>
  <c r="E187" i="15"/>
  <c r="G187" i="15"/>
  <c r="D186" i="15"/>
  <c r="E186" i="15"/>
  <c r="G186" i="15"/>
  <c r="D185" i="15"/>
  <c r="E185" i="15"/>
  <c r="G185" i="15"/>
  <c r="D184" i="15"/>
  <c r="E184" i="15"/>
  <c r="G184" i="15"/>
  <c r="D183" i="15"/>
  <c r="E183" i="15"/>
  <c r="G183" i="15"/>
  <c r="D182" i="15"/>
  <c r="E182" i="15"/>
  <c r="G182" i="15"/>
  <c r="D181" i="15"/>
  <c r="E181" i="15"/>
  <c r="G181" i="15"/>
  <c r="D180" i="15"/>
  <c r="E180" i="15"/>
  <c r="G180" i="15"/>
  <c r="D179" i="15"/>
  <c r="E179" i="15"/>
  <c r="G179" i="15"/>
  <c r="D178" i="15"/>
  <c r="E178" i="15"/>
  <c r="G178" i="15"/>
  <c r="D177" i="15"/>
  <c r="E177" i="15"/>
  <c r="G177" i="15"/>
  <c r="D176" i="15"/>
  <c r="E176" i="15"/>
  <c r="G176" i="15"/>
  <c r="D175" i="15"/>
  <c r="E175" i="15"/>
  <c r="G175" i="15"/>
  <c r="D174" i="15"/>
  <c r="E174" i="15"/>
  <c r="G174" i="15"/>
  <c r="D173" i="15"/>
  <c r="E173" i="15"/>
  <c r="G173" i="15"/>
  <c r="D172" i="15"/>
  <c r="E172" i="15"/>
  <c r="G172" i="15"/>
  <c r="D171" i="15"/>
  <c r="E171" i="15"/>
  <c r="G171" i="15"/>
  <c r="D170" i="15"/>
  <c r="E170" i="15"/>
  <c r="G170" i="15"/>
  <c r="D169" i="15"/>
  <c r="E169" i="15"/>
  <c r="G169" i="15"/>
  <c r="D168" i="15"/>
  <c r="E168" i="15"/>
  <c r="G168" i="15"/>
  <c r="D167" i="15"/>
  <c r="E167" i="15"/>
  <c r="G167" i="15"/>
  <c r="D166" i="15"/>
  <c r="E166" i="15"/>
  <c r="G166" i="15"/>
  <c r="D165" i="15"/>
  <c r="E165" i="15"/>
  <c r="G165" i="15"/>
  <c r="D164" i="15"/>
  <c r="E164" i="15"/>
  <c r="G164" i="15"/>
  <c r="D163" i="15"/>
  <c r="E163" i="15"/>
  <c r="G163" i="15"/>
  <c r="D162" i="15"/>
  <c r="E162" i="15"/>
  <c r="G162" i="15"/>
  <c r="E161" i="15"/>
  <c r="G161" i="15"/>
  <c r="D160" i="15"/>
  <c r="E160" i="15"/>
  <c r="G160" i="15"/>
  <c r="E159" i="15"/>
  <c r="G159" i="15"/>
  <c r="D158" i="15"/>
  <c r="E158" i="15"/>
  <c r="G158" i="15"/>
  <c r="E157" i="15"/>
  <c r="G157" i="15"/>
  <c r="E156" i="15"/>
  <c r="G156" i="15"/>
  <c r="D155" i="15"/>
  <c r="E155" i="15"/>
  <c r="G155" i="15"/>
  <c r="E154" i="15"/>
  <c r="G154" i="15"/>
  <c r="E153" i="15"/>
  <c r="G153" i="15"/>
  <c r="D152" i="15"/>
  <c r="E152" i="15"/>
  <c r="G152" i="15"/>
  <c r="D151" i="15"/>
  <c r="E151" i="15"/>
  <c r="G151" i="15"/>
  <c r="E150" i="15"/>
  <c r="G150" i="15"/>
  <c r="D149" i="15"/>
  <c r="E149" i="15"/>
  <c r="G149" i="15"/>
  <c r="D148" i="15"/>
  <c r="E148" i="15"/>
  <c r="G148" i="15"/>
  <c r="D147" i="15"/>
  <c r="E147" i="15"/>
  <c r="G147" i="15"/>
  <c r="D146" i="15"/>
  <c r="E146" i="15"/>
  <c r="G146" i="15"/>
  <c r="D145" i="15"/>
  <c r="E145" i="15"/>
  <c r="G145" i="15"/>
  <c r="E20" i="16"/>
  <c r="A20" i="16"/>
  <c r="I20" i="16" s="1"/>
  <c r="G243" i="14"/>
  <c r="H243" i="14"/>
  <c r="I243" i="14"/>
  <c r="G244" i="14"/>
  <c r="H244" i="14"/>
  <c r="I244" i="14"/>
  <c r="C295" i="4"/>
  <c r="C296" i="4"/>
  <c r="G295" i="4"/>
  <c r="G296" i="4"/>
  <c r="H295" i="4"/>
  <c r="H296" i="4"/>
  <c r="I295" i="4"/>
  <c r="I296" i="4"/>
  <c r="C243" i="14"/>
  <c r="C244" i="14"/>
  <c r="G127" i="15"/>
  <c r="G144" i="15"/>
  <c r="E144" i="15"/>
  <c r="D144" i="15"/>
  <c r="G143" i="15"/>
  <c r="E143" i="15"/>
  <c r="D143" i="15"/>
  <c r="D133" i="15"/>
  <c r="E132" i="15"/>
  <c r="E133" i="15"/>
  <c r="E134" i="15"/>
  <c r="E135" i="15"/>
  <c r="E136" i="15"/>
  <c r="E137" i="15"/>
  <c r="E138" i="15"/>
  <c r="E139" i="15"/>
  <c r="E140" i="15"/>
  <c r="E141" i="15"/>
  <c r="E142" i="15"/>
  <c r="G132" i="15"/>
  <c r="G133" i="15"/>
  <c r="G134" i="15"/>
  <c r="G135" i="15"/>
  <c r="G136" i="15"/>
  <c r="G137" i="15"/>
  <c r="G138" i="15"/>
  <c r="G139" i="15"/>
  <c r="G140" i="15"/>
  <c r="G141" i="15"/>
  <c r="G142" i="15"/>
  <c r="E131" i="15"/>
  <c r="G131" i="15"/>
  <c r="E130" i="15"/>
  <c r="G130" i="15"/>
  <c r="D129" i="15"/>
  <c r="E129" i="15"/>
  <c r="G129" i="15"/>
  <c r="D59" i="47"/>
  <c r="D128" i="15"/>
  <c r="E128" i="15"/>
  <c r="G128" i="15"/>
  <c r="E127" i="15"/>
  <c r="E126" i="15"/>
  <c r="G126" i="15"/>
  <c r="E125" i="15"/>
  <c r="G125" i="15"/>
  <c r="D124" i="15"/>
  <c r="E124" i="15"/>
  <c r="G124" i="15"/>
  <c r="E123" i="15"/>
  <c r="G123" i="15"/>
  <c r="E122" i="15"/>
  <c r="G122" i="15"/>
  <c r="E121" i="15"/>
  <c r="G121" i="15"/>
  <c r="D120" i="15"/>
  <c r="E120" i="15"/>
  <c r="G120" i="15"/>
  <c r="D119" i="15"/>
  <c r="E119" i="15"/>
  <c r="G119" i="15"/>
  <c r="D118" i="15"/>
  <c r="E118" i="15"/>
  <c r="G118" i="15"/>
  <c r="D117" i="15"/>
  <c r="E117" i="15"/>
  <c r="G117" i="15"/>
  <c r="D116" i="15"/>
  <c r="E116" i="15"/>
  <c r="G116" i="15"/>
  <c r="D115" i="15"/>
  <c r="E115" i="15"/>
  <c r="G115" i="15"/>
  <c r="C294" i="4"/>
  <c r="G294" i="4"/>
  <c r="H294" i="4"/>
  <c r="I294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D114" i="15"/>
  <c r="E114" i="15"/>
  <c r="G114" i="15"/>
  <c r="E113" i="15"/>
  <c r="G113" i="15"/>
  <c r="D112" i="15"/>
  <c r="E21" i="16"/>
  <c r="E112" i="15"/>
  <c r="G112" i="15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D111" i="15"/>
  <c r="E111" i="15"/>
  <c r="G111" i="15"/>
  <c r="D39" i="15"/>
  <c r="D40" i="15"/>
  <c r="E26" i="16"/>
  <c r="D110" i="15"/>
  <c r="E110" i="15"/>
  <c r="G110" i="15"/>
  <c r="D109" i="15"/>
  <c r="E109" i="15"/>
  <c r="G109" i="15"/>
  <c r="G108" i="15"/>
  <c r="E108" i="15"/>
  <c r="D108" i="15"/>
  <c r="D99" i="15"/>
  <c r="D100" i="15"/>
  <c r="D101" i="15"/>
  <c r="D102" i="15"/>
  <c r="D103" i="15"/>
  <c r="D104" i="15"/>
  <c r="D105" i="15"/>
  <c r="D106" i="15"/>
  <c r="D107" i="15"/>
  <c r="E99" i="15"/>
  <c r="E100" i="15"/>
  <c r="E101" i="15"/>
  <c r="E102" i="15"/>
  <c r="E103" i="15"/>
  <c r="E104" i="15"/>
  <c r="E105" i="15"/>
  <c r="E106" i="15"/>
  <c r="E107" i="15"/>
  <c r="G99" i="15"/>
  <c r="G100" i="15"/>
  <c r="G101" i="15"/>
  <c r="G102" i="15"/>
  <c r="G103" i="15"/>
  <c r="G104" i="15"/>
  <c r="G105" i="15"/>
  <c r="G106" i="15"/>
  <c r="G107" i="15"/>
  <c r="D98" i="15"/>
  <c r="E98" i="15"/>
  <c r="G98" i="15"/>
  <c r="D88" i="15"/>
  <c r="D89" i="15"/>
  <c r="D90" i="15"/>
  <c r="D91" i="15"/>
  <c r="D92" i="15"/>
  <c r="D93" i="15"/>
  <c r="D94" i="15"/>
  <c r="D95" i="15"/>
  <c r="D96" i="15"/>
  <c r="D97" i="15"/>
  <c r="E88" i="15"/>
  <c r="E89" i="15"/>
  <c r="E90" i="15"/>
  <c r="E91" i="15"/>
  <c r="E92" i="15"/>
  <c r="E93" i="15"/>
  <c r="E94" i="15"/>
  <c r="E95" i="15"/>
  <c r="E96" i="15"/>
  <c r="E97" i="15"/>
  <c r="G88" i="15"/>
  <c r="G89" i="15"/>
  <c r="G90" i="15"/>
  <c r="G91" i="15"/>
  <c r="G92" i="15"/>
  <c r="G93" i="15"/>
  <c r="G94" i="15"/>
  <c r="G95" i="15"/>
  <c r="G96" i="15"/>
  <c r="G97" i="15"/>
  <c r="D80" i="15"/>
  <c r="D81" i="15"/>
  <c r="D82" i="15"/>
  <c r="D83" i="15"/>
  <c r="D84" i="15"/>
  <c r="D85" i="15"/>
  <c r="D86" i="15"/>
  <c r="D87" i="15"/>
  <c r="E80" i="15"/>
  <c r="E81" i="15"/>
  <c r="E82" i="15"/>
  <c r="E83" i="15"/>
  <c r="E84" i="15"/>
  <c r="E85" i="15"/>
  <c r="E86" i="15"/>
  <c r="E87" i="15"/>
  <c r="G80" i="15"/>
  <c r="G81" i="15"/>
  <c r="G82" i="15"/>
  <c r="G83" i="15"/>
  <c r="G84" i="15"/>
  <c r="G85" i="15"/>
  <c r="G86" i="15"/>
  <c r="G87" i="15"/>
  <c r="D73" i="15"/>
  <c r="D74" i="15"/>
  <c r="D75" i="15"/>
  <c r="D76" i="15"/>
  <c r="D77" i="15"/>
  <c r="D78" i="15"/>
  <c r="D79" i="15"/>
  <c r="E73" i="15"/>
  <c r="E74" i="15"/>
  <c r="E75" i="15"/>
  <c r="E76" i="15"/>
  <c r="E77" i="15"/>
  <c r="E78" i="15"/>
  <c r="E79" i="15"/>
  <c r="G73" i="15"/>
  <c r="G74" i="15"/>
  <c r="G75" i="15"/>
  <c r="G76" i="15"/>
  <c r="G77" i="15"/>
  <c r="G78" i="15"/>
  <c r="G79" i="15"/>
  <c r="D49" i="15"/>
  <c r="E49" i="15"/>
  <c r="G49" i="15"/>
  <c r="D48" i="15"/>
  <c r="E48" i="15"/>
  <c r="G48" i="15"/>
  <c r="D50" i="15"/>
  <c r="E50" i="15"/>
  <c r="G50" i="15"/>
  <c r="D63" i="15"/>
  <c r="D64" i="15"/>
  <c r="D65" i="15"/>
  <c r="D66" i="15"/>
  <c r="D67" i="15"/>
  <c r="D68" i="15"/>
  <c r="D69" i="15"/>
  <c r="D70" i="15"/>
  <c r="D71" i="15"/>
  <c r="D72" i="15"/>
  <c r="E63" i="15"/>
  <c r="E64" i="15"/>
  <c r="E65" i="15"/>
  <c r="E66" i="15"/>
  <c r="E67" i="15"/>
  <c r="E68" i="15"/>
  <c r="E69" i="15"/>
  <c r="E70" i="15"/>
  <c r="E71" i="15"/>
  <c r="E72" i="15"/>
  <c r="G63" i="15"/>
  <c r="G64" i="15"/>
  <c r="G65" i="15"/>
  <c r="G66" i="15"/>
  <c r="G67" i="15"/>
  <c r="G68" i="15"/>
  <c r="G69" i="15"/>
  <c r="G70" i="15"/>
  <c r="G71" i="15"/>
  <c r="G72" i="15"/>
  <c r="D53" i="15"/>
  <c r="D54" i="15"/>
  <c r="D55" i="15"/>
  <c r="D56" i="15"/>
  <c r="D57" i="15"/>
  <c r="D58" i="15"/>
  <c r="D59" i="15"/>
  <c r="D60" i="15"/>
  <c r="D61" i="15"/>
  <c r="D62" i="15"/>
  <c r="E53" i="15"/>
  <c r="E54" i="15"/>
  <c r="E55" i="15"/>
  <c r="E56" i="15"/>
  <c r="E57" i="15"/>
  <c r="E58" i="15"/>
  <c r="E59" i="15"/>
  <c r="E60" i="15"/>
  <c r="E61" i="15"/>
  <c r="E62" i="15"/>
  <c r="G53" i="15"/>
  <c r="G54" i="15"/>
  <c r="G55" i="15"/>
  <c r="G56" i="15"/>
  <c r="G57" i="15"/>
  <c r="G58" i="15"/>
  <c r="G59" i="15"/>
  <c r="G60" i="15"/>
  <c r="G61" i="15"/>
  <c r="G62" i="15"/>
  <c r="D52" i="15"/>
  <c r="E52" i="15"/>
  <c r="G52" i="15"/>
  <c r="D51" i="15"/>
  <c r="E51" i="15"/>
  <c r="G51" i="15"/>
  <c r="D47" i="15"/>
  <c r="E47" i="15"/>
  <c r="G47" i="15"/>
  <c r="D46" i="15"/>
  <c r="E46" i="15"/>
  <c r="G46" i="15"/>
  <c r="D45" i="15"/>
  <c r="E45" i="15"/>
  <c r="G45" i="15"/>
  <c r="D44" i="15"/>
  <c r="E44" i="15"/>
  <c r="G44" i="15"/>
  <c r="D43" i="15"/>
  <c r="E43" i="15"/>
  <c r="G43" i="15"/>
  <c r="D42" i="15"/>
  <c r="E42" i="15"/>
  <c r="G42" i="15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B242" i="14"/>
  <c r="C242" i="14"/>
  <c r="I242" i="14"/>
  <c r="B241" i="14"/>
  <c r="C241" i="14"/>
  <c r="I241" i="14"/>
  <c r="B240" i="14"/>
  <c r="I240" i="1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C4" i="14"/>
  <c r="C7" i="14"/>
  <c r="C12" i="14"/>
  <c r="C13" i="14"/>
  <c r="C15" i="14"/>
  <c r="C21" i="14"/>
  <c r="C22" i="14"/>
  <c r="C28" i="14"/>
  <c r="C37" i="14"/>
  <c r="C43" i="14"/>
  <c r="C45" i="14"/>
  <c r="C47" i="14"/>
  <c r="C52" i="14"/>
  <c r="C53" i="14"/>
  <c r="C61" i="14"/>
  <c r="C67" i="14"/>
  <c r="C76" i="14"/>
  <c r="C77" i="14"/>
  <c r="C85" i="14"/>
  <c r="C91" i="14"/>
  <c r="C92" i="14"/>
  <c r="C93" i="14"/>
  <c r="C95" i="14"/>
  <c r="C109" i="14"/>
  <c r="C117" i="14"/>
  <c r="C119" i="14"/>
  <c r="C124" i="14"/>
  <c r="C127" i="14"/>
  <c r="C132" i="14"/>
  <c r="C133" i="14"/>
  <c r="C138" i="14"/>
  <c r="C140" i="14"/>
  <c r="C141" i="14"/>
  <c r="C147" i="14"/>
  <c r="C148" i="14"/>
  <c r="C149" i="14"/>
  <c r="C151" i="14"/>
  <c r="C156" i="14"/>
  <c r="C159" i="14"/>
  <c r="C165" i="14"/>
  <c r="C167" i="14"/>
  <c r="C170" i="14"/>
  <c r="C172" i="14"/>
  <c r="C173" i="14"/>
  <c r="C181" i="14"/>
  <c r="C183" i="14"/>
  <c r="C188" i="14"/>
  <c r="C189" i="14"/>
  <c r="C203" i="14"/>
  <c r="C204" i="14"/>
  <c r="C205" i="14"/>
  <c r="C207" i="14"/>
  <c r="C212" i="14"/>
  <c r="C221" i="14"/>
  <c r="C223" i="14"/>
  <c r="C224" i="14"/>
  <c r="C225" i="14"/>
  <c r="C226" i="14"/>
  <c r="C227" i="14"/>
  <c r="B2" i="14"/>
  <c r="C2" i="4"/>
  <c r="G2" i="4"/>
  <c r="H2" i="4"/>
  <c r="I2" i="4"/>
  <c r="L2" i="4"/>
  <c r="C25" i="14"/>
  <c r="C33" i="14"/>
  <c r="C36" i="14"/>
  <c r="C39" i="14"/>
  <c r="C42" i="14"/>
  <c r="C49" i="14"/>
  <c r="C51" i="14"/>
  <c r="C55" i="14"/>
  <c r="C57" i="14"/>
  <c r="C59" i="14"/>
  <c r="C60" i="14"/>
  <c r="C63" i="14"/>
  <c r="C65" i="14"/>
  <c r="C66" i="14"/>
  <c r="C73" i="14"/>
  <c r="C74" i="14"/>
  <c r="C75" i="14"/>
  <c r="C79" i="14"/>
  <c r="C81" i="14"/>
  <c r="C82" i="14"/>
  <c r="C83" i="14"/>
  <c r="C84" i="14"/>
  <c r="C87" i="14"/>
  <c r="C88" i="14"/>
  <c r="C89" i="14"/>
  <c r="C90" i="14"/>
  <c r="C96" i="14"/>
  <c r="C97" i="14"/>
  <c r="C98" i="14"/>
  <c r="C99" i="14"/>
  <c r="C103" i="14"/>
  <c r="C105" i="14"/>
  <c r="C106" i="14"/>
  <c r="C107" i="14"/>
  <c r="C108" i="14"/>
  <c r="C111" i="14"/>
  <c r="C112" i="14"/>
  <c r="C113" i="14"/>
  <c r="C115" i="14"/>
  <c r="C120" i="14"/>
  <c r="C121" i="14"/>
  <c r="C123" i="14"/>
  <c r="C125" i="14"/>
  <c r="C129" i="14"/>
  <c r="C130" i="14"/>
  <c r="C131" i="14"/>
  <c r="C135" i="14"/>
  <c r="C137" i="14"/>
  <c r="C139" i="14"/>
  <c r="C143" i="14"/>
  <c r="C145" i="14"/>
  <c r="C146" i="14"/>
  <c r="C152" i="14"/>
  <c r="C153" i="14"/>
  <c r="C155" i="14"/>
  <c r="C157" i="14"/>
  <c r="C161" i="14"/>
  <c r="C162" i="14"/>
  <c r="C163" i="14"/>
  <c r="C164" i="14"/>
  <c r="C168" i="14"/>
  <c r="C169" i="14"/>
  <c r="C171" i="14"/>
  <c r="C175" i="14"/>
  <c r="C176" i="14"/>
  <c r="C177" i="14"/>
  <c r="C178" i="14"/>
  <c r="C179" i="14"/>
  <c r="C185" i="14"/>
  <c r="C186" i="14"/>
  <c r="C187" i="14"/>
  <c r="C191" i="14"/>
  <c r="C192" i="14"/>
  <c r="C193" i="14"/>
  <c r="C194" i="14"/>
  <c r="C195" i="14"/>
  <c r="C196" i="14"/>
  <c r="C199" i="14"/>
  <c r="C201" i="14"/>
  <c r="C202" i="14"/>
  <c r="C208" i="14"/>
  <c r="C209" i="14"/>
  <c r="C210" i="14"/>
  <c r="C211" i="14"/>
  <c r="C215" i="14"/>
  <c r="C217" i="14"/>
  <c r="C218" i="14"/>
  <c r="C220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196" i="14"/>
  <c r="I197" i="14"/>
  <c r="I198" i="14"/>
  <c r="I199" i="14"/>
  <c r="I200" i="14"/>
  <c r="I201" i="14"/>
  <c r="I202" i="14"/>
  <c r="I203" i="14"/>
  <c r="I204" i="14"/>
  <c r="I205" i="14"/>
  <c r="I206" i="14"/>
  <c r="C41" i="14"/>
  <c r="C44" i="14"/>
  <c r="C58" i="14"/>
  <c r="C68" i="14"/>
  <c r="C69" i="14"/>
  <c r="C71" i="14"/>
  <c r="C78" i="14"/>
  <c r="C100" i="14"/>
  <c r="C101" i="14"/>
  <c r="C114" i="14"/>
  <c r="C116" i="14"/>
  <c r="C174" i="14"/>
  <c r="C180" i="14"/>
  <c r="C197" i="14"/>
  <c r="C213" i="14"/>
  <c r="C219" i="14"/>
  <c r="D59" i="46"/>
  <c r="C267" i="4"/>
  <c r="C268" i="4"/>
  <c r="G267" i="4"/>
  <c r="G268" i="4"/>
  <c r="H267" i="4"/>
  <c r="H268" i="4"/>
  <c r="C258" i="4"/>
  <c r="C259" i="4"/>
  <c r="C260" i="4"/>
  <c r="C261" i="4"/>
  <c r="C262" i="4"/>
  <c r="C263" i="4"/>
  <c r="C264" i="4"/>
  <c r="C265" i="4"/>
  <c r="C266" i="4"/>
  <c r="G258" i="4"/>
  <c r="G259" i="4"/>
  <c r="G260" i="4"/>
  <c r="G261" i="4"/>
  <c r="G262" i="4"/>
  <c r="G263" i="4"/>
  <c r="G264" i="4"/>
  <c r="G265" i="4"/>
  <c r="G266" i="4"/>
  <c r="H258" i="4"/>
  <c r="H259" i="4"/>
  <c r="H260" i="4"/>
  <c r="H261" i="4"/>
  <c r="H262" i="4"/>
  <c r="H263" i="4"/>
  <c r="H264" i="4"/>
  <c r="H265" i="4"/>
  <c r="H266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I193" i="14"/>
  <c r="I194" i="14"/>
  <c r="I195" i="14"/>
  <c r="I192" i="14"/>
  <c r="D59" i="45"/>
  <c r="AV7" i="12"/>
  <c r="C237" i="4"/>
  <c r="C238" i="4"/>
  <c r="C239" i="4"/>
  <c r="C240" i="4"/>
  <c r="C241" i="4"/>
  <c r="C242" i="4"/>
  <c r="C243" i="4"/>
  <c r="C244" i="4"/>
  <c r="C245" i="4"/>
  <c r="G237" i="4"/>
  <c r="G238" i="4"/>
  <c r="G239" i="4"/>
  <c r="G240" i="4"/>
  <c r="G241" i="4"/>
  <c r="G242" i="4"/>
  <c r="G243" i="4"/>
  <c r="G244" i="4"/>
  <c r="G245" i="4"/>
  <c r="H237" i="4"/>
  <c r="H238" i="4"/>
  <c r="H239" i="4"/>
  <c r="H240" i="4"/>
  <c r="H241" i="4"/>
  <c r="H242" i="4"/>
  <c r="H243" i="4"/>
  <c r="H244" i="4"/>
  <c r="H245" i="4"/>
  <c r="C231" i="4"/>
  <c r="C232" i="4"/>
  <c r="C233" i="4"/>
  <c r="C234" i="4"/>
  <c r="C235" i="4"/>
  <c r="C236" i="4"/>
  <c r="G231" i="4"/>
  <c r="G232" i="4"/>
  <c r="G233" i="4"/>
  <c r="G234" i="4"/>
  <c r="G235" i="4"/>
  <c r="G236" i="4"/>
  <c r="H231" i="4"/>
  <c r="H232" i="4"/>
  <c r="H233" i="4"/>
  <c r="H234" i="4"/>
  <c r="H235" i="4"/>
  <c r="H236" i="4"/>
  <c r="C223" i="4"/>
  <c r="C224" i="4"/>
  <c r="C225" i="4"/>
  <c r="C226" i="4"/>
  <c r="C227" i="4"/>
  <c r="C228" i="4"/>
  <c r="C229" i="4"/>
  <c r="C230" i="4"/>
  <c r="G223" i="4"/>
  <c r="G224" i="4"/>
  <c r="G225" i="4"/>
  <c r="G226" i="4"/>
  <c r="G227" i="4"/>
  <c r="G228" i="4"/>
  <c r="G229" i="4"/>
  <c r="G230" i="4"/>
  <c r="H223" i="4"/>
  <c r="H224" i="4"/>
  <c r="H225" i="4"/>
  <c r="H226" i="4"/>
  <c r="H227" i="4"/>
  <c r="H228" i="4"/>
  <c r="H229" i="4"/>
  <c r="H230" i="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D59" i="44"/>
  <c r="G216" i="4"/>
  <c r="H205" i="4"/>
  <c r="G205" i="4"/>
  <c r="H204" i="4"/>
  <c r="G204" i="4"/>
  <c r="H210" i="4"/>
  <c r="G210" i="4"/>
  <c r="C214" i="4"/>
  <c r="C215" i="4"/>
  <c r="C216" i="4"/>
  <c r="C217" i="4"/>
  <c r="C218" i="4"/>
  <c r="C219" i="4"/>
  <c r="C220" i="4"/>
  <c r="C221" i="4"/>
  <c r="C222" i="4"/>
  <c r="G214" i="4"/>
  <c r="G215" i="4"/>
  <c r="G217" i="4"/>
  <c r="G218" i="4"/>
  <c r="G219" i="4"/>
  <c r="G220" i="4"/>
  <c r="G221" i="4"/>
  <c r="G222" i="4"/>
  <c r="H214" i="4"/>
  <c r="H215" i="4"/>
  <c r="H216" i="4"/>
  <c r="H217" i="4"/>
  <c r="H218" i="4"/>
  <c r="H219" i="4"/>
  <c r="H220" i="4"/>
  <c r="H221" i="4"/>
  <c r="H222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G201" i="4"/>
  <c r="G202" i="4"/>
  <c r="G203" i="4"/>
  <c r="G206" i="4"/>
  <c r="G207" i="4"/>
  <c r="G208" i="4"/>
  <c r="G209" i="4"/>
  <c r="G211" i="4"/>
  <c r="G212" i="4"/>
  <c r="G213" i="4"/>
  <c r="H201" i="4"/>
  <c r="H202" i="4"/>
  <c r="H203" i="4"/>
  <c r="H206" i="4"/>
  <c r="H207" i="4"/>
  <c r="H208" i="4"/>
  <c r="H209" i="4"/>
  <c r="H211" i="4"/>
  <c r="H212" i="4"/>
  <c r="H213" i="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D59" i="43"/>
  <c r="C196" i="4"/>
  <c r="C197" i="4"/>
  <c r="C198" i="4"/>
  <c r="C199" i="4"/>
  <c r="C200" i="4"/>
  <c r="G196" i="4"/>
  <c r="G197" i="4"/>
  <c r="G198" i="4"/>
  <c r="G199" i="4"/>
  <c r="G200" i="4"/>
  <c r="H196" i="4"/>
  <c r="H197" i="4"/>
  <c r="H198" i="4"/>
  <c r="H199" i="4"/>
  <c r="H200" i="4"/>
  <c r="C194" i="4"/>
  <c r="C195" i="4"/>
  <c r="G194" i="4"/>
  <c r="G195" i="4"/>
  <c r="H194" i="4"/>
  <c r="H195" i="4"/>
  <c r="C188" i="4"/>
  <c r="C189" i="4"/>
  <c r="C190" i="4"/>
  <c r="C191" i="4"/>
  <c r="C192" i="4"/>
  <c r="C193" i="4"/>
  <c r="G188" i="4"/>
  <c r="G189" i="4"/>
  <c r="G190" i="4"/>
  <c r="G191" i="4"/>
  <c r="G192" i="4"/>
  <c r="G193" i="4"/>
  <c r="H188" i="4"/>
  <c r="H189" i="4"/>
  <c r="H190" i="4"/>
  <c r="H191" i="4"/>
  <c r="H192" i="4"/>
  <c r="H193" i="4"/>
  <c r="I161" i="14"/>
  <c r="I160" i="14"/>
  <c r="I159" i="14"/>
  <c r="I158" i="14"/>
  <c r="I157" i="14"/>
  <c r="I156" i="14"/>
  <c r="I155" i="14"/>
  <c r="C154" i="14"/>
  <c r="I154" i="14"/>
  <c r="I153" i="14"/>
  <c r="I152" i="14"/>
  <c r="I151" i="14"/>
  <c r="C150" i="14"/>
  <c r="I150" i="14"/>
  <c r="I149" i="14"/>
  <c r="I148" i="14"/>
  <c r="I147" i="14"/>
  <c r="D59" i="42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D59" i="41"/>
  <c r="C161" i="4"/>
  <c r="C162" i="4"/>
  <c r="C163" i="4"/>
  <c r="C164" i="4"/>
  <c r="C165" i="4"/>
  <c r="C166" i="4"/>
  <c r="C167" i="4"/>
  <c r="G161" i="4"/>
  <c r="G162" i="4"/>
  <c r="G163" i="4"/>
  <c r="G164" i="4"/>
  <c r="G165" i="4"/>
  <c r="G166" i="4"/>
  <c r="G167" i="4"/>
  <c r="H161" i="4"/>
  <c r="H162" i="4"/>
  <c r="H163" i="4"/>
  <c r="H164" i="4"/>
  <c r="H165" i="4"/>
  <c r="H166" i="4"/>
  <c r="H167" i="4"/>
  <c r="C153" i="4"/>
  <c r="C154" i="4"/>
  <c r="C155" i="4"/>
  <c r="C156" i="4"/>
  <c r="C157" i="4"/>
  <c r="C158" i="4"/>
  <c r="C159" i="4"/>
  <c r="C160" i="4"/>
  <c r="G153" i="4"/>
  <c r="G154" i="4"/>
  <c r="G155" i="4"/>
  <c r="G156" i="4"/>
  <c r="G157" i="4"/>
  <c r="G158" i="4"/>
  <c r="G159" i="4"/>
  <c r="G160" i="4"/>
  <c r="H153" i="4"/>
  <c r="H154" i="4"/>
  <c r="H155" i="4"/>
  <c r="H156" i="4"/>
  <c r="H157" i="4"/>
  <c r="H158" i="4"/>
  <c r="H159" i="4"/>
  <c r="H160" i="4"/>
  <c r="I130" i="14"/>
  <c r="I129" i="14"/>
  <c r="I128" i="14"/>
  <c r="I127" i="14"/>
  <c r="C126" i="14"/>
  <c r="I126" i="14"/>
  <c r="I125" i="14"/>
  <c r="I124" i="14"/>
  <c r="I123" i="14"/>
  <c r="C122" i="14"/>
  <c r="I122" i="14"/>
  <c r="I121" i="14"/>
  <c r="I120" i="14"/>
  <c r="I119" i="14"/>
  <c r="C118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D41" i="15"/>
  <c r="E41" i="15"/>
  <c r="G41" i="15"/>
  <c r="E40" i="15"/>
  <c r="E39" i="15"/>
  <c r="G40" i="15"/>
  <c r="D59" i="40"/>
  <c r="I98" i="14"/>
  <c r="I97" i="14"/>
  <c r="C151" i="4"/>
  <c r="C152" i="4"/>
  <c r="G151" i="4"/>
  <c r="G152" i="4"/>
  <c r="H151" i="4"/>
  <c r="H152" i="4"/>
  <c r="C141" i="4"/>
  <c r="C142" i="4"/>
  <c r="C143" i="4"/>
  <c r="C144" i="4"/>
  <c r="C145" i="4"/>
  <c r="C146" i="4"/>
  <c r="C147" i="4"/>
  <c r="C148" i="4"/>
  <c r="C149" i="4"/>
  <c r="C150" i="4"/>
  <c r="G141" i="4"/>
  <c r="G142" i="4"/>
  <c r="G143" i="4"/>
  <c r="G144" i="4"/>
  <c r="G145" i="4"/>
  <c r="G146" i="4"/>
  <c r="G147" i="4"/>
  <c r="G148" i="4"/>
  <c r="G149" i="4"/>
  <c r="G150" i="4"/>
  <c r="H141" i="4"/>
  <c r="H142" i="4"/>
  <c r="H143" i="4"/>
  <c r="H144" i="4"/>
  <c r="H145" i="4"/>
  <c r="H146" i="4"/>
  <c r="H147" i="4"/>
  <c r="H148" i="4"/>
  <c r="H149" i="4"/>
  <c r="H150" i="4"/>
  <c r="C138" i="4"/>
  <c r="C139" i="4"/>
  <c r="C140" i="4"/>
  <c r="G138" i="4"/>
  <c r="G139" i="4"/>
  <c r="G140" i="4"/>
  <c r="H138" i="4"/>
  <c r="H139" i="4"/>
  <c r="H140" i="4"/>
  <c r="G39" i="15"/>
  <c r="D59" i="39"/>
  <c r="D38" i="15"/>
  <c r="E38" i="15"/>
  <c r="G38" i="15"/>
  <c r="C133" i="4"/>
  <c r="C134" i="4"/>
  <c r="C135" i="4"/>
  <c r="C136" i="4"/>
  <c r="C137" i="4"/>
  <c r="G133" i="4"/>
  <c r="G134" i="4"/>
  <c r="G135" i="4"/>
  <c r="G136" i="4"/>
  <c r="G137" i="4"/>
  <c r="H133" i="4"/>
  <c r="H134" i="4"/>
  <c r="H135" i="4"/>
  <c r="H136" i="4"/>
  <c r="H137" i="4"/>
  <c r="D59" i="38"/>
  <c r="D37" i="15"/>
  <c r="E37" i="15"/>
  <c r="G37" i="15"/>
  <c r="H128" i="4"/>
  <c r="H129" i="4"/>
  <c r="H130" i="4"/>
  <c r="H131" i="4"/>
  <c r="H132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H120" i="4"/>
  <c r="H121" i="4"/>
  <c r="H122" i="4"/>
  <c r="H123" i="4"/>
  <c r="H124" i="4"/>
  <c r="H125" i="4"/>
  <c r="H126" i="4"/>
  <c r="H127" i="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D36" i="15"/>
  <c r="E36" i="15"/>
  <c r="G36" i="15"/>
  <c r="D35" i="15"/>
  <c r="E35" i="15"/>
  <c r="G35" i="15"/>
  <c r="D34" i="15"/>
  <c r="E34" i="15"/>
  <c r="G34" i="15"/>
  <c r="D33" i="15"/>
  <c r="E33" i="15"/>
  <c r="G33" i="15"/>
  <c r="D59" i="37"/>
  <c r="D32" i="15"/>
  <c r="E32" i="15"/>
  <c r="G32" i="15"/>
  <c r="D31" i="15"/>
  <c r="E31" i="15"/>
  <c r="G31" i="15"/>
  <c r="H109" i="4"/>
  <c r="H110" i="4"/>
  <c r="H111" i="4"/>
  <c r="H112" i="4"/>
  <c r="H113" i="4"/>
  <c r="H114" i="4"/>
  <c r="H115" i="4"/>
  <c r="H116" i="4"/>
  <c r="H117" i="4"/>
  <c r="H118" i="4"/>
  <c r="H119" i="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D30" i="15"/>
  <c r="E30" i="15"/>
  <c r="G30" i="15"/>
  <c r="D29" i="15"/>
  <c r="E29" i="15"/>
  <c r="G29" i="15"/>
  <c r="D28" i="15"/>
  <c r="E28" i="15"/>
  <c r="G28" i="15"/>
  <c r="D27" i="15"/>
  <c r="E27" i="15"/>
  <c r="G27" i="15"/>
  <c r="D26" i="15"/>
  <c r="E26" i="15"/>
  <c r="G26" i="15"/>
  <c r="D25" i="15"/>
  <c r="E25" i="15"/>
  <c r="G25" i="15"/>
  <c r="D59" i="36"/>
  <c r="D24" i="15"/>
  <c r="E24" i="15"/>
  <c r="G24" i="15"/>
  <c r="H104" i="4"/>
  <c r="H105" i="4"/>
  <c r="H106" i="4"/>
  <c r="H107" i="4"/>
  <c r="H108" i="4"/>
  <c r="H99" i="4"/>
  <c r="H100" i="4"/>
  <c r="H101" i="4"/>
  <c r="H102" i="4"/>
  <c r="H103" i="4"/>
  <c r="H96" i="4"/>
  <c r="H97" i="4"/>
  <c r="H98" i="4"/>
  <c r="H93" i="4"/>
  <c r="H94" i="4"/>
  <c r="H95" i="4"/>
  <c r="H86" i="4"/>
  <c r="H87" i="4"/>
  <c r="H88" i="4"/>
  <c r="H89" i="4"/>
  <c r="H90" i="4"/>
  <c r="H91" i="4"/>
  <c r="H92" i="4"/>
  <c r="D23" i="15"/>
  <c r="E23" i="15"/>
  <c r="G23" i="15"/>
  <c r="D22" i="15"/>
  <c r="E22" i="15"/>
  <c r="G22" i="15"/>
  <c r="D21" i="15"/>
  <c r="E21" i="15"/>
  <c r="G21" i="15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C50" i="14"/>
  <c r="I50" i="14"/>
  <c r="D20" i="15"/>
  <c r="E20" i="15"/>
  <c r="G20" i="15"/>
  <c r="D19" i="15"/>
  <c r="E19" i="15"/>
  <c r="G19" i="15"/>
  <c r="D18" i="15"/>
  <c r="E18" i="15"/>
  <c r="G18" i="15"/>
  <c r="D17" i="15"/>
  <c r="E17" i="15"/>
  <c r="G17" i="15"/>
  <c r="D59" i="34"/>
  <c r="H84" i="4"/>
  <c r="H85" i="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C35" i="14"/>
  <c r="I35" i="14"/>
  <c r="C34" i="14"/>
  <c r="I34" i="14"/>
  <c r="I33" i="14"/>
  <c r="I32" i="14"/>
  <c r="C31" i="14"/>
  <c r="I31" i="14"/>
  <c r="I30" i="14"/>
  <c r="C29" i="14"/>
  <c r="I29" i="14"/>
  <c r="I28" i="14"/>
  <c r="C27" i="14"/>
  <c r="I27" i="14"/>
  <c r="C26" i="14"/>
  <c r="I26" i="14"/>
  <c r="I25" i="14"/>
  <c r="C24" i="14"/>
  <c r="I24" i="14"/>
  <c r="C23" i="14"/>
  <c r="I23" i="14"/>
  <c r="I22" i="14"/>
  <c r="I21" i="14"/>
  <c r="C20" i="14"/>
  <c r="I20" i="14"/>
  <c r="C19" i="14"/>
  <c r="I19" i="14"/>
  <c r="C18" i="14"/>
  <c r="I18" i="14"/>
  <c r="I17" i="14"/>
  <c r="C16" i="14"/>
  <c r="I16" i="14"/>
  <c r="I15" i="14"/>
  <c r="C14" i="14"/>
  <c r="I14" i="14"/>
  <c r="I13" i="14"/>
  <c r="I12" i="14"/>
  <c r="C11" i="14"/>
  <c r="I11" i="14"/>
  <c r="D16" i="15"/>
  <c r="E16" i="15"/>
  <c r="G16" i="15"/>
  <c r="D15" i="15"/>
  <c r="E15" i="15"/>
  <c r="G15" i="15"/>
  <c r="D14" i="15"/>
  <c r="E14" i="15"/>
  <c r="G14" i="15"/>
  <c r="D13" i="15"/>
  <c r="E13" i="15"/>
  <c r="G13" i="15"/>
  <c r="D12" i="15"/>
  <c r="E12" i="15"/>
  <c r="G12" i="15"/>
  <c r="D11" i="15"/>
  <c r="E11" i="15"/>
  <c r="G11" i="15"/>
  <c r="D10" i="15"/>
  <c r="E10" i="15"/>
  <c r="G10" i="15"/>
  <c r="C10" i="14"/>
  <c r="I10" i="14"/>
  <c r="C9" i="14"/>
  <c r="I9" i="14"/>
  <c r="I8" i="14"/>
  <c r="I7" i="14"/>
  <c r="C6" i="14"/>
  <c r="I6" i="14"/>
  <c r="D59" i="33"/>
  <c r="D9" i="15"/>
  <c r="E9" i="15"/>
  <c r="G9" i="15"/>
  <c r="D8" i="15"/>
  <c r="E8" i="15"/>
  <c r="G8" i="15"/>
  <c r="D7" i="15"/>
  <c r="E7" i="15"/>
  <c r="G7" i="15"/>
  <c r="D6" i="15"/>
  <c r="E6" i="15"/>
  <c r="G6" i="15"/>
  <c r="D5" i="15"/>
  <c r="E5" i="15"/>
  <c r="G5" i="15"/>
  <c r="D4" i="15"/>
  <c r="E4" i="15"/>
  <c r="G4" i="15"/>
  <c r="D3" i="15"/>
  <c r="E3" i="15"/>
  <c r="G3" i="15"/>
  <c r="D2" i="15"/>
  <c r="E2" i="15"/>
  <c r="G2" i="15"/>
  <c r="D59" i="32"/>
  <c r="C5" i="14"/>
  <c r="I5" i="14"/>
  <c r="I4" i="14"/>
  <c r="C3" i="14"/>
  <c r="I3" i="14"/>
  <c r="D59" i="31"/>
  <c r="C3" i="4"/>
  <c r="D59" i="29"/>
  <c r="D59" i="28"/>
  <c r="D59" i="26"/>
  <c r="E83" i="16"/>
  <c r="D55" i="25"/>
  <c r="G26" i="16"/>
  <c r="G27" i="16"/>
  <c r="D59" i="24"/>
  <c r="D38" i="23"/>
  <c r="D55" i="23" s="1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D38" i="22"/>
  <c r="D55" i="22" s="1"/>
  <c r="D20" i="21"/>
  <c r="D38" i="21" s="1"/>
  <c r="D55" i="21" s="1"/>
  <c r="D20" i="19"/>
  <c r="D20" i="20"/>
  <c r="D38" i="20" s="1"/>
  <c r="D55" i="20" s="1"/>
  <c r="D38" i="19"/>
  <c r="D55" i="19" s="1"/>
  <c r="D20" i="18"/>
  <c r="D38" i="18" s="1"/>
  <c r="D55" i="18" s="1"/>
  <c r="E86" i="16"/>
  <c r="E85" i="16"/>
  <c r="E84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5" i="16"/>
  <c r="E24" i="16"/>
  <c r="E23" i="16"/>
  <c r="E22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2" i="16"/>
  <c r="E3" i="16"/>
  <c r="G85" i="16"/>
  <c r="H85" i="16"/>
  <c r="G86" i="16"/>
  <c r="H86" i="16"/>
  <c r="A85" i="16"/>
  <c r="I85" i="16" s="1"/>
  <c r="A86" i="16"/>
  <c r="I86" i="16" s="1"/>
  <c r="A84" i="16"/>
  <c r="I84" i="16" s="1"/>
  <c r="A83" i="16"/>
  <c r="I83" i="16" s="1"/>
  <c r="A82" i="16"/>
  <c r="I82" i="16" s="1"/>
  <c r="A81" i="16"/>
  <c r="I81" i="16" s="1"/>
  <c r="A80" i="16"/>
  <c r="I80" i="16" s="1"/>
  <c r="A79" i="16"/>
  <c r="I79" i="16" s="1"/>
  <c r="A78" i="16"/>
  <c r="I78" i="16" s="1"/>
  <c r="A77" i="16"/>
  <c r="I77" i="16" s="1"/>
  <c r="A76" i="16"/>
  <c r="I76" i="16" s="1"/>
  <c r="A75" i="16"/>
  <c r="I75" i="16" s="1"/>
  <c r="A74" i="16"/>
  <c r="I74" i="16" s="1"/>
  <c r="A73" i="16"/>
  <c r="I73" i="16" s="1"/>
  <c r="A72" i="16"/>
  <c r="I72" i="16" s="1"/>
  <c r="A71" i="16"/>
  <c r="I71" i="16" s="1"/>
  <c r="A70" i="16"/>
  <c r="I70" i="16" s="1"/>
  <c r="A69" i="16"/>
  <c r="I69" i="16" s="1"/>
  <c r="A68" i="16"/>
  <c r="I68" i="16" s="1"/>
  <c r="A67" i="16"/>
  <c r="I67" i="16" s="1"/>
  <c r="A66" i="16"/>
  <c r="I66" i="16" s="1"/>
  <c r="A65" i="16"/>
  <c r="I65" i="16" s="1"/>
  <c r="A64" i="16"/>
  <c r="I64" i="16" s="1"/>
  <c r="A63" i="16"/>
  <c r="I63" i="16" s="1"/>
  <c r="A62" i="16"/>
  <c r="I62" i="16" s="1"/>
  <c r="A61" i="16"/>
  <c r="I61" i="16" s="1"/>
  <c r="A60" i="16"/>
  <c r="I60" i="16" s="1"/>
  <c r="A59" i="16"/>
  <c r="I59" i="16" s="1"/>
  <c r="A58" i="16"/>
  <c r="I58" i="16" s="1"/>
  <c r="A57" i="16"/>
  <c r="I57" i="16" s="1"/>
  <c r="A56" i="16"/>
  <c r="I56" i="16" s="1"/>
  <c r="A55" i="16"/>
  <c r="I55" i="16" s="1"/>
  <c r="A54" i="16"/>
  <c r="I54" i="16" s="1"/>
  <c r="A53" i="16"/>
  <c r="I53" i="16" s="1"/>
  <c r="A52" i="16"/>
  <c r="I52" i="16" s="1"/>
  <c r="A51" i="16"/>
  <c r="I51" i="16" s="1"/>
  <c r="A50" i="16"/>
  <c r="I50" i="16" s="1"/>
  <c r="A49" i="16"/>
  <c r="I49" i="16" s="1"/>
  <c r="A48" i="16"/>
  <c r="I48" i="16" s="1"/>
  <c r="A47" i="16"/>
  <c r="I47" i="16" s="1"/>
  <c r="A46" i="16"/>
  <c r="I46" i="16" s="1"/>
  <c r="A45" i="16"/>
  <c r="I45" i="16" s="1"/>
  <c r="A44" i="16"/>
  <c r="I44" i="16" s="1"/>
  <c r="A43" i="16"/>
  <c r="I43" i="16" s="1"/>
  <c r="A42" i="16"/>
  <c r="I42" i="16" s="1"/>
  <c r="A41" i="16"/>
  <c r="I41" i="16" s="1"/>
  <c r="A40" i="16"/>
  <c r="I40" i="16" s="1"/>
  <c r="A39" i="16"/>
  <c r="I39" i="16" s="1"/>
  <c r="A38" i="16"/>
  <c r="I38" i="16" s="1"/>
  <c r="A37" i="16"/>
  <c r="I37" i="16" s="1"/>
  <c r="A36" i="16"/>
  <c r="I36" i="16" s="1"/>
  <c r="A35" i="16"/>
  <c r="I35" i="16" s="1"/>
  <c r="A34" i="16"/>
  <c r="I34" i="16" s="1"/>
  <c r="A33" i="16"/>
  <c r="I33" i="16" s="1"/>
  <c r="A32" i="16"/>
  <c r="I32" i="16" s="1"/>
  <c r="A31" i="16"/>
  <c r="I31" i="16" s="1"/>
  <c r="A30" i="16"/>
  <c r="I30" i="16" s="1"/>
  <c r="A29" i="16"/>
  <c r="I29" i="16" s="1"/>
  <c r="A28" i="16"/>
  <c r="I28" i="16" s="1"/>
  <c r="A27" i="16"/>
  <c r="I27" i="16" s="1"/>
  <c r="A26" i="16"/>
  <c r="I26" i="16" s="1"/>
  <c r="A25" i="16"/>
  <c r="I25" i="16" s="1"/>
  <c r="A24" i="16"/>
  <c r="I24" i="16" s="1"/>
  <c r="A23" i="16"/>
  <c r="I23" i="16" s="1"/>
  <c r="A22" i="16"/>
  <c r="I22" i="16" s="1"/>
  <c r="A21" i="16"/>
  <c r="I21" i="16" s="1"/>
  <c r="A19" i="16"/>
  <c r="I19" i="16" s="1"/>
  <c r="A18" i="16"/>
  <c r="I18" i="16" s="1"/>
  <c r="A17" i="16"/>
  <c r="I17" i="16" s="1"/>
  <c r="A16" i="16"/>
  <c r="I16" i="16" s="1"/>
  <c r="A15" i="16"/>
  <c r="I15" i="16" s="1"/>
  <c r="A14" i="16"/>
  <c r="I14" i="16" s="1"/>
  <c r="A13" i="16"/>
  <c r="I13" i="16" s="1"/>
  <c r="A12" i="16"/>
  <c r="I12" i="16" s="1"/>
  <c r="A11" i="16"/>
  <c r="I11" i="16" s="1"/>
  <c r="A10" i="16"/>
  <c r="I10" i="16" s="1"/>
  <c r="A9" i="16"/>
  <c r="I9" i="16" s="1"/>
  <c r="A8" i="16"/>
  <c r="I8" i="16" s="1"/>
  <c r="A7" i="16"/>
  <c r="I7" i="16" s="1"/>
  <c r="A6" i="16"/>
  <c r="I6" i="16" s="1"/>
  <c r="A5" i="16"/>
  <c r="I5" i="16" s="1"/>
  <c r="A4" i="16"/>
  <c r="I4" i="16" s="1"/>
  <c r="A3" i="16"/>
  <c r="I3" i="16" s="1"/>
  <c r="A2" i="16"/>
  <c r="I2" i="16" s="1"/>
  <c r="B21" i="12"/>
  <c r="B22" i="12"/>
  <c r="B23" i="12"/>
  <c r="B24" i="12"/>
  <c r="B16" i="12"/>
  <c r="B17" i="12"/>
  <c r="B18" i="12"/>
  <c r="B19" i="12"/>
  <c r="B20" i="12"/>
  <c r="D20" i="17"/>
  <c r="D38" i="17" s="1"/>
  <c r="D56" i="17" s="1"/>
  <c r="D20" i="13"/>
  <c r="D38" i="13" s="1"/>
  <c r="D55" i="13" s="1"/>
  <c r="G84" i="16"/>
  <c r="H84" i="16"/>
  <c r="I2" i="14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1" i="16"/>
  <c r="H21" i="16"/>
  <c r="G22" i="16"/>
  <c r="H22" i="16"/>
  <c r="G23" i="16"/>
  <c r="H23" i="16"/>
  <c r="G24" i="16"/>
  <c r="H24" i="16"/>
  <c r="G25" i="16"/>
  <c r="H25" i="16"/>
  <c r="H26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H9" i="16"/>
  <c r="G9" i="16"/>
  <c r="H8" i="16"/>
  <c r="G8" i="16"/>
  <c r="H7" i="16"/>
  <c r="G7" i="16"/>
  <c r="H6" i="16"/>
  <c r="G6" i="16"/>
  <c r="H5" i="16"/>
  <c r="G5" i="16"/>
  <c r="H4" i="16"/>
  <c r="G4" i="16"/>
  <c r="H3" i="16"/>
  <c r="G3" i="16"/>
  <c r="H2" i="16"/>
  <c r="G2" i="16"/>
  <c r="B10" i="12"/>
  <c r="B11" i="12"/>
  <c r="B12" i="12"/>
  <c r="B13" i="12"/>
  <c r="B14" i="12"/>
  <c r="B15" i="12"/>
  <c r="E3" i="14" l="1"/>
  <c r="E5" i="14"/>
  <c r="E6" i="14"/>
  <c r="E16" i="14"/>
  <c r="E20" i="14"/>
  <c r="E23" i="14"/>
  <c r="E24" i="14"/>
  <c r="E180" i="14"/>
  <c r="G180" i="14" s="1"/>
  <c r="E116" i="14"/>
  <c r="E101" i="14"/>
  <c r="E100" i="14"/>
  <c r="E69" i="14"/>
  <c r="E68" i="14"/>
  <c r="E196" i="14"/>
  <c r="E192" i="14"/>
  <c r="E191" i="14"/>
  <c r="E176" i="14"/>
  <c r="E168" i="14"/>
  <c r="E164" i="14"/>
  <c r="E152" i="14"/>
  <c r="E120" i="14"/>
  <c r="E112" i="14"/>
  <c r="E96" i="14"/>
  <c r="E88" i="14"/>
  <c r="E84" i="14"/>
  <c r="E36" i="14"/>
  <c r="E227" i="14"/>
  <c r="E212" i="14"/>
  <c r="E207" i="14"/>
  <c r="E205" i="14"/>
  <c r="G205" i="14" s="1"/>
  <c r="E181" i="14"/>
  <c r="G181" i="14" s="1"/>
  <c r="E165" i="14"/>
  <c r="E149" i="14"/>
  <c r="E148" i="14"/>
  <c r="E133" i="14"/>
  <c r="E132" i="14"/>
  <c r="E117" i="14"/>
  <c r="E85" i="14"/>
  <c r="E53" i="14"/>
  <c r="E52" i="14"/>
  <c r="E37" i="14"/>
  <c r="G37" i="14" s="1"/>
  <c r="E21" i="14"/>
  <c r="E15" i="14"/>
  <c r="E7" i="14"/>
  <c r="E4" i="14"/>
  <c r="E241" i="14"/>
  <c r="E242" i="14"/>
  <c r="G242" i="14" s="1"/>
  <c r="E228" i="14"/>
  <c r="E229" i="14"/>
  <c r="E230" i="14"/>
  <c r="E231" i="14"/>
  <c r="E232" i="14"/>
  <c r="E233" i="14"/>
  <c r="E234" i="14"/>
  <c r="H234" i="14" s="1"/>
  <c r="E235" i="14"/>
  <c r="E236" i="14"/>
  <c r="E237" i="14"/>
  <c r="E238" i="14"/>
  <c r="E239" i="14"/>
  <c r="C216" i="14"/>
  <c r="E216" i="14" s="1"/>
  <c r="G216" i="14" s="1"/>
  <c r="C206" i="14"/>
  <c r="E206" i="14" s="1"/>
  <c r="G206" i="14" s="1"/>
  <c r="C200" i="14"/>
  <c r="C184" i="14"/>
  <c r="E184" i="14" s="1"/>
  <c r="G184" i="14" s="1"/>
  <c r="C160" i="14"/>
  <c r="E160" i="14" s="1"/>
  <c r="C158" i="14"/>
  <c r="C144" i="14"/>
  <c r="E144" i="14" s="1"/>
  <c r="C128" i="14"/>
  <c r="E128" i="14" s="1"/>
  <c r="C110" i="14"/>
  <c r="C104" i="14"/>
  <c r="E104" i="14" s="1"/>
  <c r="C80" i="14"/>
  <c r="E80" i="14" s="1"/>
  <c r="C72" i="14"/>
  <c r="E72" i="14" s="1"/>
  <c r="C70" i="14"/>
  <c r="C64" i="14"/>
  <c r="E64" i="14" s="1"/>
  <c r="C56" i="14"/>
  <c r="E56" i="14" s="1"/>
  <c r="C48" i="14"/>
  <c r="E48" i="14" s="1"/>
  <c r="C40" i="14"/>
  <c r="E40" i="14" s="1"/>
  <c r="C32" i="14"/>
  <c r="E32" i="14" s="1"/>
  <c r="C30" i="14"/>
  <c r="C8" i="14"/>
  <c r="E8" i="14" s="1"/>
  <c r="C240" i="14"/>
  <c r="E240" i="14" s="1"/>
  <c r="G240" i="14" s="1"/>
  <c r="H242" i="14"/>
  <c r="G234" i="14"/>
  <c r="H240" i="14"/>
  <c r="E223" i="14"/>
  <c r="E220" i="14"/>
  <c r="H220" i="14" s="1"/>
  <c r="E221" i="14"/>
  <c r="G207" i="14"/>
  <c r="H207" i="14"/>
  <c r="G223" i="14"/>
  <c r="H223" i="14"/>
  <c r="G5" i="14"/>
  <c r="H5" i="14"/>
  <c r="H191" i="14"/>
  <c r="G191" i="14"/>
  <c r="G40" i="14"/>
  <c r="H40" i="14"/>
  <c r="G7" i="14"/>
  <c r="H7" i="14"/>
  <c r="H164" i="14"/>
  <c r="G164" i="14"/>
  <c r="G4" i="14"/>
  <c r="H4" i="14"/>
  <c r="G8" i="14"/>
  <c r="H8" i="14"/>
  <c r="G6" i="14"/>
  <c r="H6" i="14"/>
  <c r="G221" i="14"/>
  <c r="H221" i="14"/>
  <c r="G3" i="14"/>
  <c r="H3" i="14"/>
  <c r="H212" i="14"/>
  <c r="G212" i="14"/>
  <c r="C136" i="14"/>
  <c r="E136" i="14" s="1"/>
  <c r="C17" i="14"/>
  <c r="E9" i="14"/>
  <c r="C222" i="14"/>
  <c r="E222" i="14" s="1"/>
  <c r="C198" i="14"/>
  <c r="E198" i="14" s="1"/>
  <c r="C190" i="14"/>
  <c r="C166" i="14"/>
  <c r="E28" i="14"/>
  <c r="C2" i="14"/>
  <c r="G220" i="14"/>
  <c r="E208" i="14"/>
  <c r="E197" i="14"/>
  <c r="E183" i="14"/>
  <c r="E167" i="14"/>
  <c r="E151" i="14"/>
  <c r="E135" i="14"/>
  <c r="E119" i="14"/>
  <c r="E103" i="14"/>
  <c r="E87" i="14"/>
  <c r="E71" i="14"/>
  <c r="E55" i="14"/>
  <c r="E39" i="14"/>
  <c r="H37" i="14"/>
  <c r="H206" i="14"/>
  <c r="E215" i="14"/>
  <c r="E204" i="14"/>
  <c r="E190" i="14"/>
  <c r="E175" i="14"/>
  <c r="E159" i="14"/>
  <c r="E143" i="14"/>
  <c r="E127" i="14"/>
  <c r="E111" i="14"/>
  <c r="E95" i="14"/>
  <c r="E79" i="14"/>
  <c r="E63" i="14"/>
  <c r="E47" i="14"/>
  <c r="E31" i="14"/>
  <c r="H216" i="14"/>
  <c r="E200" i="14"/>
  <c r="E189" i="14"/>
  <c r="G189" i="14" s="1"/>
  <c r="E173" i="14"/>
  <c r="E157" i="14"/>
  <c r="E141" i="14"/>
  <c r="E125" i="14"/>
  <c r="E109" i="14"/>
  <c r="E93" i="14"/>
  <c r="E77" i="14"/>
  <c r="E61" i="14"/>
  <c r="E45" i="14"/>
  <c r="E29" i="14"/>
  <c r="E224" i="14"/>
  <c r="E213" i="14"/>
  <c r="E199" i="14"/>
  <c r="E188" i="14"/>
  <c r="H188" i="14" s="1"/>
  <c r="E172" i="14"/>
  <c r="E156" i="14"/>
  <c r="E140" i="14"/>
  <c r="E124" i="14"/>
  <c r="E108" i="14"/>
  <c r="E92" i="14"/>
  <c r="E76" i="14"/>
  <c r="E60" i="14"/>
  <c r="E44" i="14"/>
  <c r="E217" i="14"/>
  <c r="G217" i="14" s="1"/>
  <c r="E41" i="14"/>
  <c r="G41" i="14"/>
  <c r="H41" i="14"/>
  <c r="G9" i="14"/>
  <c r="H9" i="14"/>
  <c r="H184" i="14"/>
  <c r="E174" i="14"/>
  <c r="E166" i="14"/>
  <c r="E158" i="14"/>
  <c r="E150" i="14"/>
  <c r="E126" i="14"/>
  <c r="E118" i="14"/>
  <c r="E110" i="14"/>
  <c r="E78" i="14"/>
  <c r="E70" i="14"/>
  <c r="E30" i="14"/>
  <c r="E22" i="14"/>
  <c r="E14" i="14"/>
  <c r="E13" i="14"/>
  <c r="E12" i="14"/>
  <c r="H189" i="14"/>
  <c r="H181" i="14"/>
  <c r="E219" i="14"/>
  <c r="E211" i="14"/>
  <c r="E203" i="14"/>
  <c r="E195" i="14"/>
  <c r="E187" i="14"/>
  <c r="E179" i="14"/>
  <c r="E171" i="14"/>
  <c r="E163" i="14"/>
  <c r="E155" i="14"/>
  <c r="E147" i="14"/>
  <c r="E139" i="14"/>
  <c r="E131" i="14"/>
  <c r="E123" i="14"/>
  <c r="E115" i="14"/>
  <c r="E107" i="14"/>
  <c r="E99" i="14"/>
  <c r="E91" i="14"/>
  <c r="E83" i="14"/>
  <c r="E75" i="14"/>
  <c r="E67" i="14"/>
  <c r="E59" i="14"/>
  <c r="E51" i="14"/>
  <c r="E43" i="14"/>
  <c r="E35" i="14"/>
  <c r="E27" i="14"/>
  <c r="E19" i="14"/>
  <c r="E11" i="14"/>
  <c r="H180" i="14"/>
  <c r="E226" i="14"/>
  <c r="E218" i="14"/>
  <c r="E210" i="14"/>
  <c r="E202" i="14"/>
  <c r="E194" i="14"/>
  <c r="E186" i="14"/>
  <c r="E178" i="14"/>
  <c r="E170" i="14"/>
  <c r="E162" i="14"/>
  <c r="E154" i="14"/>
  <c r="E146" i="14"/>
  <c r="E138" i="14"/>
  <c r="E130" i="14"/>
  <c r="E122" i="14"/>
  <c r="E114" i="14"/>
  <c r="E106" i="14"/>
  <c r="E98" i="14"/>
  <c r="E90" i="14"/>
  <c r="E82" i="14"/>
  <c r="E74" i="14"/>
  <c r="E66" i="14"/>
  <c r="E58" i="14"/>
  <c r="E50" i="14"/>
  <c r="E42" i="14"/>
  <c r="E34" i="14"/>
  <c r="E26" i="14"/>
  <c r="E18" i="14"/>
  <c r="E10" i="14"/>
  <c r="H205" i="14"/>
  <c r="E225" i="14"/>
  <c r="E209" i="14"/>
  <c r="E201" i="14"/>
  <c r="G201" i="14" s="1"/>
  <c r="E193" i="14"/>
  <c r="E185" i="14"/>
  <c r="E177" i="14"/>
  <c r="E169" i="14"/>
  <c r="E161" i="14"/>
  <c r="E153" i="14"/>
  <c r="E145" i="14"/>
  <c r="E137" i="14"/>
  <c r="E129" i="14"/>
  <c r="E121" i="14"/>
  <c r="E113" i="14"/>
  <c r="E105" i="14"/>
  <c r="E97" i="14"/>
  <c r="E89" i="14"/>
  <c r="E81" i="14"/>
  <c r="E73" i="14"/>
  <c r="E65" i="14"/>
  <c r="E57" i="14"/>
  <c r="E49" i="14"/>
  <c r="E33" i="14"/>
  <c r="E25" i="14"/>
  <c r="E17" i="14"/>
  <c r="C214" i="14"/>
  <c r="E214" i="14" s="1"/>
  <c r="C182" i="14"/>
  <c r="E182" i="14" s="1"/>
  <c r="C142" i="14"/>
  <c r="E142" i="14" s="1"/>
  <c r="C134" i="14"/>
  <c r="E134" i="14" s="1"/>
  <c r="C102" i="14"/>
  <c r="E102" i="14" s="1"/>
  <c r="C94" i="14"/>
  <c r="E94" i="14" s="1"/>
  <c r="C86" i="14"/>
  <c r="E86" i="14" s="1"/>
  <c r="C62" i="14"/>
  <c r="E62" i="14" s="1"/>
  <c r="C54" i="14"/>
  <c r="E54" i="14" s="1"/>
  <c r="C46" i="14"/>
  <c r="E46" i="14" s="1"/>
  <c r="C38" i="14"/>
  <c r="E38" i="14" s="1"/>
  <c r="G196" i="14"/>
  <c r="G197" i="14"/>
  <c r="G198" i="14"/>
  <c r="H106" i="14"/>
  <c r="AJ10" i="12"/>
  <c r="AJ11" i="12"/>
  <c r="AJ12" i="12"/>
  <c r="AJ13" i="12"/>
  <c r="AJ14" i="12"/>
  <c r="AJ37" i="12"/>
  <c r="C37" i="12"/>
  <c r="Q37" i="12" s="1"/>
  <c r="AJ38" i="12"/>
  <c r="C38" i="12"/>
  <c r="Q38" i="12" s="1"/>
  <c r="AJ39" i="12"/>
  <c r="C39" i="12"/>
  <c r="Q39" i="12" s="1"/>
  <c r="AJ40" i="12"/>
  <c r="C40" i="12"/>
  <c r="Q40" i="12" s="1"/>
  <c r="AJ41" i="12"/>
  <c r="C41" i="12"/>
  <c r="Q41" i="12" s="1"/>
  <c r="AJ42" i="12"/>
  <c r="AJ43" i="12"/>
  <c r="AJ44" i="12"/>
  <c r="AJ45" i="12"/>
  <c r="AJ46" i="12"/>
  <c r="AJ47" i="12"/>
  <c r="AJ48" i="12"/>
  <c r="AJ49" i="12"/>
  <c r="AJ50" i="12"/>
  <c r="C50" i="12"/>
  <c r="Q50" i="12" s="1"/>
  <c r="AJ51" i="12"/>
  <c r="C51" i="12"/>
  <c r="Q51" i="12" s="1"/>
  <c r="AJ52" i="12"/>
  <c r="C52" i="12"/>
  <c r="Q52" i="12" s="1"/>
  <c r="AJ53" i="12"/>
  <c r="C53" i="12"/>
  <c r="Q53" i="12" s="1"/>
  <c r="AJ54" i="12"/>
  <c r="C54" i="12"/>
  <c r="Q54" i="12" s="1"/>
  <c r="AJ26" i="12"/>
  <c r="C26" i="12"/>
  <c r="Q26" i="12" s="1"/>
  <c r="AJ27" i="12"/>
  <c r="C27" i="12"/>
  <c r="Q27" i="12" s="1"/>
  <c r="AJ28" i="12"/>
  <c r="C28" i="12"/>
  <c r="Q28" i="12" s="1"/>
  <c r="AJ29" i="12"/>
  <c r="C29" i="12"/>
  <c r="Q29" i="12" s="1"/>
  <c r="AJ30" i="12"/>
  <c r="C30" i="12"/>
  <c r="Q30" i="12" s="1"/>
  <c r="AJ31" i="12"/>
  <c r="C31" i="12"/>
  <c r="Q31" i="12" s="1"/>
  <c r="AJ32" i="12"/>
  <c r="C32" i="12"/>
  <c r="Q32" i="12" s="1"/>
  <c r="AJ33" i="12"/>
  <c r="C33" i="12"/>
  <c r="Q33" i="12" s="1"/>
  <c r="AJ34" i="12"/>
  <c r="C34" i="12"/>
  <c r="Q34" i="12" s="1"/>
  <c r="AJ35" i="12"/>
  <c r="C35" i="12"/>
  <c r="Q35" i="12" s="1"/>
  <c r="AJ36" i="12"/>
  <c r="C36" i="12"/>
  <c r="Q36" i="12" s="1"/>
  <c r="AJ25" i="12"/>
  <c r="C25" i="12"/>
  <c r="Q25" i="12" s="1"/>
  <c r="AJ24" i="12"/>
  <c r="AJ23" i="12"/>
  <c r="AJ22" i="12"/>
  <c r="AJ21" i="12"/>
  <c r="C21" i="12"/>
  <c r="Q21" i="12" s="1"/>
  <c r="C22" i="12"/>
  <c r="Q22" i="12" s="1"/>
  <c r="C23" i="12"/>
  <c r="Q23" i="12" s="1"/>
  <c r="J23" i="12" s="1"/>
  <c r="C24" i="12"/>
  <c r="Q24" i="12" s="1"/>
  <c r="C15" i="12"/>
  <c r="Q15" i="12" s="1"/>
  <c r="J15" i="12" s="1"/>
  <c r="C10" i="12"/>
  <c r="C13" i="12"/>
  <c r="Q13" i="12" s="1"/>
  <c r="C11" i="12"/>
  <c r="Q11" i="12" s="1"/>
  <c r="C14" i="12"/>
  <c r="Q14" i="12" s="1"/>
  <c r="E2" i="14"/>
  <c r="D6" i="16" s="1"/>
  <c r="C12" i="12"/>
  <c r="Q12" i="12" s="1"/>
  <c r="AJ15" i="12"/>
  <c r="AJ16" i="12"/>
  <c r="AJ19" i="12"/>
  <c r="C19" i="12"/>
  <c r="Q19" i="12" s="1"/>
  <c r="J19" i="12" s="1"/>
  <c r="C18" i="12"/>
  <c r="Q18" i="12" s="1"/>
  <c r="AJ20" i="12"/>
  <c r="C16" i="12"/>
  <c r="Q16" i="12" s="1"/>
  <c r="J16" i="12" s="1"/>
  <c r="AJ18" i="12"/>
  <c r="C17" i="12"/>
  <c r="Q17" i="12" s="1"/>
  <c r="J17" i="12" s="1"/>
  <c r="AJ17" i="12"/>
  <c r="C20" i="12"/>
  <c r="Q20" i="12" s="1"/>
  <c r="J20" i="12" s="1"/>
  <c r="B8" i="3"/>
  <c r="B9" i="3"/>
  <c r="B10" i="3"/>
  <c r="B7" i="3"/>
  <c r="B16" i="3"/>
  <c r="D16" i="3" s="1"/>
  <c r="F3" i="6"/>
  <c r="G107" i="9"/>
  <c r="G108" i="9"/>
  <c r="G109" i="9"/>
  <c r="G110" i="9"/>
  <c r="G111" i="9"/>
  <c r="G112" i="9"/>
  <c r="G113" i="9"/>
  <c r="G114" i="9"/>
  <c r="H72" i="9"/>
  <c r="I72" i="9" s="1"/>
  <c r="G72" i="9"/>
  <c r="E60" i="6"/>
  <c r="O63" i="9"/>
  <c r="O64" i="9"/>
  <c r="O65" i="9"/>
  <c r="O66" i="9"/>
  <c r="O67" i="9"/>
  <c r="O68" i="9"/>
  <c r="O69" i="9"/>
  <c r="E158" i="6"/>
  <c r="H64" i="9"/>
  <c r="I64" i="9" s="1"/>
  <c r="G53" i="9"/>
  <c r="H53" i="9"/>
  <c r="I53" i="9" s="1"/>
  <c r="G54" i="9"/>
  <c r="H54" i="9"/>
  <c r="I54" i="9" s="1"/>
  <c r="G55" i="9"/>
  <c r="H55" i="9"/>
  <c r="G56" i="9"/>
  <c r="H56" i="9"/>
  <c r="I56" i="9" s="1"/>
  <c r="G57" i="9"/>
  <c r="H57" i="9"/>
  <c r="I57" i="9" s="1"/>
  <c r="G58" i="9"/>
  <c r="H58" i="9"/>
  <c r="I58" i="9" s="1"/>
  <c r="G59" i="9"/>
  <c r="H59" i="9"/>
  <c r="G60" i="9"/>
  <c r="H60" i="9"/>
  <c r="I60" i="9" s="1"/>
  <c r="G61" i="9"/>
  <c r="H61" i="9"/>
  <c r="I61" i="9" s="1"/>
  <c r="G62" i="9"/>
  <c r="H62" i="9"/>
  <c r="I62" i="9" s="1"/>
  <c r="G63" i="9"/>
  <c r="H63" i="9"/>
  <c r="G64" i="9"/>
  <c r="G65" i="9"/>
  <c r="H65" i="9"/>
  <c r="I65" i="9" s="1"/>
  <c r="G66" i="9"/>
  <c r="H66" i="9"/>
  <c r="I66" i="9" s="1"/>
  <c r="G67" i="9"/>
  <c r="H67" i="9"/>
  <c r="I67" i="9" s="1"/>
  <c r="G68" i="9"/>
  <c r="H68" i="9"/>
  <c r="I68" i="9" s="1"/>
  <c r="G69" i="9"/>
  <c r="H69" i="9"/>
  <c r="G70" i="9"/>
  <c r="H70" i="9"/>
  <c r="F33" i="6"/>
  <c r="E33" i="6"/>
  <c r="E77" i="6"/>
  <c r="E61" i="6"/>
  <c r="E43" i="6"/>
  <c r="F37" i="6"/>
  <c r="E37" i="6"/>
  <c r="E35" i="6"/>
  <c r="E34" i="6"/>
  <c r="F13" i="6"/>
  <c r="E13" i="6"/>
  <c r="E179" i="6"/>
  <c r="E178" i="6"/>
  <c r="E177" i="6"/>
  <c r="O96" i="9"/>
  <c r="P96" i="9"/>
  <c r="O97" i="9"/>
  <c r="P97" i="9"/>
  <c r="O98" i="9"/>
  <c r="P98" i="9"/>
  <c r="O99" i="9"/>
  <c r="P99" i="9"/>
  <c r="O100" i="9"/>
  <c r="P100" i="9"/>
  <c r="O101" i="9"/>
  <c r="P101" i="9"/>
  <c r="O102" i="9"/>
  <c r="P102" i="9"/>
  <c r="O103" i="9"/>
  <c r="P103" i="9"/>
  <c r="O104" i="9"/>
  <c r="P104" i="9"/>
  <c r="O105" i="9"/>
  <c r="P105" i="9"/>
  <c r="O106" i="9"/>
  <c r="P106" i="9"/>
  <c r="O107" i="9"/>
  <c r="P107" i="9"/>
  <c r="O108" i="9"/>
  <c r="P108" i="9"/>
  <c r="O109" i="9"/>
  <c r="P109" i="9"/>
  <c r="O110" i="9"/>
  <c r="P110" i="9"/>
  <c r="O111" i="9"/>
  <c r="P111" i="9"/>
  <c r="O112" i="9"/>
  <c r="P112" i="9"/>
  <c r="O113" i="9"/>
  <c r="P113" i="9"/>
  <c r="O114" i="9"/>
  <c r="P114" i="9"/>
  <c r="O115" i="9"/>
  <c r="P115" i="9"/>
  <c r="O116" i="9"/>
  <c r="P116" i="9"/>
  <c r="O117" i="9"/>
  <c r="P117" i="9"/>
  <c r="O118" i="9"/>
  <c r="P118" i="9"/>
  <c r="O119" i="9"/>
  <c r="P119" i="9"/>
  <c r="O120" i="9"/>
  <c r="P120" i="9"/>
  <c r="O121" i="9"/>
  <c r="P121" i="9"/>
  <c r="O122" i="9"/>
  <c r="P122" i="9"/>
  <c r="O123" i="9"/>
  <c r="P123" i="9"/>
  <c r="O124" i="9"/>
  <c r="P124" i="9"/>
  <c r="O125" i="9"/>
  <c r="P125" i="9"/>
  <c r="O126" i="9"/>
  <c r="P126" i="9"/>
  <c r="O127" i="9"/>
  <c r="P127" i="9"/>
  <c r="O128" i="9"/>
  <c r="P128" i="9"/>
  <c r="O129" i="9"/>
  <c r="P129" i="9"/>
  <c r="O130" i="9"/>
  <c r="P130" i="9"/>
  <c r="O131" i="9"/>
  <c r="P131" i="9"/>
  <c r="O132" i="9"/>
  <c r="P132" i="9"/>
  <c r="O133" i="9"/>
  <c r="P133" i="9"/>
  <c r="O134" i="9"/>
  <c r="P134" i="9"/>
  <c r="O135" i="9"/>
  <c r="P135" i="9"/>
  <c r="O136" i="9"/>
  <c r="P136" i="9"/>
  <c r="O137" i="9"/>
  <c r="P137" i="9"/>
  <c r="O138" i="9"/>
  <c r="P138" i="9"/>
  <c r="O139" i="9"/>
  <c r="P139" i="9"/>
  <c r="O140" i="9"/>
  <c r="P140" i="9"/>
  <c r="O141" i="9"/>
  <c r="P141" i="9"/>
  <c r="O142" i="9"/>
  <c r="P142" i="9"/>
  <c r="O143" i="9"/>
  <c r="P143" i="9"/>
  <c r="O144" i="9"/>
  <c r="P144" i="9"/>
  <c r="O145" i="9"/>
  <c r="P145" i="9"/>
  <c r="O146" i="9"/>
  <c r="P146" i="9"/>
  <c r="O147" i="9"/>
  <c r="P147" i="9"/>
  <c r="O148" i="9"/>
  <c r="P148" i="9"/>
  <c r="O149" i="9"/>
  <c r="P149" i="9"/>
  <c r="O150" i="9"/>
  <c r="P150" i="9"/>
  <c r="O151" i="9"/>
  <c r="P151" i="9"/>
  <c r="O152" i="9"/>
  <c r="P152" i="9"/>
  <c r="O153" i="9"/>
  <c r="P153" i="9"/>
  <c r="O154" i="9"/>
  <c r="P154" i="9"/>
  <c r="O155" i="9"/>
  <c r="P155" i="9"/>
  <c r="O156" i="9"/>
  <c r="P156" i="9"/>
  <c r="O157" i="9"/>
  <c r="P157" i="9"/>
  <c r="O158" i="9"/>
  <c r="P158" i="9"/>
  <c r="O159" i="9"/>
  <c r="P159" i="9"/>
  <c r="O160" i="9"/>
  <c r="P160" i="9"/>
  <c r="O161" i="9"/>
  <c r="P161" i="9"/>
  <c r="O162" i="9"/>
  <c r="P162" i="9"/>
  <c r="O163" i="9"/>
  <c r="P163" i="9"/>
  <c r="O164" i="9"/>
  <c r="P164" i="9"/>
  <c r="O165" i="9"/>
  <c r="P165" i="9"/>
  <c r="O166" i="9"/>
  <c r="P166" i="9"/>
  <c r="O167" i="9"/>
  <c r="P167" i="9"/>
  <c r="O168" i="9"/>
  <c r="P168" i="9"/>
  <c r="O169" i="9"/>
  <c r="P169" i="9"/>
  <c r="O170" i="9"/>
  <c r="P170" i="9"/>
  <c r="O38" i="9"/>
  <c r="E180" i="6"/>
  <c r="E176" i="6"/>
  <c r="F175" i="6"/>
  <c r="E175" i="6"/>
  <c r="E174" i="6"/>
  <c r="E173" i="6"/>
  <c r="F172" i="6"/>
  <c r="E172" i="6"/>
  <c r="F171" i="6"/>
  <c r="E171" i="6"/>
  <c r="F169" i="6"/>
  <c r="E169" i="6"/>
  <c r="F167" i="6"/>
  <c r="E167" i="6"/>
  <c r="E166" i="6"/>
  <c r="E165" i="6"/>
  <c r="F164" i="6"/>
  <c r="E164" i="6"/>
  <c r="E163" i="6"/>
  <c r="E160" i="6"/>
  <c r="E159" i="6"/>
  <c r="E155" i="6"/>
  <c r="E154" i="6"/>
  <c r="E152" i="6"/>
  <c r="E148" i="6"/>
  <c r="E147" i="6"/>
  <c r="G175" i="6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35" i="9"/>
  <c r="H35" i="9"/>
  <c r="G36" i="9"/>
  <c r="H36" i="9"/>
  <c r="H170" i="9"/>
  <c r="I170" i="9" s="1"/>
  <c r="G170" i="9"/>
  <c r="H169" i="9"/>
  <c r="I169" i="9" s="1"/>
  <c r="G169" i="9"/>
  <c r="H168" i="9"/>
  <c r="I168" i="9" s="1"/>
  <c r="G168" i="9"/>
  <c r="H167" i="9"/>
  <c r="I167" i="9" s="1"/>
  <c r="G167" i="9"/>
  <c r="H166" i="9"/>
  <c r="I166" i="9" s="1"/>
  <c r="G166" i="9"/>
  <c r="H165" i="9"/>
  <c r="I165" i="9" s="1"/>
  <c r="G165" i="9"/>
  <c r="H164" i="9"/>
  <c r="I164" i="9" s="1"/>
  <c r="G164" i="9"/>
  <c r="H163" i="9"/>
  <c r="I163" i="9" s="1"/>
  <c r="G163" i="9"/>
  <c r="H162" i="9"/>
  <c r="I162" i="9" s="1"/>
  <c r="G162" i="9"/>
  <c r="H161" i="9"/>
  <c r="I161" i="9" s="1"/>
  <c r="G161" i="9"/>
  <c r="H160" i="9"/>
  <c r="I160" i="9" s="1"/>
  <c r="G160" i="9"/>
  <c r="H159" i="9"/>
  <c r="I159" i="9" s="1"/>
  <c r="G159" i="9"/>
  <c r="H158" i="9"/>
  <c r="I158" i="9" s="1"/>
  <c r="G158" i="9"/>
  <c r="H157" i="9"/>
  <c r="I157" i="9" s="1"/>
  <c r="G157" i="9"/>
  <c r="H156" i="9"/>
  <c r="I156" i="9" s="1"/>
  <c r="G156" i="9"/>
  <c r="H155" i="9"/>
  <c r="I155" i="9" s="1"/>
  <c r="G155" i="9"/>
  <c r="H154" i="9"/>
  <c r="I154" i="9" s="1"/>
  <c r="G154" i="9"/>
  <c r="H153" i="9"/>
  <c r="I153" i="9" s="1"/>
  <c r="G153" i="9"/>
  <c r="H152" i="9"/>
  <c r="I152" i="9" s="1"/>
  <c r="G152" i="9"/>
  <c r="H151" i="9"/>
  <c r="I151" i="9" s="1"/>
  <c r="G151" i="9"/>
  <c r="H150" i="9"/>
  <c r="I150" i="9" s="1"/>
  <c r="G150" i="9"/>
  <c r="H149" i="9"/>
  <c r="I149" i="9" s="1"/>
  <c r="G149" i="9"/>
  <c r="H148" i="9"/>
  <c r="I148" i="9" s="1"/>
  <c r="G148" i="9"/>
  <c r="H147" i="9"/>
  <c r="I147" i="9" s="1"/>
  <c r="G147" i="9"/>
  <c r="H146" i="9"/>
  <c r="I146" i="9" s="1"/>
  <c r="G146" i="9"/>
  <c r="H145" i="9"/>
  <c r="I145" i="9" s="1"/>
  <c r="G145" i="9"/>
  <c r="H144" i="9"/>
  <c r="I144" i="9" s="1"/>
  <c r="G144" i="9"/>
  <c r="H143" i="9"/>
  <c r="I143" i="9" s="1"/>
  <c r="G143" i="9"/>
  <c r="H142" i="9"/>
  <c r="I142" i="9" s="1"/>
  <c r="G142" i="9"/>
  <c r="H141" i="9"/>
  <c r="I141" i="9" s="1"/>
  <c r="G141" i="9"/>
  <c r="H140" i="9"/>
  <c r="I140" i="9" s="1"/>
  <c r="G140" i="9"/>
  <c r="H139" i="9"/>
  <c r="I139" i="9" s="1"/>
  <c r="G139" i="9"/>
  <c r="H138" i="9"/>
  <c r="I138" i="9" s="1"/>
  <c r="G138" i="9"/>
  <c r="H137" i="9"/>
  <c r="I137" i="9" s="1"/>
  <c r="G137" i="9"/>
  <c r="H136" i="9"/>
  <c r="I136" i="9" s="1"/>
  <c r="G136" i="9"/>
  <c r="H135" i="9"/>
  <c r="I135" i="9" s="1"/>
  <c r="G135" i="9"/>
  <c r="H134" i="9"/>
  <c r="I134" i="9" s="1"/>
  <c r="G134" i="9"/>
  <c r="H133" i="9"/>
  <c r="I133" i="9" s="1"/>
  <c r="G133" i="9"/>
  <c r="H132" i="9"/>
  <c r="I132" i="9" s="1"/>
  <c r="G132" i="9"/>
  <c r="H131" i="9"/>
  <c r="I131" i="9" s="1"/>
  <c r="G131" i="9"/>
  <c r="H130" i="9"/>
  <c r="I130" i="9" s="1"/>
  <c r="G130" i="9"/>
  <c r="H129" i="9"/>
  <c r="I129" i="9" s="1"/>
  <c r="G129" i="9"/>
  <c r="H128" i="9"/>
  <c r="I128" i="9" s="1"/>
  <c r="G128" i="9"/>
  <c r="H127" i="9"/>
  <c r="I127" i="9" s="1"/>
  <c r="G127" i="9"/>
  <c r="H126" i="9"/>
  <c r="I126" i="9" s="1"/>
  <c r="G126" i="9"/>
  <c r="H125" i="9"/>
  <c r="I125" i="9" s="1"/>
  <c r="G125" i="9"/>
  <c r="H124" i="9"/>
  <c r="I124" i="9" s="1"/>
  <c r="G124" i="9"/>
  <c r="H123" i="9"/>
  <c r="I123" i="9" s="1"/>
  <c r="G123" i="9"/>
  <c r="H122" i="9"/>
  <c r="I122" i="9" s="1"/>
  <c r="G122" i="9"/>
  <c r="H121" i="9"/>
  <c r="I121" i="9" s="1"/>
  <c r="G121" i="9"/>
  <c r="H120" i="9"/>
  <c r="I120" i="9" s="1"/>
  <c r="G120" i="9"/>
  <c r="H119" i="9"/>
  <c r="I119" i="9" s="1"/>
  <c r="G119" i="9"/>
  <c r="H118" i="9"/>
  <c r="G118" i="9"/>
  <c r="H117" i="9"/>
  <c r="I117" i="9" s="1"/>
  <c r="G117" i="9"/>
  <c r="H116" i="9"/>
  <c r="G116" i="9"/>
  <c r="H115" i="9"/>
  <c r="G115" i="9"/>
  <c r="H114" i="9"/>
  <c r="I114" i="9" s="1"/>
  <c r="H113" i="9"/>
  <c r="I113" i="9" s="1"/>
  <c r="H112" i="9"/>
  <c r="I112" i="9" s="1"/>
  <c r="H111" i="9"/>
  <c r="I111" i="9" s="1"/>
  <c r="H110" i="9"/>
  <c r="I110" i="9" s="1"/>
  <c r="H109" i="9"/>
  <c r="I109" i="9" s="1"/>
  <c r="H108" i="9"/>
  <c r="I108" i="9" s="1"/>
  <c r="H107" i="9"/>
  <c r="I107" i="9" s="1"/>
  <c r="H106" i="9"/>
  <c r="I106" i="9" s="1"/>
  <c r="G106" i="9"/>
  <c r="H105" i="9"/>
  <c r="I105" i="9" s="1"/>
  <c r="G105" i="9"/>
  <c r="H104" i="9"/>
  <c r="I104" i="9" s="1"/>
  <c r="G104" i="9"/>
  <c r="H103" i="9"/>
  <c r="I103" i="9" s="1"/>
  <c r="G103" i="9"/>
  <c r="H102" i="9"/>
  <c r="I102" i="9" s="1"/>
  <c r="G102" i="9"/>
  <c r="H101" i="9"/>
  <c r="I101" i="9" s="1"/>
  <c r="G101" i="9"/>
  <c r="H100" i="9"/>
  <c r="I100" i="9" s="1"/>
  <c r="G100" i="9"/>
  <c r="H99" i="9"/>
  <c r="I99" i="9" s="1"/>
  <c r="G99" i="9"/>
  <c r="H98" i="9"/>
  <c r="I98" i="9" s="1"/>
  <c r="G98" i="9"/>
  <c r="H97" i="9"/>
  <c r="I97" i="9" s="1"/>
  <c r="G97" i="9"/>
  <c r="H96" i="9"/>
  <c r="I96" i="9" s="1"/>
  <c r="G96" i="9"/>
  <c r="P95" i="9"/>
  <c r="O95" i="9"/>
  <c r="F180" i="6"/>
  <c r="H95" i="9"/>
  <c r="I95" i="9" s="1"/>
  <c r="G95" i="9"/>
  <c r="P94" i="9"/>
  <c r="O94" i="9"/>
  <c r="H94" i="9"/>
  <c r="I94" i="9" s="1"/>
  <c r="G94" i="9"/>
  <c r="P93" i="9"/>
  <c r="O93" i="9"/>
  <c r="F177" i="6"/>
  <c r="H93" i="9"/>
  <c r="I93" i="9" s="1"/>
  <c r="G93" i="9"/>
  <c r="P92" i="9"/>
  <c r="O92" i="9"/>
  <c r="H92" i="9"/>
  <c r="I92" i="9" s="1"/>
  <c r="G92" i="9"/>
  <c r="P91" i="9"/>
  <c r="O91" i="9"/>
  <c r="H91" i="9"/>
  <c r="I91" i="9" s="1"/>
  <c r="G91" i="9"/>
  <c r="P90" i="9"/>
  <c r="O90" i="9"/>
  <c r="H90" i="9"/>
  <c r="I90" i="9" s="1"/>
  <c r="G90" i="9"/>
  <c r="P89" i="9"/>
  <c r="O89" i="9"/>
  <c r="F176" i="6"/>
  <c r="G176" i="6"/>
  <c r="H89" i="9"/>
  <c r="I89" i="9" s="1"/>
  <c r="G89" i="9"/>
  <c r="P88" i="9"/>
  <c r="O88" i="9"/>
  <c r="H88" i="9"/>
  <c r="I88" i="9" s="1"/>
  <c r="G88" i="9"/>
  <c r="P87" i="9"/>
  <c r="O87" i="9"/>
  <c r="H87" i="9"/>
  <c r="I87" i="9" s="1"/>
  <c r="G87" i="9"/>
  <c r="P86" i="9"/>
  <c r="O86" i="9"/>
  <c r="H86" i="9"/>
  <c r="I86" i="9" s="1"/>
  <c r="G86" i="9"/>
  <c r="P85" i="9"/>
  <c r="O85" i="9"/>
  <c r="H85" i="9"/>
  <c r="I85" i="9" s="1"/>
  <c r="G85" i="9"/>
  <c r="P84" i="9"/>
  <c r="O84" i="9"/>
  <c r="H84" i="9"/>
  <c r="I84" i="9" s="1"/>
  <c r="G84" i="9"/>
  <c r="P83" i="9"/>
  <c r="O83" i="9"/>
  <c r="H83" i="9"/>
  <c r="I83" i="9" s="1"/>
  <c r="G83" i="9"/>
  <c r="P82" i="9"/>
  <c r="O82" i="9"/>
  <c r="H82" i="9"/>
  <c r="I82" i="9" s="1"/>
  <c r="G82" i="9"/>
  <c r="P81" i="9"/>
  <c r="O81" i="9"/>
  <c r="H81" i="9"/>
  <c r="I81" i="9" s="1"/>
  <c r="G81" i="9"/>
  <c r="P80" i="9"/>
  <c r="O80" i="9"/>
  <c r="H80" i="9"/>
  <c r="I80" i="9" s="1"/>
  <c r="G80" i="9"/>
  <c r="P79" i="9"/>
  <c r="O79" i="9"/>
  <c r="H79" i="9"/>
  <c r="I79" i="9" s="1"/>
  <c r="G79" i="9"/>
  <c r="P78" i="9"/>
  <c r="O78" i="9"/>
  <c r="H78" i="9"/>
  <c r="I78" i="9" s="1"/>
  <c r="G78" i="9"/>
  <c r="P77" i="9"/>
  <c r="O77" i="9"/>
  <c r="H77" i="9"/>
  <c r="I77" i="9" s="1"/>
  <c r="G77" i="9"/>
  <c r="P76" i="9"/>
  <c r="O76" i="9"/>
  <c r="F158" i="6"/>
  <c r="H76" i="9"/>
  <c r="I76" i="9" s="1"/>
  <c r="G76" i="9"/>
  <c r="P75" i="9"/>
  <c r="O75" i="9"/>
  <c r="H75" i="9"/>
  <c r="I75" i="9" s="1"/>
  <c r="G75" i="9"/>
  <c r="P74" i="9"/>
  <c r="O74" i="9"/>
  <c r="H74" i="9"/>
  <c r="I74" i="9" s="1"/>
  <c r="G74" i="9"/>
  <c r="P73" i="9"/>
  <c r="O73" i="9"/>
  <c r="F159" i="6"/>
  <c r="H73" i="9"/>
  <c r="I73" i="9" s="1"/>
  <c r="G73" i="9"/>
  <c r="P72" i="9"/>
  <c r="O72" i="9"/>
  <c r="P71" i="9"/>
  <c r="O71" i="9"/>
  <c r="H71" i="9"/>
  <c r="I71" i="9" s="1"/>
  <c r="G71" i="9"/>
  <c r="P70" i="9"/>
  <c r="O70" i="9"/>
  <c r="P69" i="9"/>
  <c r="P68" i="9"/>
  <c r="P67" i="9"/>
  <c r="P66" i="9"/>
  <c r="P64" i="9"/>
  <c r="P62" i="9"/>
  <c r="O62" i="9"/>
  <c r="F165" i="6"/>
  <c r="P61" i="9"/>
  <c r="O61" i="9"/>
  <c r="P60" i="9"/>
  <c r="O60" i="9"/>
  <c r="P59" i="9"/>
  <c r="O59" i="9"/>
  <c r="P58" i="9"/>
  <c r="O58" i="9"/>
  <c r="P57" i="9"/>
  <c r="O57" i="9"/>
  <c r="P56" i="9"/>
  <c r="O56" i="9"/>
  <c r="P55" i="9"/>
  <c r="O55" i="9"/>
  <c r="P54" i="9"/>
  <c r="O54" i="9"/>
  <c r="P53" i="9"/>
  <c r="O53" i="9"/>
  <c r="P52" i="9"/>
  <c r="O52" i="9"/>
  <c r="F179" i="6"/>
  <c r="H52" i="9"/>
  <c r="I52" i="9" s="1"/>
  <c r="G52" i="9"/>
  <c r="P51" i="9"/>
  <c r="O51" i="9"/>
  <c r="F174" i="6"/>
  <c r="G174" i="6"/>
  <c r="H51" i="9"/>
  <c r="I51" i="9" s="1"/>
  <c r="G51" i="9"/>
  <c r="P50" i="9"/>
  <c r="O50" i="9"/>
  <c r="F173" i="6"/>
  <c r="G173" i="6"/>
  <c r="I59" i="9"/>
  <c r="H50" i="9"/>
  <c r="I50" i="9" s="1"/>
  <c r="G50" i="9"/>
  <c r="P49" i="9"/>
  <c r="O49" i="9"/>
  <c r="F166" i="6"/>
  <c r="H49" i="9"/>
  <c r="I49" i="9" s="1"/>
  <c r="G49" i="9"/>
  <c r="P48" i="9"/>
  <c r="O48" i="9"/>
  <c r="F148" i="6"/>
  <c r="H48" i="9"/>
  <c r="I48" i="9" s="1"/>
  <c r="G48" i="9"/>
  <c r="P47" i="9"/>
  <c r="O47" i="9"/>
  <c r="H47" i="9"/>
  <c r="I47" i="9" s="1"/>
  <c r="G47" i="9"/>
  <c r="P46" i="9"/>
  <c r="O46" i="9"/>
  <c r="H46" i="9"/>
  <c r="I46" i="9" s="1"/>
  <c r="G46" i="9"/>
  <c r="P45" i="9"/>
  <c r="O45" i="9"/>
  <c r="F155" i="6"/>
  <c r="H45" i="9"/>
  <c r="I45" i="9" s="1"/>
  <c r="G45" i="9"/>
  <c r="P44" i="9"/>
  <c r="O44" i="9"/>
  <c r="F163" i="6"/>
  <c r="H44" i="9"/>
  <c r="I44" i="9" s="1"/>
  <c r="G44" i="9"/>
  <c r="P43" i="9"/>
  <c r="O43" i="9"/>
  <c r="F160" i="6"/>
  <c r="H43" i="9"/>
  <c r="I43" i="9" s="1"/>
  <c r="G43" i="9"/>
  <c r="P42" i="9"/>
  <c r="O42" i="9"/>
  <c r="F154" i="6"/>
  <c r="H42" i="9"/>
  <c r="I42" i="9" s="1"/>
  <c r="G42" i="9"/>
  <c r="P41" i="9"/>
  <c r="O41" i="9"/>
  <c r="F178" i="6"/>
  <c r="H41" i="9"/>
  <c r="I41" i="9" s="1"/>
  <c r="G41" i="9"/>
  <c r="P40" i="9"/>
  <c r="O40" i="9"/>
  <c r="F147" i="6"/>
  <c r="H40" i="9"/>
  <c r="I40" i="9" s="1"/>
  <c r="G40" i="9"/>
  <c r="P39" i="9"/>
  <c r="O39" i="9"/>
  <c r="F152" i="6"/>
  <c r="H39" i="9"/>
  <c r="I39" i="9" s="1"/>
  <c r="G39" i="9"/>
  <c r="P38" i="9"/>
  <c r="H38" i="9"/>
  <c r="I38" i="9" s="1"/>
  <c r="G38" i="9"/>
  <c r="P37" i="9"/>
  <c r="H37" i="9"/>
  <c r="G37" i="9"/>
  <c r="P36" i="9"/>
  <c r="P35" i="9"/>
  <c r="P34" i="9"/>
  <c r="P11" i="9"/>
  <c r="P10" i="9"/>
  <c r="P9" i="9"/>
  <c r="P8" i="9"/>
  <c r="P7" i="9"/>
  <c r="P6" i="9"/>
  <c r="P5" i="9"/>
  <c r="P4" i="9"/>
  <c r="H4" i="9"/>
  <c r="G4" i="9"/>
  <c r="P3" i="9"/>
  <c r="H3" i="9"/>
  <c r="G3" i="9"/>
  <c r="P2" i="9"/>
  <c r="H2" i="9"/>
  <c r="G2" i="9"/>
  <c r="E96" i="6"/>
  <c r="F136" i="6"/>
  <c r="F80" i="6"/>
  <c r="E80" i="6"/>
  <c r="F65" i="6"/>
  <c r="F64" i="6"/>
  <c r="F56" i="6"/>
  <c r="F55" i="6"/>
  <c r="F54" i="6"/>
  <c r="F53" i="6"/>
  <c r="F51" i="6"/>
  <c r="F50" i="6"/>
  <c r="F49" i="6"/>
  <c r="F48" i="6"/>
  <c r="E48" i="6"/>
  <c r="F38" i="6"/>
  <c r="F28" i="6"/>
  <c r="F22" i="6"/>
  <c r="E22" i="6"/>
  <c r="F19" i="6"/>
  <c r="F16" i="6"/>
  <c r="F15" i="6"/>
  <c r="F14" i="6"/>
  <c r="F7" i="6"/>
  <c r="E3" i="6"/>
  <c r="E4" i="6"/>
  <c r="E9" i="6"/>
  <c r="E11" i="6"/>
  <c r="E115" i="6"/>
  <c r="E119" i="6"/>
  <c r="E117" i="6"/>
  <c r="E105" i="6"/>
  <c r="E104" i="6"/>
  <c r="E114" i="6"/>
  <c r="E136" i="6"/>
  <c r="E95" i="6"/>
  <c r="E7" i="6"/>
  <c r="F140" i="6"/>
  <c r="F117" i="6"/>
  <c r="F35" i="6"/>
  <c r="F34" i="6"/>
  <c r="F60" i="6"/>
  <c r="F61" i="6"/>
  <c r="F77" i="6"/>
  <c r="F43" i="6"/>
  <c r="E8" i="3"/>
  <c r="E7" i="3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2" i="7"/>
  <c r="G143" i="6"/>
  <c r="E9" i="3"/>
  <c r="E10" i="3"/>
  <c r="E11" i="3"/>
  <c r="E12" i="3"/>
  <c r="E13" i="3"/>
  <c r="E14" i="3"/>
  <c r="E15" i="3"/>
  <c r="I20" i="2"/>
  <c r="I21" i="2"/>
  <c r="I24" i="2"/>
  <c r="I25" i="2"/>
  <c r="I27" i="2"/>
  <c r="I28" i="2"/>
  <c r="I29" i="2"/>
  <c r="I32" i="2"/>
  <c r="I33" i="2"/>
  <c r="I36" i="2"/>
  <c r="I40" i="2"/>
  <c r="I41" i="2"/>
  <c r="I44" i="2"/>
  <c r="I45" i="2"/>
  <c r="I48" i="2"/>
  <c r="I49" i="2"/>
  <c r="I52" i="2"/>
  <c r="I53" i="2"/>
  <c r="I55" i="2"/>
  <c r="I57" i="2"/>
  <c r="I60" i="2"/>
  <c r="I64" i="2"/>
  <c r="J98" i="2"/>
  <c r="I99" i="2"/>
  <c r="I101" i="2"/>
  <c r="I103" i="2"/>
  <c r="I104" i="2"/>
  <c r="I105" i="2"/>
  <c r="I106" i="2"/>
  <c r="I107" i="2"/>
  <c r="I108" i="2"/>
  <c r="I110" i="2"/>
  <c r="I111" i="2"/>
  <c r="I112" i="2"/>
  <c r="I113" i="2"/>
  <c r="I114" i="2"/>
  <c r="I115" i="2"/>
  <c r="I116" i="2"/>
  <c r="I117" i="2"/>
  <c r="I121" i="2"/>
  <c r="I126" i="2"/>
  <c r="I127" i="2"/>
  <c r="I133" i="2"/>
  <c r="I134" i="2"/>
  <c r="I137" i="2"/>
  <c r="I13" i="2"/>
  <c r="I15" i="2"/>
  <c r="I16" i="2"/>
  <c r="J17" i="2"/>
  <c r="I135" i="2"/>
  <c r="I100" i="2"/>
  <c r="I22" i="2"/>
  <c r="I30" i="2"/>
  <c r="I34" i="2"/>
  <c r="I38" i="2"/>
  <c r="I42" i="2"/>
  <c r="I46" i="2"/>
  <c r="I50" i="2"/>
  <c r="I58" i="2"/>
  <c r="I62" i="2"/>
  <c r="I26" i="2"/>
  <c r="I19" i="2"/>
  <c r="J18" i="2"/>
  <c r="J9" i="2"/>
  <c r="E16" i="3"/>
  <c r="G171" i="6"/>
  <c r="I69" i="9"/>
  <c r="G144" i="6"/>
  <c r="G142" i="6"/>
  <c r="G141" i="6"/>
  <c r="G139" i="6"/>
  <c r="G138" i="6"/>
  <c r="G135" i="6"/>
  <c r="G134" i="6"/>
  <c r="G132" i="6"/>
  <c r="G130" i="6"/>
  <c r="G129" i="6"/>
  <c r="G128" i="6"/>
  <c r="G127" i="6"/>
  <c r="G126" i="6"/>
  <c r="G125" i="6"/>
  <c r="G124" i="6"/>
  <c r="G123" i="6"/>
  <c r="G122" i="6"/>
  <c r="G120" i="6"/>
  <c r="G118" i="6"/>
  <c r="G116" i="6"/>
  <c r="G113" i="6"/>
  <c r="G112" i="6"/>
  <c r="G111" i="6"/>
  <c r="G110" i="6"/>
  <c r="G109" i="6"/>
  <c r="G108" i="6"/>
  <c r="G107" i="6"/>
  <c r="G106" i="6"/>
  <c r="G92" i="6"/>
  <c r="G91" i="6"/>
  <c r="G90" i="6"/>
  <c r="G89" i="6"/>
  <c r="G88" i="6"/>
  <c r="G87" i="6"/>
  <c r="G86" i="6"/>
  <c r="G85" i="6"/>
  <c r="G84" i="6"/>
  <c r="G83" i="6"/>
  <c r="G82" i="6"/>
  <c r="G81" i="6"/>
  <c r="G79" i="6"/>
  <c r="G78" i="6"/>
  <c r="G76" i="6"/>
  <c r="G75" i="6"/>
  <c r="G74" i="6"/>
  <c r="G73" i="6"/>
  <c r="G72" i="6"/>
  <c r="G71" i="6"/>
  <c r="G70" i="6"/>
  <c r="G69" i="6"/>
  <c r="G68" i="6"/>
  <c r="G67" i="6"/>
  <c r="G66" i="6"/>
  <c r="G63" i="6"/>
  <c r="G62" i="6"/>
  <c r="G59" i="6"/>
  <c r="G58" i="6"/>
  <c r="G57" i="6"/>
  <c r="G52" i="6"/>
  <c r="G47" i="6"/>
  <c r="G46" i="6"/>
  <c r="G45" i="6"/>
  <c r="G44" i="6"/>
  <c r="G42" i="6"/>
  <c r="G41" i="6"/>
  <c r="G40" i="6"/>
  <c r="G39" i="6"/>
  <c r="G32" i="6"/>
  <c r="G31" i="6"/>
  <c r="G30" i="6"/>
  <c r="G29" i="6"/>
  <c r="G27" i="6"/>
  <c r="G26" i="6"/>
  <c r="G25" i="6"/>
  <c r="G24" i="6"/>
  <c r="G23" i="6"/>
  <c r="G21" i="6"/>
  <c r="G20" i="6"/>
  <c r="G18" i="6"/>
  <c r="G17" i="6"/>
  <c r="G10" i="6"/>
  <c r="G8" i="6"/>
  <c r="G6" i="6"/>
  <c r="I9" i="2"/>
  <c r="I10" i="2"/>
  <c r="J10" i="2"/>
  <c r="I14" i="2"/>
  <c r="J14" i="2"/>
  <c r="I18" i="2"/>
  <c r="J19" i="2"/>
  <c r="I23" i="2"/>
  <c r="I31" i="2"/>
  <c r="I35" i="2"/>
  <c r="I37" i="2"/>
  <c r="I39" i="2"/>
  <c r="I43" i="2"/>
  <c r="I47" i="2"/>
  <c r="I51" i="2"/>
  <c r="I98" i="2"/>
  <c r="I118" i="2"/>
  <c r="I120" i="2"/>
  <c r="I129" i="2"/>
  <c r="I130" i="2"/>
  <c r="J16" i="2"/>
  <c r="I17" i="2"/>
  <c r="J13" i="2"/>
  <c r="J15" i="2"/>
  <c r="G133" i="6"/>
  <c r="G121" i="6"/>
  <c r="G180" i="6"/>
  <c r="G177" i="6"/>
  <c r="F137" i="6"/>
  <c r="F95" i="6"/>
  <c r="F96" i="6"/>
  <c r="F119" i="6"/>
  <c r="G179" i="6"/>
  <c r="G178" i="6"/>
  <c r="E65" i="6"/>
  <c r="E64" i="6"/>
  <c r="E56" i="6"/>
  <c r="E55" i="6"/>
  <c r="E54" i="6"/>
  <c r="E53" i="6"/>
  <c r="E51" i="6"/>
  <c r="E50" i="6"/>
  <c r="E49" i="6"/>
  <c r="E38" i="6"/>
  <c r="E28" i="6"/>
  <c r="E19" i="6"/>
  <c r="E16" i="6"/>
  <c r="E15" i="6"/>
  <c r="E14" i="6"/>
  <c r="E5" i="6"/>
  <c r="E140" i="6"/>
  <c r="E94" i="6"/>
  <c r="E137" i="6"/>
  <c r="G172" i="6"/>
  <c r="G36" i="6"/>
  <c r="G160" i="6"/>
  <c r="G150" i="6"/>
  <c r="G151" i="6"/>
  <c r="G169" i="6"/>
  <c r="G153" i="6"/>
  <c r="G167" i="6"/>
  <c r="G166" i="6"/>
  <c r="G157" i="6"/>
  <c r="G161" i="6"/>
  <c r="G164" i="6"/>
  <c r="G162" i="6"/>
  <c r="G155" i="6"/>
  <c r="G168" i="6"/>
  <c r="G170" i="6"/>
  <c r="G156" i="6"/>
  <c r="G147" i="6"/>
  <c r="G165" i="6"/>
  <c r="G159" i="6"/>
  <c r="G158" i="6"/>
  <c r="G163" i="6"/>
  <c r="G152" i="6"/>
  <c r="G148" i="6"/>
  <c r="G149" i="6"/>
  <c r="G154" i="6"/>
  <c r="I63" i="9"/>
  <c r="I55" i="9"/>
  <c r="I70" i="9"/>
  <c r="D26" i="16" l="1"/>
  <c r="D20" i="16"/>
  <c r="F20" i="16" s="1"/>
  <c r="H239" i="14"/>
  <c r="G239" i="14"/>
  <c r="G238" i="14"/>
  <c r="H238" i="14"/>
  <c r="G237" i="14"/>
  <c r="H237" i="14"/>
  <c r="H236" i="14"/>
  <c r="G236" i="14"/>
  <c r="H235" i="14"/>
  <c r="G235" i="14"/>
  <c r="H233" i="14"/>
  <c r="G233" i="14"/>
  <c r="H232" i="14"/>
  <c r="G232" i="14"/>
  <c r="H231" i="14"/>
  <c r="G231" i="14"/>
  <c r="G230" i="14"/>
  <c r="H230" i="14"/>
  <c r="G229" i="14"/>
  <c r="H229" i="14"/>
  <c r="H228" i="14"/>
  <c r="G228" i="14"/>
  <c r="H241" i="14"/>
  <c r="G241" i="14"/>
  <c r="D3" i="16"/>
  <c r="D4" i="16"/>
  <c r="F4" i="16" s="1"/>
  <c r="D5" i="16"/>
  <c r="D7" i="16"/>
  <c r="D8" i="16"/>
  <c r="F8" i="16" s="1"/>
  <c r="D9" i="16"/>
  <c r="D10" i="16"/>
  <c r="D11" i="16"/>
  <c r="D12" i="16"/>
  <c r="D13" i="16"/>
  <c r="F13" i="16" s="1"/>
  <c r="D14" i="16"/>
  <c r="D15" i="16"/>
  <c r="F15" i="16" s="1"/>
  <c r="D16" i="16"/>
  <c r="F16" i="16" s="1"/>
  <c r="D17" i="16"/>
  <c r="D18" i="16"/>
  <c r="D19" i="16"/>
  <c r="D21" i="16"/>
  <c r="D22" i="16"/>
  <c r="D24" i="16"/>
  <c r="D25" i="16"/>
  <c r="F25" i="16" s="1"/>
  <c r="D27" i="16"/>
  <c r="D28" i="16"/>
  <c r="F28" i="16" s="1"/>
  <c r="D29" i="16"/>
  <c r="D30" i="16"/>
  <c r="D32" i="16"/>
  <c r="D34" i="16"/>
  <c r="D35" i="16"/>
  <c r="D36" i="16"/>
  <c r="D37" i="16"/>
  <c r="D38" i="16"/>
  <c r="F38" i="16" s="1"/>
  <c r="D39" i="16"/>
  <c r="D40" i="16"/>
  <c r="D41" i="16"/>
  <c r="F41" i="16" s="1"/>
  <c r="D42" i="16"/>
  <c r="D43" i="16"/>
  <c r="D44" i="16"/>
  <c r="D45" i="16"/>
  <c r="D46" i="16"/>
  <c r="F46" i="16" s="1"/>
  <c r="D47" i="16"/>
  <c r="D48" i="16"/>
  <c r="D49" i="16"/>
  <c r="D50" i="16"/>
  <c r="F50" i="16" s="1"/>
  <c r="D51" i="16"/>
  <c r="D53" i="16"/>
  <c r="D54" i="16"/>
  <c r="D55" i="16"/>
  <c r="F55" i="16" s="1"/>
  <c r="D56" i="16"/>
  <c r="D57" i="16"/>
  <c r="D58" i="16"/>
  <c r="F58" i="16" s="1"/>
  <c r="D59" i="16"/>
  <c r="F59" i="16" s="1"/>
  <c r="D60" i="16"/>
  <c r="F60" i="16" s="1"/>
  <c r="D61" i="16"/>
  <c r="D62" i="16"/>
  <c r="D63" i="16"/>
  <c r="F63" i="16" s="1"/>
  <c r="D64" i="16"/>
  <c r="D65" i="16"/>
  <c r="D66" i="16"/>
  <c r="F66" i="16" s="1"/>
  <c r="D67" i="16"/>
  <c r="F67" i="16" s="1"/>
  <c r="D68" i="16"/>
  <c r="F68" i="16" s="1"/>
  <c r="D69" i="16"/>
  <c r="F69" i="16" s="1"/>
  <c r="D70" i="16"/>
  <c r="D71" i="16"/>
  <c r="F71" i="16" s="1"/>
  <c r="D72" i="16"/>
  <c r="D73" i="16"/>
  <c r="D74" i="16"/>
  <c r="D75" i="16"/>
  <c r="F75" i="16" s="1"/>
  <c r="D76" i="16"/>
  <c r="F76" i="16" s="1"/>
  <c r="D77" i="16"/>
  <c r="F77" i="16" s="1"/>
  <c r="D78" i="16"/>
  <c r="F78" i="16" s="1"/>
  <c r="D79" i="16"/>
  <c r="F79" i="16" s="1"/>
  <c r="D80" i="16"/>
  <c r="D81" i="16"/>
  <c r="F81" i="16" s="1"/>
  <c r="D82" i="16"/>
  <c r="F82" i="16" s="1"/>
  <c r="D84" i="16"/>
  <c r="F84" i="16" s="1"/>
  <c r="D85" i="16"/>
  <c r="F85" i="16" s="1"/>
  <c r="D86" i="16"/>
  <c r="F86" i="16" s="1"/>
  <c r="H217" i="14"/>
  <c r="G214" i="14"/>
  <c r="H214" i="14"/>
  <c r="G39" i="14"/>
  <c r="H39" i="14"/>
  <c r="G213" i="14"/>
  <c r="H213" i="14"/>
  <c r="G183" i="14"/>
  <c r="H183" i="14"/>
  <c r="G224" i="14"/>
  <c r="H224" i="14"/>
  <c r="G190" i="14"/>
  <c r="H190" i="14"/>
  <c r="G208" i="14"/>
  <c r="H208" i="14"/>
  <c r="G188" i="14"/>
  <c r="H204" i="14"/>
  <c r="G204" i="14"/>
  <c r="G222" i="14"/>
  <c r="H222" i="14"/>
  <c r="G215" i="14"/>
  <c r="H215" i="14"/>
  <c r="G98" i="14"/>
  <c r="H98" i="14"/>
  <c r="H226" i="14"/>
  <c r="G226" i="14"/>
  <c r="H187" i="14"/>
  <c r="G187" i="14"/>
  <c r="G12" i="14"/>
  <c r="H12" i="14"/>
  <c r="G13" i="14"/>
  <c r="H13" i="14"/>
  <c r="G209" i="14"/>
  <c r="H209" i="14"/>
  <c r="G178" i="14"/>
  <c r="H178" i="14"/>
  <c r="G11" i="14"/>
  <c r="H11" i="14"/>
  <c r="G225" i="14"/>
  <c r="H225" i="14"/>
  <c r="G186" i="14"/>
  <c r="H186" i="14"/>
  <c r="H211" i="14"/>
  <c r="G211" i="14"/>
  <c r="G97" i="14"/>
  <c r="H97" i="14"/>
  <c r="H219" i="14"/>
  <c r="G219" i="14"/>
  <c r="G10" i="14"/>
  <c r="H10" i="14"/>
  <c r="G35" i="14"/>
  <c r="H35" i="14"/>
  <c r="H227" i="14"/>
  <c r="G227" i="14"/>
  <c r="G38" i="14"/>
  <c r="H38" i="14"/>
  <c r="H201" i="14"/>
  <c r="H210" i="14"/>
  <c r="G210" i="14"/>
  <c r="G43" i="14"/>
  <c r="H43" i="14"/>
  <c r="H46" i="14"/>
  <c r="G46" i="14"/>
  <c r="G185" i="14"/>
  <c r="H185" i="14"/>
  <c r="H218" i="14"/>
  <c r="G218" i="14"/>
  <c r="G179" i="14"/>
  <c r="H179" i="14"/>
  <c r="G182" i="14"/>
  <c r="H182" i="14"/>
  <c r="F15" i="12"/>
  <c r="H203" i="14"/>
  <c r="G203" i="14"/>
  <c r="G202" i="14"/>
  <c r="H202" i="14"/>
  <c r="G200" i="14"/>
  <c r="H200" i="14"/>
  <c r="G199" i="14"/>
  <c r="H199" i="14"/>
  <c r="G192" i="14"/>
  <c r="H192" i="14"/>
  <c r="H198" i="14"/>
  <c r="H197" i="14"/>
  <c r="H196" i="14"/>
  <c r="G195" i="14"/>
  <c r="H195" i="14"/>
  <c r="G194" i="14"/>
  <c r="H194" i="14"/>
  <c r="G193" i="14"/>
  <c r="H193" i="14"/>
  <c r="G162" i="14"/>
  <c r="H162" i="14"/>
  <c r="G163" i="14"/>
  <c r="H163" i="14"/>
  <c r="G165" i="14"/>
  <c r="H165" i="14"/>
  <c r="G166" i="14"/>
  <c r="H166" i="14"/>
  <c r="G167" i="14"/>
  <c r="H167" i="14"/>
  <c r="G168" i="14"/>
  <c r="H168" i="14"/>
  <c r="G169" i="14"/>
  <c r="H169" i="14"/>
  <c r="G170" i="14"/>
  <c r="H170" i="14"/>
  <c r="G171" i="14"/>
  <c r="H171" i="14"/>
  <c r="G172" i="14"/>
  <c r="H172" i="14"/>
  <c r="G173" i="14"/>
  <c r="H173" i="14"/>
  <c r="G174" i="14"/>
  <c r="H174" i="14"/>
  <c r="G175" i="14"/>
  <c r="H175" i="14"/>
  <c r="G176" i="14"/>
  <c r="H176" i="14"/>
  <c r="G177" i="14"/>
  <c r="H177" i="14"/>
  <c r="G131" i="14"/>
  <c r="H131" i="14"/>
  <c r="G132" i="14"/>
  <c r="H132" i="14"/>
  <c r="G133" i="14"/>
  <c r="H133" i="14"/>
  <c r="G134" i="14"/>
  <c r="H134" i="14"/>
  <c r="G135" i="14"/>
  <c r="H135" i="14"/>
  <c r="G136" i="14"/>
  <c r="H136" i="14"/>
  <c r="G137" i="14"/>
  <c r="H137" i="14"/>
  <c r="G138" i="14"/>
  <c r="H138" i="14"/>
  <c r="G139" i="14"/>
  <c r="H139" i="14"/>
  <c r="G140" i="14"/>
  <c r="H140" i="14"/>
  <c r="G141" i="14"/>
  <c r="H141" i="14"/>
  <c r="G142" i="14"/>
  <c r="H142" i="14"/>
  <c r="G143" i="14"/>
  <c r="H143" i="14"/>
  <c r="G144" i="14"/>
  <c r="H144" i="14"/>
  <c r="G145" i="14"/>
  <c r="H145" i="14"/>
  <c r="G146" i="14"/>
  <c r="H146" i="14"/>
  <c r="G147" i="14"/>
  <c r="H147" i="14"/>
  <c r="G148" i="14"/>
  <c r="H148" i="14"/>
  <c r="G149" i="14"/>
  <c r="H149" i="14"/>
  <c r="G150" i="14"/>
  <c r="H150" i="14"/>
  <c r="G151" i="14"/>
  <c r="H151" i="14"/>
  <c r="G152" i="14"/>
  <c r="H152" i="14"/>
  <c r="G153" i="14"/>
  <c r="H153" i="14"/>
  <c r="G154" i="14"/>
  <c r="H154" i="14"/>
  <c r="G155" i="14"/>
  <c r="H155" i="14"/>
  <c r="G156" i="14"/>
  <c r="H156" i="14"/>
  <c r="G157" i="14"/>
  <c r="H157" i="14"/>
  <c r="G158" i="14"/>
  <c r="H158" i="14"/>
  <c r="G159" i="14"/>
  <c r="H159" i="14"/>
  <c r="G160" i="14"/>
  <c r="H160" i="14"/>
  <c r="G161" i="14"/>
  <c r="H161" i="14"/>
  <c r="G99" i="14"/>
  <c r="H99" i="14"/>
  <c r="G100" i="14"/>
  <c r="H100" i="14"/>
  <c r="G101" i="14"/>
  <c r="H101" i="14"/>
  <c r="G102" i="14"/>
  <c r="H102" i="14"/>
  <c r="G103" i="14"/>
  <c r="H103" i="14"/>
  <c r="G104" i="14"/>
  <c r="H104" i="14"/>
  <c r="G105" i="14"/>
  <c r="H105" i="14"/>
  <c r="G107" i="14"/>
  <c r="H107" i="14"/>
  <c r="G108" i="14"/>
  <c r="H108" i="14"/>
  <c r="G109" i="14"/>
  <c r="H109" i="14"/>
  <c r="G110" i="14"/>
  <c r="H110" i="14"/>
  <c r="G111" i="14"/>
  <c r="H111" i="14"/>
  <c r="G112" i="14"/>
  <c r="H112" i="14"/>
  <c r="G113" i="14"/>
  <c r="H113" i="14"/>
  <c r="G114" i="14"/>
  <c r="H114" i="14"/>
  <c r="G115" i="14"/>
  <c r="H115" i="14"/>
  <c r="G116" i="14"/>
  <c r="H116" i="14"/>
  <c r="G117" i="14"/>
  <c r="H117" i="14"/>
  <c r="G118" i="14"/>
  <c r="H118" i="14"/>
  <c r="G119" i="14"/>
  <c r="H119" i="14"/>
  <c r="G120" i="14"/>
  <c r="H120" i="14"/>
  <c r="G121" i="14"/>
  <c r="H121" i="14"/>
  <c r="G122" i="14"/>
  <c r="H122" i="14"/>
  <c r="G123" i="14"/>
  <c r="H123" i="14"/>
  <c r="G124" i="14"/>
  <c r="H124" i="14"/>
  <c r="G125" i="14"/>
  <c r="H125" i="14"/>
  <c r="G126" i="14"/>
  <c r="H126" i="14"/>
  <c r="G127" i="14"/>
  <c r="H127" i="14"/>
  <c r="G128" i="14"/>
  <c r="H128" i="14"/>
  <c r="G129" i="14"/>
  <c r="H129" i="14"/>
  <c r="G130" i="14"/>
  <c r="H130" i="14"/>
  <c r="G81" i="14"/>
  <c r="H81" i="14"/>
  <c r="G82" i="14"/>
  <c r="H82" i="14"/>
  <c r="G83" i="14"/>
  <c r="H83" i="14"/>
  <c r="G84" i="14"/>
  <c r="H84" i="14"/>
  <c r="G85" i="14"/>
  <c r="H85" i="14"/>
  <c r="G86" i="14"/>
  <c r="H86" i="14"/>
  <c r="G87" i="14"/>
  <c r="H87" i="14"/>
  <c r="G88" i="14"/>
  <c r="H88" i="14"/>
  <c r="G89" i="14"/>
  <c r="H89" i="14"/>
  <c r="G90" i="14"/>
  <c r="H90" i="14"/>
  <c r="G91" i="14"/>
  <c r="H91" i="14"/>
  <c r="G92" i="14"/>
  <c r="H92" i="14"/>
  <c r="G93" i="14"/>
  <c r="H93" i="14"/>
  <c r="G94" i="14"/>
  <c r="H94" i="14"/>
  <c r="G95" i="14"/>
  <c r="H95" i="14"/>
  <c r="G96" i="14"/>
  <c r="H96" i="14"/>
  <c r="G67" i="14"/>
  <c r="H67" i="14"/>
  <c r="G68" i="14"/>
  <c r="H68" i="14"/>
  <c r="G69" i="14"/>
  <c r="H69" i="14"/>
  <c r="G70" i="14"/>
  <c r="H70" i="14"/>
  <c r="G71" i="14"/>
  <c r="H71" i="14"/>
  <c r="G72" i="14"/>
  <c r="H72" i="14"/>
  <c r="G73" i="14"/>
  <c r="H73" i="14"/>
  <c r="G74" i="14"/>
  <c r="H74" i="14"/>
  <c r="G75" i="14"/>
  <c r="H75" i="14"/>
  <c r="G76" i="14"/>
  <c r="H76" i="14"/>
  <c r="G77" i="14"/>
  <c r="H77" i="14"/>
  <c r="G78" i="14"/>
  <c r="H78" i="14"/>
  <c r="G79" i="14"/>
  <c r="H79" i="14"/>
  <c r="G80" i="14"/>
  <c r="H80" i="14"/>
  <c r="G50" i="14"/>
  <c r="H50" i="14"/>
  <c r="G51" i="14"/>
  <c r="H51" i="14"/>
  <c r="G52" i="14"/>
  <c r="H52" i="14"/>
  <c r="G53" i="14"/>
  <c r="H53" i="14"/>
  <c r="G54" i="14"/>
  <c r="H54" i="14"/>
  <c r="G55" i="14"/>
  <c r="H55" i="14"/>
  <c r="G56" i="14"/>
  <c r="H56" i="14"/>
  <c r="G57" i="14"/>
  <c r="H57" i="14"/>
  <c r="G58" i="14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G66" i="14"/>
  <c r="H66" i="14"/>
  <c r="G17" i="14"/>
  <c r="H17" i="14"/>
  <c r="G14" i="14"/>
  <c r="H14" i="14"/>
  <c r="G15" i="14"/>
  <c r="H15" i="14"/>
  <c r="G16" i="14"/>
  <c r="H16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G24" i="14"/>
  <c r="H24" i="14"/>
  <c r="G25" i="14"/>
  <c r="H25" i="14"/>
  <c r="G26" i="14"/>
  <c r="H26" i="14"/>
  <c r="G27" i="14"/>
  <c r="H27" i="14"/>
  <c r="G28" i="14"/>
  <c r="H28" i="14"/>
  <c r="G29" i="14"/>
  <c r="H29" i="14"/>
  <c r="G30" i="14"/>
  <c r="H30" i="14"/>
  <c r="G31" i="14"/>
  <c r="H31" i="14"/>
  <c r="G32" i="14"/>
  <c r="H32" i="14"/>
  <c r="G33" i="14"/>
  <c r="H33" i="14"/>
  <c r="G34" i="14"/>
  <c r="H34" i="14"/>
  <c r="G36" i="14"/>
  <c r="H36" i="14"/>
  <c r="G42" i="14"/>
  <c r="H42" i="14"/>
  <c r="G44" i="14"/>
  <c r="H44" i="14"/>
  <c r="G45" i="14"/>
  <c r="H45" i="14"/>
  <c r="G47" i="14"/>
  <c r="H47" i="14"/>
  <c r="G48" i="14"/>
  <c r="H48" i="14"/>
  <c r="G49" i="14"/>
  <c r="H49" i="14"/>
  <c r="Q10" i="12"/>
  <c r="F10" i="12" s="1"/>
  <c r="J18" i="12"/>
  <c r="F18" i="12"/>
  <c r="F12" i="12"/>
  <c r="J12" i="12"/>
  <c r="F14" i="12"/>
  <c r="J14" i="12"/>
  <c r="F11" i="12"/>
  <c r="J11" i="12"/>
  <c r="F13" i="12"/>
  <c r="J13" i="12"/>
  <c r="J54" i="12"/>
  <c r="F54" i="12"/>
  <c r="J53" i="12"/>
  <c r="F53" i="12"/>
  <c r="J52" i="12"/>
  <c r="F52" i="12"/>
  <c r="J51" i="12"/>
  <c r="F51" i="12"/>
  <c r="J50" i="12"/>
  <c r="F50" i="12"/>
  <c r="J41" i="12"/>
  <c r="F41" i="12"/>
  <c r="J40" i="12"/>
  <c r="F40" i="12"/>
  <c r="J39" i="12"/>
  <c r="F39" i="12"/>
  <c r="J38" i="12"/>
  <c r="F38" i="12"/>
  <c r="J37" i="12"/>
  <c r="F37" i="12"/>
  <c r="J36" i="12"/>
  <c r="F36" i="12"/>
  <c r="J35" i="12"/>
  <c r="F35" i="12"/>
  <c r="J34" i="12"/>
  <c r="F34" i="12"/>
  <c r="J33" i="12"/>
  <c r="F33" i="12"/>
  <c r="J32" i="12"/>
  <c r="F32" i="12"/>
  <c r="J31" i="12"/>
  <c r="F31" i="12"/>
  <c r="J30" i="12"/>
  <c r="F30" i="12"/>
  <c r="J29" i="12"/>
  <c r="F29" i="12"/>
  <c r="J28" i="12"/>
  <c r="F28" i="12"/>
  <c r="J27" i="12"/>
  <c r="F27" i="12"/>
  <c r="J26" i="12"/>
  <c r="F26" i="12"/>
  <c r="J25" i="12"/>
  <c r="F25" i="12"/>
  <c r="J24" i="12"/>
  <c r="F24" i="12"/>
  <c r="F23" i="12"/>
  <c r="J22" i="12"/>
  <c r="F22" i="12"/>
  <c r="J21" i="12"/>
  <c r="F21" i="12"/>
  <c r="G61" i="6"/>
  <c r="G53" i="6"/>
  <c r="G28" i="6"/>
  <c r="G19" i="6"/>
  <c r="F19" i="12"/>
  <c r="F16" i="12"/>
  <c r="F20" i="12"/>
  <c r="F17" i="12"/>
  <c r="G50" i="6"/>
  <c r="G54" i="6"/>
  <c r="G56" i="6"/>
  <c r="G38" i="6"/>
  <c r="G37" i="6"/>
  <c r="G55" i="6"/>
  <c r="G14" i="6"/>
  <c r="I118" i="9"/>
  <c r="I116" i="9"/>
  <c r="I115" i="9"/>
  <c r="G80" i="6"/>
  <c r="G22" i="6"/>
  <c r="G51" i="6"/>
  <c r="G64" i="6"/>
  <c r="G33" i="6"/>
  <c r="G49" i="6"/>
  <c r="G65" i="6"/>
  <c r="G34" i="6"/>
  <c r="G3" i="6"/>
  <c r="G43" i="6"/>
  <c r="G16" i="6"/>
  <c r="G7" i="6"/>
  <c r="G15" i="6"/>
  <c r="G95" i="6"/>
  <c r="G136" i="6"/>
  <c r="G60" i="6"/>
  <c r="G35" i="6"/>
  <c r="G96" i="6"/>
  <c r="G117" i="6"/>
  <c r="G137" i="6"/>
  <c r="G119" i="6"/>
  <c r="G13" i="6"/>
  <c r="G77" i="6"/>
  <c r="G140" i="6"/>
  <c r="F94" i="6"/>
  <c r="G94" i="6" s="1"/>
  <c r="F5" i="6"/>
  <c r="G5" i="6" s="1"/>
  <c r="F9" i="6"/>
  <c r="G9" i="6" s="1"/>
  <c r="F115" i="6"/>
  <c r="G115" i="6" s="1"/>
  <c r="F104" i="6"/>
  <c r="G104" i="6" s="1"/>
  <c r="F105" i="6"/>
  <c r="G105" i="6" s="1"/>
  <c r="F114" i="6"/>
  <c r="G114" i="6" s="1"/>
  <c r="F4" i="6"/>
  <c r="G4" i="6" s="1"/>
  <c r="F11" i="6"/>
  <c r="G11" i="6" s="1"/>
  <c r="H2" i="14"/>
  <c r="G2" i="14"/>
  <c r="C49" i="12"/>
  <c r="Q49" i="12" s="1"/>
  <c r="F49" i="12" s="1"/>
  <c r="C42" i="12"/>
  <c r="Q42" i="12" s="1"/>
  <c r="J42" i="12" s="1"/>
  <c r="C43" i="12"/>
  <c r="Q43" i="12" s="1"/>
  <c r="F43" i="12" s="1"/>
  <c r="C44" i="12"/>
  <c r="Q44" i="12" s="1"/>
  <c r="C45" i="12"/>
  <c r="Q45" i="12" s="1"/>
  <c r="C46" i="12"/>
  <c r="Q46" i="12" s="1"/>
  <c r="C47" i="12"/>
  <c r="Q47" i="12" s="1"/>
  <c r="C48" i="12"/>
  <c r="Q48" i="12" s="1"/>
  <c r="F83" i="16"/>
  <c r="F80" i="16"/>
  <c r="F74" i="16"/>
  <c r="F73" i="16"/>
  <c r="F72" i="16"/>
  <c r="F70" i="16"/>
  <c r="F65" i="16"/>
  <c r="F64" i="16"/>
  <c r="F62" i="16"/>
  <c r="F61" i="16"/>
  <c r="F57" i="16"/>
  <c r="F56" i="16"/>
  <c r="F54" i="16"/>
  <c r="F53" i="16"/>
  <c r="F51" i="16"/>
  <c r="F49" i="16"/>
  <c r="F48" i="16"/>
  <c r="F47" i="16"/>
  <c r="F45" i="16"/>
  <c r="F44" i="16"/>
  <c r="F43" i="16"/>
  <c r="F42" i="16"/>
  <c r="F40" i="16"/>
  <c r="F39" i="16"/>
  <c r="F37" i="16"/>
  <c r="F36" i="16"/>
  <c r="F35" i="16"/>
  <c r="F34" i="16"/>
  <c r="F32" i="16"/>
  <c r="F31" i="16"/>
  <c r="F30" i="16"/>
  <c r="F29" i="16"/>
  <c r="F26" i="16"/>
  <c r="F24" i="16"/>
  <c r="F23" i="16"/>
  <c r="F22" i="16"/>
  <c r="F21" i="16"/>
  <c r="F19" i="16"/>
  <c r="F18" i="16"/>
  <c r="F17" i="16"/>
  <c r="F14" i="16"/>
  <c r="F12" i="16"/>
  <c r="F11" i="16"/>
  <c r="F10" i="16"/>
  <c r="F9" i="16"/>
  <c r="F7" i="16"/>
  <c r="F6" i="16"/>
  <c r="F5" i="16"/>
  <c r="D2" i="16"/>
  <c r="F2" i="16" s="1"/>
  <c r="F3" i="16"/>
  <c r="J10" i="12" l="1"/>
  <c r="F44" i="12"/>
  <c r="J44" i="12"/>
  <c r="F47" i="12"/>
  <c r="J47" i="12"/>
  <c r="F48" i="12"/>
  <c r="J48" i="12"/>
  <c r="F46" i="12"/>
  <c r="J46" i="12"/>
  <c r="F45" i="12"/>
  <c r="J45" i="12"/>
  <c r="F42" i="12"/>
  <c r="J49" i="12"/>
  <c r="J43" i="12"/>
  <c r="F52" i="16"/>
  <c r="F33" i="16"/>
  <c r="F27" i="16"/>
</calcChain>
</file>

<file path=xl/sharedStrings.xml><?xml version="1.0" encoding="utf-8"?>
<sst xmlns="http://schemas.openxmlformats.org/spreadsheetml/2006/main" count="11648" uniqueCount="743">
  <si>
    <t>RIS NO</t>
  </si>
  <si>
    <r>
      <rPr>
        <b/>
        <sz val="11"/>
        <color rgb="FF000000"/>
        <rFont val="Calibri"/>
        <family val="2"/>
      </rPr>
      <t xml:space="preserve">COUNT </t>
    </r>
    <r>
      <rPr>
        <b/>
        <sz val="9"/>
        <color rgb="FF000000"/>
        <rFont val="Calibri"/>
        <family val="2"/>
      </rPr>
      <t>(Max20)</t>
    </r>
  </si>
  <si>
    <t>CODE</t>
  </si>
  <si>
    <r>
      <t xml:space="preserve">REQUEST DATE </t>
    </r>
    <r>
      <rPr>
        <b/>
        <sz val="8"/>
        <rFont val="Calibri"/>
        <family val="2"/>
      </rPr>
      <t>(MM/DD/YYYY)</t>
    </r>
  </si>
  <si>
    <t>DESCRIPTION</t>
  </si>
  <si>
    <t>QTY</t>
  </si>
  <si>
    <t>UNIT</t>
  </si>
  <si>
    <t>STOCK CODE</t>
  </si>
  <si>
    <t>MONTH</t>
  </si>
  <si>
    <t>2023-016</t>
  </si>
  <si>
    <t>Bond copy paper, A4 size,70gsm 500shts/rm</t>
  </si>
  <si>
    <t>2025-001</t>
  </si>
  <si>
    <t>Bond prem,LEGAL SIZE, 216x330mm,70gsm 500shts/rm</t>
  </si>
  <si>
    <t>Folder - legal size, 36mm thick (14pts)</t>
  </si>
  <si>
    <t>Envelope - document, 10 x 15</t>
  </si>
  <si>
    <t>Tape - transparent 1</t>
  </si>
  <si>
    <t>2025-002</t>
  </si>
  <si>
    <t>Paste - solid w/ waterwell and applicator</t>
  </si>
  <si>
    <t>Ballpoint pen</t>
  </si>
  <si>
    <t>Tape - masking 1</t>
  </si>
  <si>
    <t>Correction tape</t>
  </si>
  <si>
    <t>Packaging tape 2”</t>
  </si>
  <si>
    <t>Paper – tissue</t>
  </si>
  <si>
    <t>Pencil</t>
  </si>
  <si>
    <t>Marking pen</t>
  </si>
  <si>
    <t>Binder clip 1”</t>
  </si>
  <si>
    <t>Rubber band - multicolor, 450 grams</t>
  </si>
  <si>
    <t>Rubber band - transparent 445 grams</t>
  </si>
  <si>
    <t>2025-003</t>
  </si>
  <si>
    <t>Alcohol, ethyl, 68%-72%</t>
  </si>
  <si>
    <t>Staple wire, 5000 pcs</t>
  </si>
  <si>
    <t>3</t>
  </si>
  <si>
    <t>2025-004</t>
  </si>
  <si>
    <t>MEMBER DATA CHANGE REQUEST PAGE 1&amp;2</t>
  </si>
  <si>
    <t xml:space="preserve">ACOP- SURVIVING LEGAL SPOUSE </t>
  </si>
  <si>
    <t>ACOP-  REPRESENTATIVE PAYEE OF DEPENDENT</t>
  </si>
  <si>
    <t>ACOP- RETIREMENT/DISABILITY</t>
  </si>
  <si>
    <t>Request/Verification Form new Code</t>
  </si>
  <si>
    <t>PAYMENT SLIP-CONTRIBUTION 1</t>
  </si>
  <si>
    <t>PAYMENT SLIP-MEMBER LOAN</t>
  </si>
  <si>
    <t>2025-005</t>
  </si>
  <si>
    <t>2025-006</t>
  </si>
  <si>
    <t>2025-007</t>
  </si>
  <si>
    <t>Binder clip 2”</t>
  </si>
  <si>
    <t>2025-008</t>
  </si>
  <si>
    <t>PROPERTY STICKER/TAG</t>
  </si>
  <si>
    <t>2025-009</t>
  </si>
  <si>
    <t>2025-010</t>
  </si>
  <si>
    <t>2025-011</t>
  </si>
  <si>
    <t>2025-012</t>
  </si>
  <si>
    <t>2025-013</t>
  </si>
  <si>
    <t>PAYMENT SLIP-CONTRIBUTION 2</t>
  </si>
  <si>
    <t>2025-014</t>
  </si>
  <si>
    <t>Ribbon – ERC-31 for TMU-950 (epson)</t>
  </si>
  <si>
    <t>2025-015</t>
  </si>
  <si>
    <t>2025-016</t>
  </si>
  <si>
    <t>2025-017</t>
  </si>
  <si>
    <t>2025-018</t>
  </si>
  <si>
    <t>Paper clip, 100 pcs</t>
  </si>
  <si>
    <t>2025-019</t>
  </si>
  <si>
    <t>MEMBER'S/CLAIMANT'S PHOTO SIGNATURE CARD</t>
  </si>
  <si>
    <t xml:space="preserve">Cerfificate of registration - employer </t>
  </si>
  <si>
    <t>2025-020</t>
  </si>
  <si>
    <t>Alcohol, ethyl, 68%-72% (500ml)</t>
  </si>
  <si>
    <t>2025-021</t>
  </si>
  <si>
    <t>Paper clip big</t>
  </si>
  <si>
    <t>Binder clip 3/4”</t>
  </si>
  <si>
    <t>2025-022</t>
  </si>
  <si>
    <t>Record book, 500 pages</t>
  </si>
  <si>
    <t>2025-023</t>
  </si>
  <si>
    <t>Thermal paper for set 80 x 30mm</t>
  </si>
  <si>
    <t>2025-024</t>
  </si>
  <si>
    <t>Ballpoint pen - black</t>
  </si>
  <si>
    <t>Pensioners Data Change Request form</t>
  </si>
  <si>
    <t>8-145116</t>
  </si>
  <si>
    <t>2026-001</t>
  </si>
  <si>
    <t>2026-002</t>
  </si>
  <si>
    <t>2026-003</t>
  </si>
  <si>
    <t>L-501-SPECIMENT SIGNATURE CARD</t>
  </si>
  <si>
    <t>2026-004</t>
  </si>
  <si>
    <t>2026-005</t>
  </si>
  <si>
    <t>Sign pen</t>
  </si>
  <si>
    <t>2026-006</t>
  </si>
  <si>
    <t>2026-007</t>
  </si>
  <si>
    <r>
      <t xml:space="preserve">COUNT </t>
    </r>
    <r>
      <rPr>
        <b/>
        <sz val="9"/>
        <rFont val="Calibri"/>
        <family val="2"/>
      </rPr>
      <t>(Max10)</t>
    </r>
  </si>
  <si>
    <r>
      <t xml:space="preserve">DATE RECEIVED </t>
    </r>
    <r>
      <rPr>
        <b/>
        <sz val="8"/>
        <rFont val="Calibri"/>
        <family val="2"/>
      </rPr>
      <t>(MM/DD/YYYY)</t>
    </r>
  </si>
  <si>
    <t>STOCKS RECEIVED (QTY)</t>
  </si>
  <si>
    <t>Column1</t>
  </si>
  <si>
    <t>Column2</t>
  </si>
  <si>
    <t>NONE IN STOCK</t>
  </si>
  <si>
    <t>NOT FOR SHIPMENT</t>
  </si>
  <si>
    <t>NON-STOCK</t>
  </si>
  <si>
    <t>W/ MANDATORY ISSUANCE RIS # 144173</t>
  </si>
  <si>
    <t>w/ RIS</t>
  </si>
  <si>
    <t>8-145904</t>
  </si>
  <si>
    <t>ream</t>
  </si>
  <si>
    <t>2026-0001</t>
  </si>
  <si>
    <t>2026-0002</t>
  </si>
  <si>
    <t>box</t>
  </si>
  <si>
    <t>2026-0003</t>
  </si>
  <si>
    <t>2026-0004</t>
  </si>
  <si>
    <t>roll</t>
  </si>
  <si>
    <t>2026-0005</t>
  </si>
  <si>
    <t>2026-0006</t>
  </si>
  <si>
    <t>Ream</t>
  </si>
  <si>
    <t>2026-0007</t>
  </si>
  <si>
    <t>Piece</t>
  </si>
  <si>
    <t>2026-0008</t>
  </si>
  <si>
    <t>2026-0009</t>
  </si>
  <si>
    <t>2C</t>
  </si>
  <si>
    <t>C</t>
  </si>
  <si>
    <t>2026-0010</t>
  </si>
  <si>
    <t>2026-0011</t>
  </si>
  <si>
    <t>2026-0012</t>
  </si>
  <si>
    <t>2026-0013</t>
  </si>
  <si>
    <t>2026-0014</t>
  </si>
  <si>
    <t>2026-0015</t>
  </si>
  <si>
    <t>Certificate of registration - employer</t>
  </si>
  <si>
    <t>2026-0016</t>
  </si>
  <si>
    <t>Bottle</t>
  </si>
  <si>
    <t>2026-0017</t>
  </si>
  <si>
    <t>Box</t>
  </si>
  <si>
    <t>2026-0018</t>
  </si>
  <si>
    <t>2026-0019</t>
  </si>
  <si>
    <t>2026-0020</t>
  </si>
  <si>
    <t>2026-0021</t>
  </si>
  <si>
    <t>2026-0022</t>
  </si>
  <si>
    <t>2026-0023</t>
  </si>
  <si>
    <t>2026-0024</t>
  </si>
  <si>
    <t>Pensioner Data Change Request form</t>
  </si>
  <si>
    <t>2519/2520</t>
  </si>
  <si>
    <t xml:space="preserve">Certificate of registration - employer </t>
  </si>
  <si>
    <t>2026-02222</t>
  </si>
  <si>
    <t>Roll</t>
  </si>
  <si>
    <t>270/2526</t>
  </si>
  <si>
    <t>PJO</t>
  </si>
  <si>
    <t>2026-0031</t>
  </si>
  <si>
    <t>NS</t>
  </si>
  <si>
    <t>2026-000</t>
  </si>
  <si>
    <r>
      <t xml:space="preserve">NO </t>
    </r>
    <r>
      <rPr>
        <b/>
        <sz val="9"/>
        <color indexed="8"/>
        <rFont val="Calibri"/>
        <family val="2"/>
      </rPr>
      <t>(Max10)</t>
    </r>
  </si>
  <si>
    <t>REF</t>
  </si>
  <si>
    <t>REQUEST DATE (MM/DD/YYYY)</t>
  </si>
  <si>
    <t>BALANCE AVAILABLE STOCKS</t>
  </si>
  <si>
    <t>REQUESTED BY</t>
  </si>
  <si>
    <t>EMAILED DATE</t>
  </si>
  <si>
    <t>RECEIPT DATE</t>
  </si>
  <si>
    <t>NO OF STOCKS (IN)</t>
  </si>
  <si>
    <t>RELEASING DATE</t>
  </si>
  <si>
    <t>NO OF STOCKS (OUT)</t>
  </si>
  <si>
    <t>2022-001</t>
  </si>
  <si>
    <t>OLD</t>
  </si>
  <si>
    <t>SCRUB SPONGE</t>
  </si>
  <si>
    <t>BAYGON MULTI INSECT SPRAY</t>
  </si>
  <si>
    <t>MULTI PURP CLEANER LIQUID PUREBASICS</t>
  </si>
  <si>
    <t>SURF POWDER DETERGENT</t>
  </si>
  <si>
    <t>LYSOL TIOLET CLEANER</t>
  </si>
  <si>
    <t>HAND LIQUID SOAP (BOT)</t>
  </si>
  <si>
    <t>MURIATIC ACID (L)</t>
  </si>
  <si>
    <t>MULTI PURP CLEANER LIQUID DOMEX</t>
  </si>
  <si>
    <t>ZONROX (GAL)</t>
  </si>
  <si>
    <t>MOP HEAD</t>
  </si>
  <si>
    <t>TRASH BAG XL-XXL</t>
  </si>
  <si>
    <t>DEODORANT CAKE</t>
  </si>
  <si>
    <t>MOUSE BAIT</t>
  </si>
  <si>
    <t>TOILET BOWL CLEANER DOMEX (L)</t>
  </si>
  <si>
    <t>AIR FRESHENER (GEL)</t>
  </si>
  <si>
    <t>TISSUE (PAPER TOWEL)</t>
  </si>
  <si>
    <t>LYSOL DISINFECTANT SPRAY &amp; AIR FRESHENER/DEODORIZER</t>
  </si>
  <si>
    <t>CAR FRESHENER</t>
  </si>
  <si>
    <t>DISHWASHING LIQUID (L)</t>
  </si>
  <si>
    <t>RUG</t>
  </si>
  <si>
    <t>SOFT BROOM</t>
  </si>
  <si>
    <t>DISINFECTANT &amp; CLEANING SOLUTION (GAL)</t>
  </si>
  <si>
    <t>HAND SANITIZER (GAL)</t>
  </si>
  <si>
    <t>ALCOHOL ETHYL (GAL)</t>
  </si>
  <si>
    <t>RHODA</t>
  </si>
  <si>
    <t>MARTIN</t>
  </si>
  <si>
    <t>ADMIN</t>
  </si>
  <si>
    <t>MSS</t>
  </si>
  <si>
    <t>REY</t>
  </si>
  <si>
    <t>KAPATAGAN SO</t>
  </si>
  <si>
    <t>N</t>
  </si>
  <si>
    <t xml:space="preserve"> </t>
  </si>
  <si>
    <t>MOP</t>
  </si>
  <si>
    <t>DDD</t>
  </si>
  <si>
    <t>BROOM BRUSH</t>
  </si>
  <si>
    <t>BROOM NYLON</t>
  </si>
  <si>
    <t>BRUSH</t>
  </si>
  <si>
    <t>DECLOGGER</t>
  </si>
  <si>
    <t>DISINFECTANT MAT</t>
  </si>
  <si>
    <t>DUST PAN</t>
  </si>
  <si>
    <t>MOP EASY SQUEEZE</t>
  </si>
  <si>
    <t>RUBBERIZED GLOVES</t>
  </si>
  <si>
    <t>SCRUB PAD</t>
  </si>
  <si>
    <t>OBH</t>
  </si>
  <si>
    <t>AMS</t>
  </si>
  <si>
    <t>TELLERING</t>
  </si>
  <si>
    <r>
      <t xml:space="preserve">DATE RELEASED </t>
    </r>
    <r>
      <rPr>
        <b/>
        <sz val="8"/>
        <color rgb="FF002060"/>
        <rFont val="Calibri"/>
        <family val="2"/>
      </rPr>
      <t>(MM/DD/YYYY)</t>
    </r>
  </si>
  <si>
    <t>STOCKS RELEASED (QTY)</t>
  </si>
  <si>
    <t>REQUESTED BY medical</t>
  </si>
  <si>
    <t>MSS-ECS</t>
  </si>
  <si>
    <t>UBP QUICK CARDS - PENSION LOAN</t>
  </si>
  <si>
    <t>admin</t>
  </si>
  <si>
    <t>Stamp pad - big 3-7/16 x 5-5/8</t>
  </si>
  <si>
    <t>DEATH CLAIM APPLICATION 1</t>
  </si>
  <si>
    <t>RETIREMENT P.1</t>
  </si>
  <si>
    <t>FUNERAL APPLICATION</t>
  </si>
  <si>
    <t>E4-PAGE 1-MEMBER DATA CHANGE PAGE 1</t>
  </si>
  <si>
    <t>MARAWI SO</t>
  </si>
  <si>
    <t>pieces</t>
  </si>
  <si>
    <t>MSS-JGT</t>
  </si>
  <si>
    <t>Request/Verification Form new Code, E4 form</t>
  </si>
  <si>
    <t>mss</t>
  </si>
  <si>
    <t>paper cup</t>
  </si>
  <si>
    <t>pack</t>
  </si>
  <si>
    <t>Pensioner Dara changes request</t>
  </si>
  <si>
    <t>piece</t>
  </si>
  <si>
    <t>E4 form page 1&amp;2, data privacy</t>
  </si>
  <si>
    <t>E4 form , data privacy</t>
  </si>
  <si>
    <t>PIECE</t>
  </si>
  <si>
    <t>paper cups</t>
  </si>
  <si>
    <t>Corrugated box</t>
  </si>
  <si>
    <t>tellering</t>
  </si>
  <si>
    <t>ball pen</t>
  </si>
  <si>
    <t>ROLL</t>
  </si>
  <si>
    <t>MSS-CTD</t>
  </si>
  <si>
    <t>E4-PAGE 1-MEMBER DATA CHANGE page 1&amp;2</t>
  </si>
  <si>
    <t>PENSIONER DATA REQUEST</t>
  </si>
  <si>
    <t>DEATH CLAIM APPLICATION 1,2</t>
  </si>
  <si>
    <t>MSS-GSA</t>
  </si>
  <si>
    <t>PCS</t>
  </si>
  <si>
    <t>Empty cartons</t>
  </si>
  <si>
    <t>Ink stamp pad, black</t>
  </si>
  <si>
    <t>PC</t>
  </si>
  <si>
    <t>pc</t>
  </si>
  <si>
    <t>MSS-PAD</t>
  </si>
  <si>
    <t>envelope big</t>
  </si>
  <si>
    <t>MSS-JAL</t>
  </si>
  <si>
    <t>OTHERS</t>
  </si>
  <si>
    <t>MSS-DBL</t>
  </si>
  <si>
    <t>MSS-MPE</t>
  </si>
  <si>
    <t>Envelope, expanding kraftboard for legal docs.</t>
  </si>
  <si>
    <t>Pensioner Data Request</t>
  </si>
  <si>
    <t>Paper cups</t>
  </si>
  <si>
    <t xml:space="preserve">Mailing envelope brown </t>
  </si>
  <si>
    <t>Mailing envelope brown</t>
  </si>
  <si>
    <t xml:space="preserve">Paper cups </t>
  </si>
  <si>
    <t>termal paper</t>
  </si>
  <si>
    <t>TERMAL PAPER</t>
  </si>
  <si>
    <t>Folder - cardboard loose lift 8-1/2x14</t>
  </si>
  <si>
    <t>PENSION DATA REQUEST</t>
  </si>
  <si>
    <t>Envelope - expanding 11x15x 2 w/out flap</t>
  </si>
  <si>
    <t>Employment Report (SS Form R1-A)</t>
  </si>
  <si>
    <t>letter of introduction</t>
  </si>
  <si>
    <t>4/302026</t>
  </si>
  <si>
    <t xml:space="preserve">TERMAL PAPER </t>
  </si>
  <si>
    <t>Toner for Samsung M3820ND MLT-D203E (High Yield)</t>
  </si>
  <si>
    <r>
      <t xml:space="preserve">DATE TODAY </t>
    </r>
    <r>
      <rPr>
        <b/>
        <sz val="8"/>
        <color theme="1"/>
        <rFont val="Calibri"/>
        <family val="2"/>
      </rPr>
      <t>(MM/DD/YYYY)</t>
    </r>
  </si>
  <si>
    <t>BEG BALANCE (QTY)</t>
  </si>
  <si>
    <t>TOTAL STOCKS RECEIVED (QTY)</t>
  </si>
  <si>
    <t>TOTAL STOCKS RELEASED (QTY)</t>
  </si>
  <si>
    <t>ENDING BALANCE (QTY)</t>
  </si>
  <si>
    <t>ACTUAL</t>
  </si>
  <si>
    <t>Carbon film, legal</t>
  </si>
  <si>
    <t>Cartolina - white, 22-1/2 x 28-1/2</t>
  </si>
  <si>
    <t>Envelope - window reg mailing only white (500 pcs/box)</t>
  </si>
  <si>
    <t>Envelope-wdw reg no add white for brnchs (500 pcs/box)</t>
  </si>
  <si>
    <t>Folder - marble green, 11 x 14-7/8</t>
  </si>
  <si>
    <t>Paper - adding machine tape, 2-1/4</t>
  </si>
  <si>
    <t>Paper-bond w/letterhead, a4 size 70gsm</t>
  </si>
  <si>
    <t>ACOP-PENSIONERS REPLY P1&amp;2</t>
  </si>
  <si>
    <t>DEATH CLAIM APPLICATION PAGE 1</t>
  </si>
  <si>
    <t>DEATH CLAIM APPLICATION PAGE 2</t>
  </si>
  <si>
    <t>E4-PAGE 2-MEMBER DATA CHANGE PAGE 2</t>
  </si>
  <si>
    <t>R-6 Misc p.r, 25shts 07'13 (carbonless)</t>
  </si>
  <si>
    <t>REGISTRY RETURN RECEIPT CARD</t>
  </si>
  <si>
    <t>Rel-9 rep 25sets/pad 4ply (carbonless)</t>
  </si>
  <si>
    <t>RETIREMENT P.2</t>
  </si>
  <si>
    <t>SINUMPAANG SALAYSAY (RF)</t>
  </si>
  <si>
    <t>Binder clip 1 1/4”</t>
  </si>
  <si>
    <t>File Organizer</t>
  </si>
  <si>
    <t>Flag 3 x 6</t>
  </si>
  <si>
    <t>Ink - stamp pad, violet</t>
  </si>
  <si>
    <t>Ink for trodat dater, black 28ml/bottle</t>
  </si>
  <si>
    <t>Marking pen - whiteboard</t>
  </si>
  <si>
    <t>Paper fastener, 50 pcs</t>
  </si>
  <si>
    <t>Plastic envelope, 10 x 15 gauge no. 5</t>
  </si>
  <si>
    <t>Rag - camiseta</t>
  </si>
  <si>
    <t>Record book, 300 pages</t>
  </si>
  <si>
    <t>Ruler - plastic</t>
  </si>
  <si>
    <t>Staple wire remover</t>
  </si>
  <si>
    <t>Steno notebook, 50 sheets per pad</t>
  </si>
  <si>
    <t>Twine - plastic</t>
  </si>
  <si>
    <t>Waste basket</t>
  </si>
  <si>
    <t>Drum for brother hl 5450 printer</t>
  </si>
  <si>
    <t>Kyocera laser printer tk- 5244, Cyan  (new carried on stock)</t>
  </si>
  <si>
    <t>Kyocera laser printer tk- 5244, Black (new carried on stock)</t>
  </si>
  <si>
    <t>Kyocera laser printer tk- 5244, Magenta (new carried on stock)</t>
  </si>
  <si>
    <t>Kyocera laser printer tk- 5244, Yellow (new carried on stock)</t>
  </si>
  <si>
    <t>Lto ultrium 6, 6.25tb c/o dcod</t>
  </si>
  <si>
    <t>Lto ultrium 7, 7.15tb c/o dcod</t>
  </si>
  <si>
    <t>Ribbon tally dascom 1330 99007</t>
  </si>
  <si>
    <t>Toner- for Canon LBP 6780X (Compatible)</t>
  </si>
  <si>
    <t>TSF - 11x10-5/8 1 ply 2000 shts/box</t>
  </si>
  <si>
    <t>TSF - 11x14-7/8 1 ply 2000 shts/box</t>
  </si>
  <si>
    <t>TSF - 11x8-1/2 1 ply 2000 shts/box</t>
  </si>
  <si>
    <t>REQUISITION AND ISSUE SLIP</t>
  </si>
  <si>
    <t>R.I.S. No.</t>
  </si>
  <si>
    <t>SSS Form S-101 (Revised 03/07)</t>
  </si>
  <si>
    <t>Fill up in 3 copies</t>
  </si>
  <si>
    <t>ILI-2022-010</t>
  </si>
  <si>
    <t>TO: PROPERTY DIVISION</t>
  </si>
  <si>
    <r>
      <t xml:space="preserve">FROM: </t>
    </r>
    <r>
      <rPr>
        <sz val="8"/>
        <color indexed="8"/>
        <rFont val="Arial"/>
        <family val="2"/>
      </rPr>
      <t>(Requisitioning Branch)</t>
    </r>
  </si>
  <si>
    <t>DEPTCODE</t>
  </si>
  <si>
    <t>DATE</t>
  </si>
  <si>
    <t>PLEASE FURNISH US THE  FOLLOWING SUPPLIES:</t>
  </si>
  <si>
    <t>ILIGAN BRANCH</t>
  </si>
  <si>
    <t>BALANCE ON HAND</t>
  </si>
  <si>
    <t>UNIT OF MEASURE</t>
  </si>
  <si>
    <t>QUANTITY</t>
  </si>
  <si>
    <t>ISSUED BY</t>
  </si>
  <si>
    <t>UNIT COST</t>
  </si>
  <si>
    <t>TOTAL COST</t>
  </si>
  <si>
    <t>REGD</t>
  </si>
  <si>
    <t>ISSUED</t>
  </si>
  <si>
    <t>Bookpaper/Offset - 8-1/2 x 13</t>
  </si>
  <si>
    <t>Bookpaper/Offset – A4</t>
  </si>
  <si>
    <t>Folder - Legal size, 36mm thick (14pts)</t>
  </si>
  <si>
    <t>Envelope - Wdw #10 Not Reg No Add Brwn</t>
  </si>
  <si>
    <t>Signature of Requisitioning Department/Branch</t>
  </si>
  <si>
    <t>Approval:</t>
  </si>
  <si>
    <t>CHERYL V. JARIOL, M.D.</t>
  </si>
  <si>
    <t>Branch Head II</t>
  </si>
  <si>
    <t>Received the above supplies as issued:</t>
  </si>
  <si>
    <t>Date:</t>
  </si>
  <si>
    <t>Team Head, Warehouse</t>
  </si>
  <si>
    <t>Stock Code</t>
  </si>
  <si>
    <t>Material Description</t>
  </si>
  <si>
    <t>Unit of Measue</t>
  </si>
  <si>
    <t>Beginning Balance</t>
  </si>
  <si>
    <t>TOTAL IN STOCKS</t>
  </si>
  <si>
    <t>TOTAL OUT STOCKS</t>
  </si>
  <si>
    <t>Running Balance</t>
  </si>
  <si>
    <t>PAPER AND PAPER PRODUCTS</t>
  </si>
  <si>
    <t>x</t>
  </si>
  <si>
    <t>Bookpaper/Offset - 8 1/2 x 11</t>
  </si>
  <si>
    <t>Paper – Carbon Legal Size</t>
  </si>
  <si>
    <t>Envelope - Window Reg Mailing Only White</t>
  </si>
  <si>
    <t>Envelope - Document, 10 x 15</t>
  </si>
  <si>
    <t>Envelope - Exp,10x15x 2 w/out flap thick</t>
  </si>
  <si>
    <t>PRINTED FORMS</t>
  </si>
  <si>
    <t>FOI</t>
  </si>
  <si>
    <t>FOI REQUEST FORM</t>
  </si>
  <si>
    <t>Toner Laser Printer HP-P2015D Q-7553A</t>
  </si>
  <si>
    <t>REL-9 - Real Estate Pymnt  25 shts 4 ply</t>
  </si>
  <si>
    <t>pad</t>
  </si>
  <si>
    <t>R-6 - Misc Paymt Ret, 25 shts, 07/2013</t>
  </si>
  <si>
    <t>Daily time Records 14 pts.Tagboard</t>
  </si>
  <si>
    <t>CS form No. 6, Leave Application</t>
  </si>
  <si>
    <t>AD-528 - Permission to Leave the Office</t>
  </si>
  <si>
    <t>E-4 - Members Ammendment carbonless</t>
  </si>
  <si>
    <t>R-1 - ER' s Data Record</t>
  </si>
  <si>
    <t>R-1A - Report of EE Members</t>
  </si>
  <si>
    <t>R3 Contribution Collection List</t>
  </si>
  <si>
    <t>R-8 - ER's Data Ammendment Form</t>
  </si>
  <si>
    <t>Sinumpaang Salaysay</t>
  </si>
  <si>
    <t>OW-1 - Overseas Worker Records</t>
  </si>
  <si>
    <t>L-501 - Specimen Signature Card</t>
  </si>
  <si>
    <t>CLD 1.3A</t>
  </si>
  <si>
    <t>Guarantor's Form p1</t>
  </si>
  <si>
    <t>Guarantor's Form p2</t>
  </si>
  <si>
    <t>DDR-2 Pensioner's Data Change Request</t>
  </si>
  <si>
    <t>Revised ACOP P2</t>
  </si>
  <si>
    <t>Revised ACOP P1</t>
  </si>
  <si>
    <t>Funeral Claim Application</t>
  </si>
  <si>
    <t>Death Claim Application</t>
  </si>
  <si>
    <t>Death Claim Application1</t>
  </si>
  <si>
    <t>Retirement Claim Application Part I</t>
  </si>
  <si>
    <t>Retirement Claim Application Part II</t>
  </si>
  <si>
    <t>DIsability Claim Application</t>
  </si>
  <si>
    <t>Medical Certificate  dis.</t>
  </si>
  <si>
    <t>Medical Certificate (Disability Claim)</t>
  </si>
  <si>
    <t>R-5 - Mo Cont Payt Ret 3 ply 25 sets/pad</t>
  </si>
  <si>
    <t>Revised UMID</t>
  </si>
  <si>
    <t>TD-12 Petty CashVoucher25 sets/pad 4 ply</t>
  </si>
  <si>
    <t>Photo/Signature Card</t>
  </si>
  <si>
    <t>E-1 - Personal Data Re pre-prntd carbonl</t>
  </si>
  <si>
    <t>Sickness Notification</t>
  </si>
  <si>
    <t>Sickness Benefit Reimbursement</t>
  </si>
  <si>
    <t>Sickness Benefit Application P1</t>
  </si>
  <si>
    <t>Sickness Benefit Application P2</t>
  </si>
  <si>
    <t>Maternity Notification</t>
  </si>
  <si>
    <t>Maternity Reimbursement MAT2 pg. 1</t>
  </si>
  <si>
    <t>Maternity Reimbursement MAT2 pg. 2</t>
  </si>
  <si>
    <t>Maternity Benefit Application P1</t>
  </si>
  <si>
    <t>Maternity Benefit Application P2</t>
  </si>
  <si>
    <t>ESLD-1 - Salary Loan Application pg. 2</t>
  </si>
  <si>
    <t>ESLD-1 - Salary Loan Application pg. 1</t>
  </si>
  <si>
    <t>Complete OB History</t>
  </si>
  <si>
    <t>Request Verification Form</t>
  </si>
  <si>
    <t>E4 Member Data Change Request pg. 1</t>
  </si>
  <si>
    <t>E4 Member Data Change Request pg. 2</t>
  </si>
  <si>
    <t>CLD 1.3 pg.1</t>
  </si>
  <si>
    <t>CLD 1.3 pg.2</t>
  </si>
  <si>
    <t>CLD 1.3 pg.3</t>
  </si>
  <si>
    <t>CLD 15 (Appointment as Representative) pag. 1</t>
  </si>
  <si>
    <t>CLD 15 (Appointment as Representative) pag. 2</t>
  </si>
  <si>
    <t>Documentary Retirement Checklist</t>
  </si>
  <si>
    <t>Supplementary Retirement Checklist page 1 &amp; 2</t>
  </si>
  <si>
    <t>Supplementary Retirement Checklist page 3</t>
  </si>
  <si>
    <t>Funeral Check</t>
  </si>
  <si>
    <t>M</t>
  </si>
  <si>
    <t>Checklist – Death Claim Part 1</t>
  </si>
  <si>
    <t>Checklist – Death Claim Part 2</t>
  </si>
  <si>
    <t>Checklist – Funeral claim</t>
  </si>
  <si>
    <t>DDR Savings Account Form</t>
  </si>
  <si>
    <t>Affidavit of Separation from employment/ cessation of self-employments w/ undertaking</t>
  </si>
  <si>
    <t>Letter of Introduction</t>
  </si>
  <si>
    <t>Affidavit of Dependent Parents</t>
  </si>
  <si>
    <t>Checklist – Death Claim Revised</t>
  </si>
  <si>
    <t>Pre-printed form special paper for Employer Certificate of registration</t>
  </si>
  <si>
    <t>Report of Death Form (BPN-105)</t>
  </si>
  <si>
    <t>BPN-107 (Guarantor's Form) page 1</t>
  </si>
  <si>
    <t>BPN-107 (Guarantor's Form) page 2</t>
  </si>
  <si>
    <t>Sickness and Maternity Benefits Payment
Thru the Bank Form</t>
  </si>
  <si>
    <t>PESO Fund Payment Form</t>
  </si>
  <si>
    <t>DDR-2 (Flexi-fund Program)</t>
  </si>
  <si>
    <t>Medical Report (Form MD-15)</t>
  </si>
  <si>
    <t>Contribution Payment Slip</t>
  </si>
  <si>
    <t>Member's Web Registration</t>
  </si>
  <si>
    <t>Eployer Web Registration</t>
  </si>
  <si>
    <t>Updated Terms &amp; Conditions sheet – PLP</t>
  </si>
  <si>
    <t>EC Medical Reimbursement Form</t>
  </si>
  <si>
    <t>Toner Samsung M3820ND</t>
  </si>
  <si>
    <t>Toner for Brother HL-5450DN</t>
  </si>
  <si>
    <t>UBP</t>
  </si>
  <si>
    <t>SUPPLIES OTHERS</t>
  </si>
  <si>
    <t>Tape – Masking</t>
  </si>
  <si>
    <t>Tape - Transparent 1</t>
  </si>
  <si>
    <t>Paper Fastener, 50 pcs</t>
  </si>
  <si>
    <t>Rubber Band – Multicolor</t>
  </si>
  <si>
    <t>Rubber Band - Transparent</t>
  </si>
  <si>
    <t>bag</t>
  </si>
  <si>
    <t>Rag/Camiseta</t>
  </si>
  <si>
    <t>kls</t>
  </si>
  <si>
    <t>Twine Plastic</t>
  </si>
  <si>
    <t>pcs</t>
  </si>
  <si>
    <t>Corrugated Box</t>
  </si>
  <si>
    <t>set</t>
  </si>
  <si>
    <t>Record Book, 300 pages</t>
  </si>
  <si>
    <t>Correction Tape</t>
  </si>
  <si>
    <t>Ballpoint Pen – Black</t>
  </si>
  <si>
    <t>Ballpoint Pen – Blue</t>
  </si>
  <si>
    <t>Marking Pen Black</t>
  </si>
  <si>
    <t>Sign Pen</t>
  </si>
  <si>
    <t>Ruler - Plastic</t>
  </si>
  <si>
    <t>Stamp Pad Big</t>
  </si>
  <si>
    <t>Waste Basket</t>
  </si>
  <si>
    <t>Highlighter</t>
  </si>
  <si>
    <t>Thermal paper 110x30</t>
  </si>
  <si>
    <t>Plastic Envelope, 10 x 15 Gauge No. 5</t>
  </si>
  <si>
    <t>Ink Stamp Pad, black</t>
  </si>
  <si>
    <t>bottle</t>
  </si>
  <si>
    <t>paste</t>
  </si>
  <si>
    <t>Empty carton</t>
  </si>
  <si>
    <t>Trodat ink</t>
  </si>
  <si>
    <t>White board marker</t>
  </si>
  <si>
    <t>IT SUPPLIES</t>
  </si>
  <si>
    <t>Ribbon - ERC-31 for TMU-950</t>
  </si>
  <si>
    <t>TSF - ML-1 Sal/Educ/Cal/SILP 3 ply</t>
  </si>
  <si>
    <t>Toner, Samsung 2850 for ML 2851 Ip</t>
  </si>
  <si>
    <t>Drum fro Brother HL-5450DN</t>
  </si>
  <si>
    <t>Ribbon Epson 7753 F750 for LQ300+II P</t>
  </si>
  <si>
    <t>Toner EPSON ALM300N</t>
  </si>
  <si>
    <t>Canon Cartridge 324 II – LBP6750/6780/MF515</t>
  </si>
  <si>
    <t>Scanner Rubber Feeder</t>
  </si>
  <si>
    <t>JANITORIAL SUPPLIES</t>
  </si>
  <si>
    <t>BEG BAL</t>
  </si>
  <si>
    <t>IN</t>
  </si>
  <si>
    <t>OUT</t>
  </si>
  <si>
    <t>RUN BAL</t>
  </si>
  <si>
    <t>A1</t>
  </si>
  <si>
    <t>A3</t>
  </si>
  <si>
    <t>A25</t>
  </si>
  <si>
    <t>A24</t>
  </si>
  <si>
    <t>A4</t>
  </si>
  <si>
    <t>A31</t>
  </si>
  <si>
    <t>A23</t>
  </si>
  <si>
    <t>GAL</t>
  </si>
  <si>
    <t>A5</t>
  </si>
  <si>
    <t>A6</t>
  </si>
  <si>
    <t>A7</t>
  </si>
  <si>
    <t>A8</t>
  </si>
  <si>
    <t>A9</t>
  </si>
  <si>
    <t>BOT</t>
  </si>
  <si>
    <t>A29</t>
  </si>
  <si>
    <t>A27</t>
  </si>
  <si>
    <t>A10</t>
  </si>
  <si>
    <t>A26</t>
  </si>
  <si>
    <t>A11</t>
  </si>
  <si>
    <t>A12</t>
  </si>
  <si>
    <t>A13</t>
  </si>
  <si>
    <t>A28</t>
  </si>
  <si>
    <t>A14</t>
  </si>
  <si>
    <t>A15</t>
  </si>
  <si>
    <t>A16</t>
  </si>
  <si>
    <t>A17</t>
  </si>
  <si>
    <t>A18</t>
  </si>
  <si>
    <t>A19</t>
  </si>
  <si>
    <t>A2</t>
  </si>
  <si>
    <t>SACHET</t>
  </si>
  <si>
    <t>A30</t>
  </si>
  <si>
    <t>A20</t>
  </si>
  <si>
    <t>A21</t>
  </si>
  <si>
    <t>PACK</t>
  </si>
  <si>
    <t>B1</t>
  </si>
  <si>
    <t>B2</t>
  </si>
  <si>
    <t>B3</t>
  </si>
  <si>
    <t>A22</t>
  </si>
  <si>
    <t>Republic of the Philippines</t>
  </si>
  <si>
    <t>SOCIAL SECURITY SYSTEM</t>
  </si>
  <si>
    <t>Office Services Department</t>
  </si>
  <si>
    <t>REQUESTING UNIT</t>
  </si>
  <si>
    <t>COST CENTER</t>
  </si>
  <si>
    <t>RIS NO.</t>
  </si>
  <si>
    <t>ILI-</t>
  </si>
  <si>
    <t>REQUISITION</t>
  </si>
  <si>
    <t>ISSUE</t>
  </si>
  <si>
    <t>UNIT OF MEASUREMENT</t>
  </si>
  <si>
    <t>STATUS/
REMARKS</t>
  </si>
  <si>
    <t>ARNEL Y. BALISTOY</t>
  </si>
  <si>
    <t>CEO I- Admin Head</t>
  </si>
  <si>
    <t>SIGNATURE OVER PRINTED NAME</t>
  </si>
  <si>
    <t>POSITION TITLE</t>
  </si>
  <si>
    <t>DATE AND TIME</t>
  </si>
  <si>
    <t>SCREENED AND ISSUED BY</t>
  </si>
  <si>
    <t>APPROVED FOR ISSUANCE BY</t>
  </si>
  <si>
    <t>MARIBETH D. VALDE</t>
  </si>
  <si>
    <t>Acting Head, AGAS, MND</t>
  </si>
  <si>
    <t>RECEIVED FOR SHIPMENT BY</t>
  </si>
  <si>
    <t>ACKNOWLEDGEMENT OF RECEIPT BY BRANCH OFFICE/UNIT</t>
  </si>
  <si>
    <t>This is to certify that I have received the above stated supplies and materials as issued.</t>
  </si>
  <si>
    <r>
      <t xml:space="preserve">MONTHLY INVENTORY OF SUPPLIES AND MATERIALS FOR </t>
    </r>
    <r>
      <rPr>
        <b/>
        <sz val="12"/>
        <color rgb="FFC00000"/>
        <rFont val="Arial"/>
        <family val="2"/>
      </rPr>
      <t>C.Y. 2023</t>
    </r>
  </si>
  <si>
    <r>
      <t>DEPARTMENT/BRANCH NAME:</t>
    </r>
    <r>
      <rPr>
        <b/>
        <sz val="12"/>
        <color rgb="FFC00000"/>
        <rFont val="Arial"/>
        <family val="2"/>
      </rPr>
      <t xml:space="preserve"> ILIGAN BRANCH</t>
    </r>
  </si>
  <si>
    <t>Mat Code</t>
  </si>
  <si>
    <t>Material description</t>
  </si>
  <si>
    <t>B. UOM</t>
  </si>
  <si>
    <t>AUGUST 2023</t>
  </si>
  <si>
    <t>Paper &amp; Paper Products</t>
  </si>
  <si>
    <t>CONSUMPTION
(including purchase thru CBA)</t>
  </si>
  <si>
    <t>STOCK ON HAND</t>
  </si>
  <si>
    <t>Bond copy paper, a4 size,70gsm 500shts/rm</t>
  </si>
  <si>
    <t>Bond prem,ls, 216x330mm,70gsm 500shts/rm</t>
  </si>
  <si>
    <t>Set</t>
  </si>
  <si>
    <t>IT Supplies</t>
  </si>
  <si>
    <t>Unit</t>
  </si>
  <si>
    <t>Printed Forms</t>
  </si>
  <si>
    <t>PAYMENT SLIP-CONTRIBUTION</t>
  </si>
  <si>
    <t>Pad</t>
  </si>
  <si>
    <t>Supplies – Others</t>
  </si>
  <si>
    <t>Gallon</t>
  </si>
  <si>
    <t>Kilo</t>
  </si>
  <si>
    <t>Bag</t>
  </si>
  <si>
    <t>MONTHLY INVENTORY OF SUPPLIES AND MATERIALS FOR C.Y. 2022</t>
  </si>
  <si>
    <t>DEPARTMENT/BRANCH NAME:</t>
  </si>
  <si>
    <t>NOVEMBER 2022</t>
  </si>
  <si>
    <t>DECEMBER 2022</t>
  </si>
  <si>
    <t>AUGUST 2022</t>
  </si>
  <si>
    <t>SEPTEMBER 2022</t>
  </si>
  <si>
    <t>OCOTBER 2022</t>
  </si>
  <si>
    <t>SEPTEMBER 2023</t>
  </si>
  <si>
    <t>PAPER &amp; PAPER PRODUCTS</t>
  </si>
  <si>
    <t>Type</t>
  </si>
  <si>
    <t>ACOP-PENSIONERS REPLY 1</t>
  </si>
  <si>
    <t>ACOP-PENSIONERS REPLY 2</t>
  </si>
  <si>
    <t>DEATH CLAIM APPLICATION 2</t>
  </si>
  <si>
    <t>E4-PAGE 1-MEMBER DATA CHANGE 1</t>
  </si>
  <si>
    <t>E4-PAGE 1-MEMBER DATA CHANGE 2</t>
  </si>
  <si>
    <t>Supplies Others</t>
  </si>
  <si>
    <t>Cartolina - Blue, 22-1/2 x 28-1/2</t>
  </si>
  <si>
    <t>Toner for Samsung M3820ND MLT-D203E</t>
  </si>
  <si>
    <t>Toner for Samsung M3820ND (MLTD-203L)</t>
  </si>
  <si>
    <t>Bookpaper/Offset 8-1/2x13 (old code)</t>
  </si>
  <si>
    <t>Employer Registration (SS Form R-1)</t>
  </si>
  <si>
    <t>Affidavit of Separation from Employment</t>
  </si>
  <si>
    <t>Sticker Paper A4 Size</t>
  </si>
  <si>
    <t>Disposable Mask</t>
  </si>
  <si>
    <t>Scissors,Symmetrical</t>
  </si>
  <si>
    <t>ACTUAL NUMBER OF SUPPLIES as of March 20, 2025</t>
  </si>
  <si>
    <t>NUMBER OF SUPPLIES RELEASED PER DAY</t>
  </si>
  <si>
    <t>60 REAMS</t>
  </si>
  <si>
    <t>112 REAMS</t>
  </si>
  <si>
    <t>BROWN ENVELOPE (BIG)</t>
  </si>
  <si>
    <t>4 CASES</t>
  </si>
  <si>
    <t>BROWN MAILING ENVELOPE</t>
  </si>
  <si>
    <t>9 PACKS</t>
  </si>
  <si>
    <t>STAPLE WIRE</t>
  </si>
  <si>
    <t>47 BOXES</t>
  </si>
  <si>
    <t>BROWN FOLDER (LONG)</t>
  </si>
  <si>
    <t>1 CASE</t>
  </si>
  <si>
    <t>MASKING TAPE</t>
  </si>
  <si>
    <t>16 PCS</t>
  </si>
  <si>
    <t>RUBBER BOND (BIG)</t>
  </si>
  <si>
    <t>5 PACKS</t>
  </si>
  <si>
    <t>PAPER FASTENER</t>
  </si>
  <si>
    <t>8 BOXES</t>
  </si>
  <si>
    <t>PAPER CLIP</t>
  </si>
  <si>
    <t>7 BOXES</t>
  </si>
  <si>
    <t>BALLPEN</t>
  </si>
  <si>
    <t>75 PCS</t>
  </si>
  <si>
    <t>INK</t>
  </si>
  <si>
    <t>21 PCS</t>
  </si>
  <si>
    <t>STAMP PAD</t>
  </si>
  <si>
    <t>7 PCS</t>
  </si>
  <si>
    <t>NOTE: RECEIVED
20 A4
20 LEGAL</t>
  </si>
  <si>
    <t>NOTE: 04/30/25 RECEIVED
20 A4
20 LEGAL</t>
  </si>
  <si>
    <t>NOTE: 05/16/2025 RECEIVED
20 A4
20 LEGAL</t>
  </si>
  <si>
    <t>SSS ILIGAN BRANCH</t>
  </si>
  <si>
    <t>INVENTORY OF SUPPLIES AND MATERIALS</t>
  </si>
  <si>
    <t>For the month of JULY, 2021</t>
  </si>
  <si>
    <t>Stock</t>
  </si>
  <si>
    <t>Unit of</t>
  </si>
  <si>
    <t xml:space="preserve">Beginning </t>
  </si>
  <si>
    <t xml:space="preserve">Requisition for </t>
  </si>
  <si>
    <t>Issuance for</t>
  </si>
  <si>
    <t>Ending Balance</t>
  </si>
  <si>
    <t>Available</t>
  </si>
  <si>
    <t>Red Tag</t>
  </si>
  <si>
    <t>Code</t>
  </si>
  <si>
    <t>Measure</t>
  </si>
  <si>
    <t>Balance</t>
  </si>
  <si>
    <t>the Month</t>
  </si>
  <si>
    <t>on Hand</t>
  </si>
  <si>
    <t>Stock (90%)</t>
  </si>
  <si>
    <t>Paper and Paper Products</t>
  </si>
  <si>
    <t xml:space="preserve">Tape – Masking </t>
  </si>
  <si>
    <t>I hereby certify that  the data/information indicated in this monthly inventory are true and correct.</t>
  </si>
  <si>
    <t>Prepared by:</t>
  </si>
  <si>
    <t>Noted by:</t>
  </si>
  <si>
    <t>Reviewed by:</t>
  </si>
  <si>
    <t>SHIENA MARY RABAGO</t>
  </si>
  <si>
    <t>Albina Leah C. Manahan</t>
  </si>
  <si>
    <t>CHERYL V. JARIOL</t>
  </si>
  <si>
    <t>Admin Staff-JOW</t>
  </si>
  <si>
    <t>Branch Head</t>
  </si>
  <si>
    <t>Acting Admin Head</t>
  </si>
  <si>
    <t>ITEM</t>
  </si>
  <si>
    <t>RELEASED</t>
  </si>
  <si>
    <t>END BAL</t>
  </si>
  <si>
    <t>EXPIRATION</t>
  </si>
  <si>
    <t>PARACETAMOL TABLET, 500MG</t>
  </si>
  <si>
    <t>MEFENAMIC ACID, 500MG</t>
  </si>
  <si>
    <t>LORATIDINE TABLET, 10MG</t>
  </si>
  <si>
    <t>HYOSCINE-N, BUTYLBROMIDE, 10MG</t>
  </si>
  <si>
    <t>LOPERAMIDE HCI TABLET, 2MG</t>
  </si>
  <si>
    <t>METOPROLOL TABLET, 100MG</t>
  </si>
  <si>
    <t>CLONIDINE HCL 75MG</t>
  </si>
  <si>
    <t>OMEPRAZOLE 20MG</t>
  </si>
  <si>
    <t>DIPHENHYDRAMINE HCI 50MG (AMP)</t>
  </si>
  <si>
    <t>COTTON BALLS (300PCS)</t>
  </si>
  <si>
    <t>STERILE GAUZE PAD, 8 PLY 4X4</t>
  </si>
  <si>
    <t>ALCOHOL, 70% ISOPROPHYL, 500ML</t>
  </si>
  <si>
    <t>MEDIPLAST</t>
  </si>
  <si>
    <t>DISPOSABLE SYRINGE 3ML</t>
  </si>
  <si>
    <t>POVIDONE IODINE, ANTISEPTIC 60ML</t>
  </si>
  <si>
    <t>MICROPORE 1/2 INCH</t>
  </si>
  <si>
    <t>NAME AND ADDRESS</t>
  </si>
  <si>
    <t xml:space="preserve">            AGENCY</t>
  </si>
  <si>
    <t>OF REQUESTING</t>
  </si>
  <si>
    <t xml:space="preserve">Don Anselmo Bernad Ave., Ozamiz City </t>
  </si>
  <si>
    <t xml:space="preserve">            ACCT. CODE</t>
  </si>
  <si>
    <t>AGENCY</t>
  </si>
  <si>
    <t>Misamis Occidental</t>
  </si>
  <si>
    <t xml:space="preserve">               </t>
  </si>
  <si>
    <r>
      <t xml:space="preserve">            AGENCY CONTROL No. </t>
    </r>
    <r>
      <rPr>
        <b/>
        <sz val="8"/>
        <color indexed="8"/>
        <rFont val="Arial"/>
        <family val="2"/>
      </rPr>
      <t>H8-2022-001</t>
    </r>
  </si>
  <si>
    <t>AGENCY PROCUREMENT REQUEST</t>
  </si>
  <si>
    <r>
      <t xml:space="preserve">          </t>
    </r>
    <r>
      <rPr>
        <sz val="8"/>
        <color indexed="8"/>
        <rFont val="Arial"/>
        <family val="2"/>
      </rPr>
      <t>PS APR No.</t>
    </r>
    <r>
      <rPr>
        <b/>
        <sz val="10"/>
        <color indexed="8"/>
        <rFont val="Arial"/>
        <family val="2"/>
      </rPr>
      <t xml:space="preserve"> </t>
    </r>
  </si>
  <si>
    <t xml:space="preserve">      (088) 531-0609</t>
  </si>
  <si>
    <t xml:space="preserve">                                                                                                                                                                                                                               ­­­­­­­­­­­­­­­­­­­­­­­­­­­</t>
  </si>
  <si>
    <t>ACTION REQUESTED ON THE ITEM LISTED BELOW</t>
  </si>
  <si>
    <t>[√]  Please furnish with us Price Estimate (for office equipment/furniture &amp; supplementary items)</t>
  </si>
  <si>
    <t xml:space="preserve">[  ]  Please purchase for our agency/furniture/supplementary items per you Price Estimate   </t>
  </si>
  <si>
    <t xml:space="preserve">      (PS RAD No. ___________________ attached)  dated __________________,____________________</t>
  </si>
  <si>
    <t>[  ]  Please issue common-use supplies/materials per price list as of ___________________, ____________</t>
  </si>
  <si>
    <t>[  ]  Please issue Certificate or Price Reasonableness</t>
  </si>
  <si>
    <t>[  ]  Please furnish us with your latest/updated Price List</t>
  </si>
  <si>
    <t>[  ]  Other (Specify) _________________________________________________________________________________</t>
  </si>
  <si>
    <r>
      <t xml:space="preserve">            Total AMOUNT   </t>
    </r>
    <r>
      <rPr>
        <b/>
        <sz val="8"/>
        <color indexed="8"/>
        <rFont val="Arial"/>
        <family val="2"/>
      </rPr>
      <t xml:space="preserve"> P,475.00</t>
    </r>
  </si>
  <si>
    <t>NOTE: ALL SIGNATURES MUST BE OVER PRINTED NAME</t>
  </si>
  <si>
    <t>STOCKS REQUESTED ARE CERTIFIED TO BE</t>
  </si>
  <si>
    <t xml:space="preserve">      FUNDS CERTIFIED AVAILABLE</t>
  </si>
  <si>
    <t xml:space="preserve">    APPROVED:</t>
  </si>
  <si>
    <t>WITHIN APPROVED PROGRAM:</t>
  </si>
  <si>
    <r>
      <t xml:space="preserve">                  </t>
    </r>
    <r>
      <rPr>
        <b/>
        <sz val="9"/>
        <color indexed="8"/>
        <rFont val="Arial"/>
        <family val="2"/>
      </rPr>
      <t>ILLYN B. BIANAN</t>
    </r>
  </si>
  <si>
    <t xml:space="preserve">     </t>
  </si>
  <si>
    <r>
      <t xml:space="preserve">         </t>
    </r>
    <r>
      <rPr>
        <b/>
        <sz val="9"/>
        <color indexed="8"/>
        <rFont val="Arial"/>
        <family val="2"/>
      </rPr>
      <t>FRED D. FERNANDEZ JR.</t>
    </r>
  </si>
  <si>
    <r>
      <t xml:space="preserve">            </t>
    </r>
    <r>
      <rPr>
        <b/>
        <sz val="9"/>
        <color indexed="8"/>
        <rFont val="Arial"/>
        <family val="2"/>
      </rPr>
      <t>LIZA J. LUMANTAS</t>
    </r>
  </si>
  <si>
    <t xml:space="preserve">   Acting Admin. Head             </t>
  </si>
  <si>
    <t xml:space="preserve">      Acting CEO II, AGAS, North Min.Div.</t>
  </si>
  <si>
    <t xml:space="preserve">                    Branch Head I</t>
  </si>
  <si>
    <t xml:space="preserve">     AGENCY PROPERTY SUPPLY OFFICER               AGENCY CHIEF ACCOUNTANT</t>
  </si>
  <si>
    <t xml:space="preserve">    AGENCY HEAD/AUTHORIZED SIGNATURE</t>
  </si>
  <si>
    <t xml:space="preserve">   [   ]  FUNDS DEPOSITED WITH PS      [   ]  _________________  CHECK No.  ____________</t>
  </si>
  <si>
    <t xml:space="preserve">    IN THE AMOUNT OF: _________________________________________________________   (P ________________  ) ENCLOSED</t>
  </si>
  <si>
    <t>OCTOBER 2023</t>
  </si>
  <si>
    <t>NOVEMBER 2023</t>
  </si>
  <si>
    <t>DECEMBER 2023</t>
  </si>
  <si>
    <r>
      <rPr>
        <b/>
        <sz val="12"/>
        <color rgb="FF000000"/>
        <rFont val="Arial"/>
        <family val="2"/>
      </rPr>
      <t xml:space="preserve">MONTHLY INVENTORY OF SUPPLIES AND MATERIALS FOR </t>
    </r>
    <r>
      <rPr>
        <b/>
        <sz val="12"/>
        <color rgb="FFC00000"/>
        <rFont val="Arial"/>
        <family val="2"/>
      </rPr>
      <t>C.Y. 2024</t>
    </r>
  </si>
  <si>
    <t>FEBRUARY 2024</t>
  </si>
  <si>
    <t>MARCH 2024</t>
  </si>
  <si>
    <t>APRIL 2024</t>
  </si>
  <si>
    <t>MAY 2024</t>
  </si>
  <si>
    <t xml:space="preserve">    +</t>
  </si>
  <si>
    <t>REQUEST VERIFICATION FORM</t>
  </si>
  <si>
    <t>ACOP- RETIREMENT/ OR PERMANENT TOTAL DISABILITY</t>
  </si>
  <si>
    <t>ACOP-REPRESENTATIVE PAYEE OF DEPENDENT</t>
  </si>
  <si>
    <t>JUNE 2024</t>
  </si>
  <si>
    <t>AUGUST 2024</t>
  </si>
  <si>
    <t>SEPTEMBER 2024</t>
  </si>
  <si>
    <t>OCTOBER 2024</t>
  </si>
  <si>
    <t>NOVEMBER 2024</t>
  </si>
  <si>
    <t>DECEMBER 2024</t>
  </si>
  <si>
    <r>
      <rPr>
        <b/>
        <sz val="12"/>
        <color rgb="FF000000"/>
        <rFont val="Arial"/>
        <family val="2"/>
      </rPr>
      <t xml:space="preserve">MONTHLY INVENTORY OF SUPPLIES AND MATERIALS FOR </t>
    </r>
    <r>
      <rPr>
        <b/>
        <sz val="12"/>
        <color rgb="FFC00000"/>
        <rFont val="Arial"/>
        <family val="2"/>
      </rPr>
      <t>C.Y. 2025</t>
    </r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</si>
  <si>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</si>
  <si>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</si>
  <si>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</si>
  <si>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</si>
  <si>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</si>
  <si>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</si>
  <si>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</si>
  <si>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</si>
  <si>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</si>
  <si>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</si>
  <si>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DECEMBER 2025</t>
  </si>
  <si>
    <t>JANUARY 2026</t>
  </si>
  <si>
    <r>
      <rPr>
        <b/>
        <sz val="12"/>
        <color rgb="FF000000"/>
        <rFont val="Arial"/>
      </rPr>
      <t xml:space="preserve">MONTHLY INVENTORY OF SUPPLIES AND MATERIALS FOR </t>
    </r>
    <r>
      <rPr>
        <b/>
        <sz val="12"/>
        <color rgb="FFC00000"/>
        <rFont val="Arial"/>
      </rPr>
      <t>C.Y. 2026</t>
    </r>
  </si>
  <si>
    <t>FEBRUARY 2026</t>
  </si>
  <si>
    <t>MARCH 2026</t>
  </si>
  <si>
    <t>APRIL 2026</t>
  </si>
  <si>
    <t>MAY 2026</t>
  </si>
  <si>
    <t>JUNE 2026</t>
  </si>
  <si>
    <t>Ballpoint pen - BLACK</t>
  </si>
  <si>
    <t># OF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</si>
</sst>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"/>
    <numFmt numFmtId="165" formatCode="\I\L\I\-\20\2\1\-000"/>
    <numFmt numFmtId="166" formatCode="mm/dd/yyyy;@"/>
    <numFmt numFmtId="167" formatCode="\I\L\I\-\20\2\3\-000"/>
    <numFmt numFmtId="168" formatCode="[$-3409]mmmm\ dd\,\ yyyy;@"/>
  </numFmts>
  <fonts count="122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Arial"/>
      <family val="2"/>
      <charset val="1"/>
    </font>
    <font>
      <b/>
      <u/>
      <sz val="12"/>
      <name val="Arial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 Narrow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u/>
      <sz val="11"/>
      <color indexed="8"/>
      <name val="Calibri"/>
      <family val="2"/>
    </font>
    <font>
      <b/>
      <sz val="14"/>
      <name val="Arial"/>
      <family val="2"/>
    </font>
    <font>
      <sz val="8"/>
      <name val="Calibri"/>
      <family val="2"/>
    </font>
    <font>
      <b/>
      <u/>
      <sz val="11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Times New Roman"/>
      <family val="1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2"/>
      <color rgb="FF00B050"/>
      <name val="Arial"/>
      <family val="2"/>
    </font>
    <font>
      <b/>
      <sz val="11"/>
      <color rgb="FFC00000"/>
      <name val="Calibri"/>
      <family val="2"/>
    </font>
    <font>
      <b/>
      <sz val="12"/>
      <color rgb="FFC00000"/>
      <name val="Arial"/>
      <family val="2"/>
    </font>
    <font>
      <b/>
      <sz val="12"/>
      <color rgb="FFC00000"/>
      <name val="Calibri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  <font>
      <sz val="11"/>
      <color rgb="FFC00000"/>
      <name val="Calibri"/>
      <family val="2"/>
    </font>
    <font>
      <b/>
      <sz val="12"/>
      <color rgb="FF002060"/>
      <name val="Arial"/>
      <family val="2"/>
    </font>
    <font>
      <b/>
      <sz val="12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rgb="FFFF0000"/>
      <name val="Calibri"/>
      <family val="2"/>
    </font>
    <font>
      <b/>
      <sz val="9"/>
      <color rgb="FF0000FF"/>
      <name val="Arial"/>
      <family val="2"/>
    </font>
    <font>
      <b/>
      <sz val="11"/>
      <color rgb="FF002060"/>
      <name val="Arial"/>
      <family val="2"/>
    </font>
    <font>
      <b/>
      <sz val="11"/>
      <color rgb="FF00B050"/>
      <name val="Arial"/>
      <family val="2"/>
    </font>
    <font>
      <b/>
      <sz val="11"/>
      <color rgb="FFC00000"/>
      <name val="Arial"/>
      <family val="2"/>
    </font>
    <font>
      <b/>
      <sz val="11"/>
      <color rgb="FF0000FF"/>
      <name val="Arial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b/>
      <sz val="11"/>
      <color rgb="FF548235"/>
      <name val="Calibri"/>
      <family val="2"/>
    </font>
    <font>
      <sz val="11"/>
      <color rgb="FF548235"/>
      <name val="Calibri"/>
      <family val="2"/>
    </font>
    <font>
      <b/>
      <sz val="11"/>
      <color rgb="FF000000"/>
      <name val="Calibri"/>
      <family val="2"/>
    </font>
    <font>
      <sz val="11"/>
      <color rgb="FF002060"/>
      <name val="Calibri"/>
      <family val="2"/>
    </font>
    <font>
      <sz val="11"/>
      <color rgb="FF000000"/>
      <name val="Calibri"/>
      <family val="2"/>
    </font>
    <font>
      <b/>
      <u/>
      <sz val="12"/>
      <color indexed="8"/>
      <name val="Arial"/>
      <family val="2"/>
    </font>
    <font>
      <b/>
      <u/>
      <sz val="12"/>
      <color rgb="FF002060"/>
      <name val="Arial"/>
      <family val="2"/>
    </font>
    <font>
      <b/>
      <u/>
      <sz val="12"/>
      <color rgb="FFC00000"/>
      <name val="Arial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FFFFFF"/>
      <name val="Calibri1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Calibri1"/>
    </font>
    <font>
      <sz val="12"/>
      <color rgb="FF000000"/>
      <name val="Calibri2"/>
    </font>
    <font>
      <b/>
      <sz val="12"/>
      <color rgb="FF000000"/>
      <name val="Calibri2"/>
    </font>
    <font>
      <sz val="10"/>
      <name val="Arial"/>
      <family val="2"/>
    </font>
    <font>
      <sz val="11"/>
      <color theme="1"/>
      <name val="Arial"/>
      <family val="2"/>
    </font>
    <font>
      <b/>
      <sz val="18"/>
      <name val="Arial"/>
      <family val="2"/>
    </font>
    <font>
      <sz val="8"/>
      <color rgb="FF00B0F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i/>
      <sz val="9"/>
      <color theme="1"/>
      <name val="Arial"/>
      <family val="2"/>
    </font>
    <font>
      <sz val="9"/>
      <color rgb="FF00B0F0"/>
      <name val="Arial"/>
      <family val="2"/>
    </font>
    <font>
      <sz val="7"/>
      <color rgb="FF00B0F0"/>
      <name val="Arial"/>
      <family val="2"/>
    </font>
    <font>
      <sz val="6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1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b/>
      <sz val="9"/>
      <color rgb="FF0070C0"/>
      <name val="Arial"/>
      <family val="2"/>
    </font>
    <font>
      <b/>
      <sz val="11"/>
      <color theme="0"/>
      <name val="Calibri"/>
      <family val="2"/>
    </font>
    <font>
      <b/>
      <sz val="11"/>
      <color rgb="FFFFFF00"/>
      <name val="Calibri"/>
      <family val="2"/>
    </font>
    <font>
      <b/>
      <sz val="11"/>
      <color rgb="FF0070C0"/>
      <name val="Calibri"/>
      <family val="2"/>
    </font>
    <font>
      <sz val="11"/>
      <color theme="0"/>
      <name val="Calibri"/>
      <family val="2"/>
    </font>
    <font>
      <b/>
      <sz val="9"/>
      <color rgb="FF000000"/>
      <name val="Calibri"/>
      <family val="2"/>
    </font>
    <font>
      <b/>
      <sz val="8"/>
      <color rgb="FF002060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12"/>
      <color indexed="8"/>
      <name val="Arial"/>
    </font>
    <font>
      <b/>
      <sz val="12"/>
      <color rgb="FF000000"/>
      <name val="Arial"/>
    </font>
    <font>
      <b/>
      <sz val="12"/>
      <color rgb="FFFFFFFF"/>
      <name val="Arial"/>
    </font>
    <font>
      <sz val="12"/>
      <color rgb="FF000000"/>
      <name val="Arial"/>
    </font>
    <font>
      <b/>
      <sz val="12"/>
      <color rgb="FFC00000"/>
      <name val="Arial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0066CC"/>
        <bgColor rgb="FF0066CC"/>
      </patternFill>
    </fill>
    <fill>
      <patternFill patternType="solid">
        <fgColor rgb="FF99FFFF"/>
        <bgColor rgb="FF99FFFF"/>
      </patternFill>
    </fill>
    <fill>
      <patternFill patternType="solid">
        <fgColor rgb="FFFFFF99"/>
        <bgColor rgb="FFFFFF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5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8" borderId="0" applyNumberFormat="0" applyBorder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3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25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1" applyNumberFormat="0" applyAlignment="0" applyProtection="0"/>
    <xf numFmtId="0" fontId="11" fillId="0" borderId="6" applyNumberFormat="0" applyFill="0" applyAlignment="0" applyProtection="0"/>
    <xf numFmtId="0" fontId="12" fillId="22" borderId="0" applyNumberFormat="0" applyBorder="0" applyAlignment="0" applyProtection="0"/>
    <xf numFmtId="0" fontId="25" fillId="23" borderId="7" applyNumberFormat="0" applyAlignment="0" applyProtection="0"/>
    <xf numFmtId="0" fontId="13" fillId="20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72" fillId="0" borderId="0" applyNumberFormat="0" applyFont="0" applyBorder="0" applyProtection="0"/>
    <xf numFmtId="0" fontId="80" fillId="0" borderId="0"/>
  </cellStyleXfs>
  <cellXfs count="489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10" fontId="20" fillId="0" borderId="10" xfId="0" applyNumberFormat="1" applyFont="1" applyBorder="1" applyAlignment="1">
      <alignment horizontal="center"/>
    </xf>
    <xf numFmtId="10" fontId="17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1" fillId="0" borderId="0" xfId="0" applyFont="1"/>
    <xf numFmtId="0" fontId="19" fillId="0" borderId="10" xfId="0" applyFont="1" applyBorder="1"/>
    <xf numFmtId="164" fontId="19" fillId="0" borderId="10" xfId="0" applyNumberFormat="1" applyFont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10" xfId="28" applyFont="1" applyBorder="1"/>
    <xf numFmtId="0" fontId="19" fillId="0" borderId="10" xfId="28" applyFont="1" applyBorder="1" applyAlignment="1">
      <alignment horizontal="center"/>
    </xf>
    <xf numFmtId="0" fontId="19" fillId="0" borderId="0" xfId="28" applyFont="1"/>
    <xf numFmtId="0" fontId="19" fillId="0" borderId="10" xfId="0" applyFont="1" applyBorder="1" applyAlignment="1">
      <alignment wrapText="1"/>
    </xf>
    <xf numFmtId="0" fontId="21" fillId="0" borderId="10" xfId="0" applyFont="1" applyBorder="1"/>
    <xf numFmtId="0" fontId="0" fillId="0" borderId="0" xfId="0" applyAlignment="1">
      <alignment horizontal="center"/>
    </xf>
    <xf numFmtId="0" fontId="23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/>
    <xf numFmtId="0" fontId="19" fillId="0" borderId="0" xfId="0" applyFont="1" applyAlignment="1">
      <alignment horizontal="left"/>
    </xf>
    <xf numFmtId="0" fontId="15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34" fillId="0" borderId="0" xfId="0" applyFont="1" applyAlignment="1">
      <alignment horizontal="center" vertical="center" wrapText="1"/>
    </xf>
    <xf numFmtId="0" fontId="32" fillId="0" borderId="11" xfId="0" applyFont="1" applyBorder="1"/>
    <xf numFmtId="0" fontId="28" fillId="0" borderId="12" xfId="0" applyFont="1" applyBorder="1"/>
    <xf numFmtId="0" fontId="32" fillId="0" borderId="13" xfId="0" applyFont="1" applyBorder="1"/>
    <xf numFmtId="0" fontId="28" fillId="0" borderId="14" xfId="0" applyFont="1" applyBorder="1"/>
    <xf numFmtId="0" fontId="28" fillId="0" borderId="15" xfId="0" applyFont="1" applyBorder="1" applyAlignment="1">
      <alignment horizontal="left"/>
    </xf>
    <xf numFmtId="0" fontId="33" fillId="0" borderId="0" xfId="0" applyFont="1" applyAlignment="1">
      <alignment horizontal="left" vertical="top"/>
    </xf>
    <xf numFmtId="0" fontId="28" fillId="0" borderId="0" xfId="0" applyFont="1" applyAlignment="1">
      <alignment horizontal="left"/>
    </xf>
    <xf numFmtId="0" fontId="34" fillId="0" borderId="16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28" fillId="0" borderId="18" xfId="0" applyFont="1" applyBorder="1"/>
    <xf numFmtId="0" fontId="37" fillId="0" borderId="19" xfId="0" applyFont="1" applyBorder="1" applyAlignment="1">
      <alignment vertical="top"/>
    </xf>
    <xf numFmtId="0" fontId="37" fillId="0" borderId="20" xfId="0" applyFont="1" applyBorder="1" applyAlignment="1">
      <alignment vertical="top"/>
    </xf>
    <xf numFmtId="0" fontId="37" fillId="0" borderId="21" xfId="0" applyFont="1" applyBorder="1" applyAlignment="1">
      <alignment vertical="top"/>
    </xf>
    <xf numFmtId="0" fontId="44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28" fillId="0" borderId="14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5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0" borderId="10" xfId="28" applyFont="1" applyBorder="1" applyAlignment="1">
      <alignment horizontal="left"/>
    </xf>
    <xf numFmtId="0" fontId="19" fillId="0" borderId="0" xfId="28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46" fillId="0" borderId="10" xfId="0" applyFont="1" applyBorder="1" applyAlignment="1">
      <alignment horizontal="center"/>
    </xf>
    <xf numFmtId="0" fontId="18" fillId="0" borderId="10" xfId="0" applyFont="1" applyBorder="1"/>
    <xf numFmtId="0" fontId="22" fillId="0" borderId="10" xfId="0" applyFont="1" applyBorder="1"/>
    <xf numFmtId="165" fontId="15" fillId="24" borderId="22" xfId="0" applyNumberFormat="1" applyFont="1" applyFill="1" applyBorder="1" applyAlignment="1">
      <alignment horizontal="center" vertical="center"/>
    </xf>
    <xf numFmtId="0" fontId="15" fillId="24" borderId="22" xfId="0" applyFont="1" applyFill="1" applyBorder="1" applyAlignment="1">
      <alignment horizontal="center" vertical="center" wrapText="1"/>
    </xf>
    <xf numFmtId="0" fontId="15" fillId="24" borderId="22" xfId="0" applyFont="1" applyFill="1" applyBorder="1" applyAlignment="1">
      <alignment horizontal="center" vertical="center"/>
    </xf>
    <xf numFmtId="0" fontId="47" fillId="24" borderId="22" xfId="0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/>
    </xf>
    <xf numFmtId="0" fontId="49" fillId="0" borderId="10" xfId="0" applyFont="1" applyBorder="1"/>
    <xf numFmtId="0" fontId="32" fillId="0" borderId="14" xfId="0" applyFont="1" applyBorder="1"/>
    <xf numFmtId="0" fontId="50" fillId="0" borderId="14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51" fillId="0" borderId="14" xfId="0" applyFont="1" applyBorder="1" applyAlignment="1">
      <alignment horizontal="center"/>
    </xf>
    <xf numFmtId="0" fontId="48" fillId="0" borderId="10" xfId="0" applyFont="1" applyBorder="1"/>
    <xf numFmtId="0" fontId="52" fillId="0" borderId="0" xfId="0" applyFont="1"/>
    <xf numFmtId="0" fontId="53" fillId="0" borderId="10" xfId="0" applyFont="1" applyBorder="1" applyAlignment="1">
      <alignment horizontal="center"/>
    </xf>
    <xf numFmtId="0" fontId="54" fillId="0" borderId="10" xfId="0" applyFont="1" applyBorder="1"/>
    <xf numFmtId="0" fontId="55" fillId="0" borderId="0" xfId="0" applyFont="1"/>
    <xf numFmtId="0" fontId="19" fillId="25" borderId="10" xfId="0" applyFont="1" applyFill="1" applyBorder="1"/>
    <xf numFmtId="0" fontId="19" fillId="25" borderId="10" xfId="0" applyFont="1" applyFill="1" applyBorder="1" applyAlignment="1">
      <alignment horizontal="center"/>
    </xf>
    <xf numFmtId="0" fontId="53" fillId="25" borderId="10" xfId="0" applyFont="1" applyFill="1" applyBorder="1" applyAlignment="1">
      <alignment horizontal="center"/>
    </xf>
    <xf numFmtId="0" fontId="18" fillId="25" borderId="10" xfId="0" applyFont="1" applyFill="1" applyBorder="1" applyAlignment="1">
      <alignment horizontal="center"/>
    </xf>
    <xf numFmtId="0" fontId="48" fillId="25" borderId="10" xfId="0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0" fillId="0" borderId="24" xfId="0" applyBorder="1"/>
    <xf numFmtId="0" fontId="0" fillId="0" borderId="14" xfId="0" applyBorder="1"/>
    <xf numFmtId="0" fontId="42" fillId="0" borderId="14" xfId="0" applyFont="1" applyBorder="1" applyAlignment="1">
      <alignment horizontal="center"/>
    </xf>
    <xf numFmtId="0" fontId="0" fillId="0" borderId="25" xfId="0" applyBorder="1"/>
    <xf numFmtId="0" fontId="56" fillId="0" borderId="16" xfId="0" applyFont="1" applyBorder="1" applyAlignment="1">
      <alignment horizontal="center"/>
    </xf>
    <xf numFmtId="0" fontId="44" fillId="0" borderId="14" xfId="0" applyFont="1" applyBorder="1"/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indent="15"/>
    </xf>
    <xf numFmtId="0" fontId="35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59" fillId="0" borderId="10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26" borderId="0" xfId="0" applyNumberFormat="1" applyFill="1" applyAlignment="1">
      <alignment horizontal="center"/>
    </xf>
    <xf numFmtId="0" fontId="0" fillId="26" borderId="0" xfId="0" applyFill="1" applyAlignment="1">
      <alignment horizontal="center"/>
    </xf>
    <xf numFmtId="14" fontId="0" fillId="26" borderId="0" xfId="0" applyNumberFormat="1" applyFill="1" applyAlignment="1">
      <alignment horizontal="center"/>
    </xf>
    <xf numFmtId="0" fontId="45" fillId="26" borderId="0" xfId="0" applyFont="1" applyFill="1"/>
    <xf numFmtId="0" fontId="45" fillId="26" borderId="0" xfId="0" applyFont="1" applyFill="1" applyAlignment="1">
      <alignment horizontal="center"/>
    </xf>
    <xf numFmtId="166" fontId="0" fillId="26" borderId="0" xfId="0" applyNumberFormat="1" applyFill="1" applyAlignment="1">
      <alignment horizontal="center"/>
    </xf>
    <xf numFmtId="0" fontId="0" fillId="26" borderId="0" xfId="0" applyFill="1"/>
    <xf numFmtId="0" fontId="18" fillId="0" borderId="10" xfId="28" applyFont="1" applyBorder="1"/>
    <xf numFmtId="0" fontId="63" fillId="26" borderId="0" xfId="0" applyFont="1" applyFill="1"/>
    <xf numFmtId="0" fontId="62" fillId="26" borderId="0" xfId="0" applyFont="1" applyFill="1" applyAlignment="1">
      <alignment horizontal="center" vertical="center"/>
    </xf>
    <xf numFmtId="165" fontId="44" fillId="0" borderId="0" xfId="0" applyNumberFormat="1" applyFont="1" applyAlignment="1">
      <alignment horizontal="center"/>
    </xf>
    <xf numFmtId="14" fontId="44" fillId="0" borderId="0" xfId="0" applyNumberFormat="1" applyFont="1" applyAlignment="1">
      <alignment horizontal="center"/>
    </xf>
    <xf numFmtId="0" fontId="44" fillId="0" borderId="0" xfId="0" applyFont="1"/>
    <xf numFmtId="166" fontId="44" fillId="0" borderId="0" xfId="0" applyNumberFormat="1" applyFont="1" applyAlignment="1">
      <alignment horizontal="center"/>
    </xf>
    <xf numFmtId="0" fontId="44" fillId="26" borderId="0" xfId="0" applyFont="1" applyFill="1"/>
    <xf numFmtId="166" fontId="64" fillId="0" borderId="0" xfId="0" applyNumberFormat="1" applyFont="1" applyAlignment="1">
      <alignment horizontal="center"/>
    </xf>
    <xf numFmtId="0" fontId="0" fillId="27" borderId="0" xfId="0" applyFill="1" applyAlignment="1">
      <alignment horizontal="center"/>
    </xf>
    <xf numFmtId="166" fontId="0" fillId="27" borderId="0" xfId="0" applyNumberFormat="1" applyFill="1" applyAlignment="1">
      <alignment horizontal="center"/>
    </xf>
    <xf numFmtId="166" fontId="64" fillId="27" borderId="0" xfId="0" applyNumberFormat="1" applyFont="1" applyFill="1" applyAlignment="1">
      <alignment horizontal="center"/>
    </xf>
    <xf numFmtId="166" fontId="64" fillId="26" borderId="0" xfId="0" applyNumberFormat="1" applyFont="1" applyFill="1" applyAlignment="1">
      <alignment horizontal="center"/>
    </xf>
    <xf numFmtId="166" fontId="65" fillId="0" borderId="0" xfId="0" applyNumberFormat="1" applyFont="1" applyAlignment="1">
      <alignment horizontal="center"/>
    </xf>
    <xf numFmtId="14" fontId="66" fillId="28" borderId="22" xfId="0" applyNumberFormat="1" applyFont="1" applyFill="1" applyBorder="1" applyAlignment="1">
      <alignment horizontal="center" vertical="center" wrapText="1"/>
    </xf>
    <xf numFmtId="0" fontId="66" fillId="28" borderId="22" xfId="0" applyFont="1" applyFill="1" applyBorder="1" applyAlignment="1">
      <alignment horizontal="center" vertical="center"/>
    </xf>
    <xf numFmtId="0" fontId="66" fillId="28" borderId="22" xfId="0" applyFont="1" applyFill="1" applyBorder="1" applyAlignment="1">
      <alignment horizontal="center" vertical="center" wrapText="1"/>
    </xf>
    <xf numFmtId="166" fontId="66" fillId="28" borderId="22" xfId="0" applyNumberFormat="1" applyFont="1" applyFill="1" applyBorder="1" applyAlignment="1">
      <alignment horizontal="center" vertical="center"/>
    </xf>
    <xf numFmtId="0" fontId="55" fillId="28" borderId="22" xfId="0" applyFont="1" applyFill="1" applyBorder="1" applyAlignment="1">
      <alignment horizontal="center" vertical="center" wrapText="1"/>
    </xf>
    <xf numFmtId="0" fontId="67" fillId="0" borderId="0" xfId="0" applyFont="1"/>
    <xf numFmtId="0" fontId="68" fillId="0" borderId="0" xfId="0" applyFont="1" applyAlignment="1">
      <alignment horizontal="center"/>
    </xf>
    <xf numFmtId="14" fontId="68" fillId="0" borderId="0" xfId="0" applyNumberFormat="1" applyFont="1" applyAlignment="1">
      <alignment horizontal="center"/>
    </xf>
    <xf numFmtId="0" fontId="0" fillId="29" borderId="0" xfId="0" applyFill="1" applyAlignment="1">
      <alignment horizontal="center"/>
    </xf>
    <xf numFmtId="0" fontId="69" fillId="29" borderId="41" xfId="0" applyFont="1" applyFill="1" applyBorder="1" applyAlignment="1">
      <alignment horizontal="center"/>
    </xf>
    <xf numFmtId="0" fontId="70" fillId="29" borderId="41" xfId="0" applyFont="1" applyFill="1" applyBorder="1" applyAlignment="1">
      <alignment horizontal="center"/>
    </xf>
    <xf numFmtId="0" fontId="71" fillId="29" borderId="41" xfId="0" applyFont="1" applyFill="1" applyBorder="1" applyAlignment="1">
      <alignment horizontal="center"/>
    </xf>
    <xf numFmtId="0" fontId="68" fillId="0" borderId="0" xfId="0" applyFont="1"/>
    <xf numFmtId="0" fontId="72" fillId="30" borderId="42" xfId="0" applyFont="1" applyFill="1" applyBorder="1"/>
    <xf numFmtId="14" fontId="0" fillId="29" borderId="0" xfId="0" applyNumberFormat="1" applyFill="1" applyAlignment="1">
      <alignment horizontal="center"/>
    </xf>
    <xf numFmtId="0" fontId="45" fillId="29" borderId="0" xfId="0" applyFont="1" applyFill="1"/>
    <xf numFmtId="0" fontId="45" fillId="29" borderId="0" xfId="0" applyFont="1" applyFill="1" applyAlignment="1">
      <alignment horizontal="center"/>
    </xf>
    <xf numFmtId="166" fontId="0" fillId="29" borderId="0" xfId="0" applyNumberFormat="1" applyFill="1" applyAlignment="1">
      <alignment horizontal="center"/>
    </xf>
    <xf numFmtId="166" fontId="65" fillId="29" borderId="0" xfId="0" applyNumberFormat="1" applyFont="1" applyFill="1" applyAlignment="1">
      <alignment horizontal="center"/>
    </xf>
    <xf numFmtId="0" fontId="19" fillId="30" borderId="41" xfId="0" applyFont="1" applyFill="1" applyBorder="1"/>
    <xf numFmtId="0" fontId="19" fillId="30" borderId="42" xfId="0" applyFont="1" applyFill="1" applyBorder="1"/>
    <xf numFmtId="0" fontId="24" fillId="29" borderId="41" xfId="0" applyFont="1" applyFill="1" applyBorder="1" applyAlignment="1">
      <alignment horizontal="center"/>
    </xf>
    <xf numFmtId="0" fontId="19" fillId="29" borderId="41" xfId="0" applyFont="1" applyFill="1" applyBorder="1"/>
    <xf numFmtId="0" fontId="53" fillId="29" borderId="41" xfId="0" applyFont="1" applyFill="1" applyBorder="1" applyAlignment="1">
      <alignment horizontal="center"/>
    </xf>
    <xf numFmtId="0" fontId="46" fillId="29" borderId="41" xfId="0" applyFont="1" applyFill="1" applyBorder="1" applyAlignment="1">
      <alignment horizontal="center"/>
    </xf>
    <xf numFmtId="0" fontId="48" fillId="29" borderId="41" xfId="0" applyFont="1" applyFill="1" applyBorder="1" applyAlignment="1">
      <alignment horizontal="center"/>
    </xf>
    <xf numFmtId="0" fontId="18" fillId="29" borderId="41" xfId="0" applyFont="1" applyFill="1" applyBorder="1" applyAlignment="1">
      <alignment horizontal="center"/>
    </xf>
    <xf numFmtId="0" fontId="28" fillId="29" borderId="41" xfId="0" applyFont="1" applyFill="1" applyBorder="1"/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vertical="center" wrapText="1"/>
    </xf>
    <xf numFmtId="0" fontId="73" fillId="0" borderId="0" xfId="0" applyFont="1"/>
    <xf numFmtId="0" fontId="74" fillId="31" borderId="41" xfId="0" applyFont="1" applyFill="1" applyBorder="1" applyAlignment="1">
      <alignment horizontal="center" vertical="center" wrapText="1"/>
    </xf>
    <xf numFmtId="0" fontId="74" fillId="31" borderId="41" xfId="0" applyFont="1" applyFill="1" applyBorder="1" applyAlignment="1">
      <alignment horizontal="center" vertical="center"/>
    </xf>
    <xf numFmtId="0" fontId="75" fillId="32" borderId="41" xfId="0" applyFont="1" applyFill="1" applyBorder="1" applyAlignment="1">
      <alignment horizontal="center"/>
    </xf>
    <xf numFmtId="0" fontId="76" fillId="0" borderId="0" xfId="0" applyFont="1" applyAlignment="1">
      <alignment horizontal="center"/>
    </xf>
    <xf numFmtId="0" fontId="0" fillId="0" borderId="41" xfId="0" applyBorder="1"/>
    <xf numFmtId="0" fontId="75" fillId="32" borderId="41" xfId="0" applyFont="1" applyFill="1" applyBorder="1" applyAlignment="1">
      <alignment horizontal="center" wrapText="1"/>
    </xf>
    <xf numFmtId="0" fontId="78" fillId="0" borderId="41" xfId="43" applyFont="1" applyBorder="1" applyAlignment="1">
      <alignment horizontal="center"/>
    </xf>
    <xf numFmtId="0" fontId="78" fillId="0" borderId="41" xfId="43" applyFont="1" applyBorder="1"/>
    <xf numFmtId="0" fontId="0" fillId="0" borderId="41" xfId="0" applyBorder="1" applyAlignment="1">
      <alignment horizontal="center"/>
    </xf>
    <xf numFmtId="0" fontId="78" fillId="0" borderId="41" xfId="43" applyFont="1" applyBorder="1" applyAlignment="1">
      <alignment wrapText="1"/>
    </xf>
    <xf numFmtId="0" fontId="79" fillId="0" borderId="41" xfId="43" applyFont="1" applyBorder="1" applyAlignment="1">
      <alignment horizontal="center"/>
    </xf>
    <xf numFmtId="0" fontId="0" fillId="0" borderId="43" xfId="0" applyBorder="1"/>
    <xf numFmtId="0" fontId="78" fillId="0" borderId="44" xfId="43" applyFont="1" applyBorder="1" applyAlignment="1">
      <alignment horizontal="center"/>
    </xf>
    <xf numFmtId="0" fontId="78" fillId="0" borderId="44" xfId="43" applyFont="1" applyBorder="1" applyAlignment="1">
      <alignment horizontal="left"/>
    </xf>
    <xf numFmtId="0" fontId="81" fillId="0" borderId="0" xfId="0" applyFont="1"/>
    <xf numFmtId="0" fontId="86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center"/>
    </xf>
    <xf numFmtId="0" fontId="87" fillId="0" borderId="0" xfId="0" applyFont="1" applyAlignment="1">
      <alignment horizontal="center" vertical="center"/>
    </xf>
    <xf numFmtId="0" fontId="84" fillId="0" borderId="0" xfId="0" applyFont="1"/>
    <xf numFmtId="0" fontId="84" fillId="0" borderId="54" xfId="0" applyFont="1" applyBorder="1"/>
    <xf numFmtId="0" fontId="84" fillId="0" borderId="57" xfId="0" applyFont="1" applyBorder="1"/>
    <xf numFmtId="0" fontId="88" fillId="0" borderId="57" xfId="0" applyFont="1" applyBorder="1"/>
    <xf numFmtId="0" fontId="84" fillId="0" borderId="60" xfId="0" applyFont="1" applyBorder="1"/>
    <xf numFmtId="0" fontId="84" fillId="0" borderId="15" xfId="0" applyFont="1" applyBorder="1"/>
    <xf numFmtId="0" fontId="89" fillId="0" borderId="0" xfId="0" applyFont="1" applyAlignment="1">
      <alignment wrapText="1"/>
    </xf>
    <xf numFmtId="0" fontId="84" fillId="0" borderId="30" xfId="0" applyFont="1" applyBorder="1"/>
    <xf numFmtId="0" fontId="91" fillId="0" borderId="36" xfId="0" applyFont="1" applyBorder="1" applyAlignment="1">
      <alignment horizontal="center" vertical="top"/>
    </xf>
    <xf numFmtId="0" fontId="91" fillId="0" borderId="37" xfId="0" applyFont="1" applyBorder="1" applyAlignment="1">
      <alignment horizontal="center" vertical="top"/>
    </xf>
    <xf numFmtId="0" fontId="91" fillId="0" borderId="37" xfId="0" applyFont="1" applyBorder="1" applyAlignment="1">
      <alignment vertical="top"/>
    </xf>
    <xf numFmtId="0" fontId="81" fillId="0" borderId="37" xfId="0" applyFont="1" applyBorder="1" applyAlignment="1">
      <alignment vertical="top"/>
    </xf>
    <xf numFmtId="0" fontId="91" fillId="0" borderId="38" xfId="0" applyFont="1" applyBorder="1" applyAlignment="1">
      <alignment vertical="top"/>
    </xf>
    <xf numFmtId="0" fontId="81" fillId="0" borderId="0" xfId="0" applyFont="1" applyAlignment="1">
      <alignment vertical="top"/>
    </xf>
    <xf numFmtId="0" fontId="84" fillId="0" borderId="11" xfId="0" applyFont="1" applyBorder="1"/>
    <xf numFmtId="0" fontId="84" fillId="0" borderId="12" xfId="0" applyFont="1" applyBorder="1"/>
    <xf numFmtId="0" fontId="88" fillId="0" borderId="12" xfId="0" applyFont="1" applyBorder="1"/>
    <xf numFmtId="0" fontId="84" fillId="0" borderId="29" xfId="0" applyFont="1" applyBorder="1"/>
    <xf numFmtId="0" fontId="91" fillId="0" borderId="15" xfId="0" applyFont="1" applyBorder="1" applyAlignment="1">
      <alignment horizontal="center" vertical="top"/>
    </xf>
    <xf numFmtId="0" fontId="91" fillId="0" borderId="0" xfId="0" applyFont="1" applyAlignment="1">
      <alignment horizontal="center" vertical="top"/>
    </xf>
    <xf numFmtId="0" fontId="91" fillId="0" borderId="0" xfId="0" applyFont="1" applyAlignment="1">
      <alignment vertical="top"/>
    </xf>
    <xf numFmtId="0" fontId="91" fillId="0" borderId="30" xfId="0" applyFont="1" applyBorder="1" applyAlignment="1">
      <alignment vertical="top"/>
    </xf>
    <xf numFmtId="0" fontId="91" fillId="0" borderId="62" xfId="0" applyFont="1" applyBorder="1" applyAlignment="1">
      <alignment horizontal="center" vertical="top"/>
    </xf>
    <xf numFmtId="0" fontId="91" fillId="0" borderId="18" xfId="0" applyFont="1" applyBorder="1" applyAlignment="1">
      <alignment horizontal="center" vertical="top"/>
    </xf>
    <xf numFmtId="0" fontId="91" fillId="0" borderId="18" xfId="0" applyFont="1" applyBorder="1" applyAlignment="1">
      <alignment vertical="top"/>
    </xf>
    <xf numFmtId="0" fontId="81" fillId="0" borderId="18" xfId="0" applyFont="1" applyBorder="1" applyAlignment="1">
      <alignment vertical="top"/>
    </xf>
    <xf numFmtId="0" fontId="91" fillId="0" borderId="63" xfId="0" applyFont="1" applyBorder="1" applyAlignment="1">
      <alignment vertical="top"/>
    </xf>
    <xf numFmtId="0" fontId="88" fillId="0" borderId="0" xfId="0" applyFont="1"/>
    <xf numFmtId="0" fontId="91" fillId="0" borderId="0" xfId="0" applyFont="1" applyAlignment="1">
      <alignment horizontal="center" vertical="center"/>
    </xf>
    <xf numFmtId="0" fontId="34" fillId="0" borderId="58" xfId="0" applyFont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/>
    </xf>
    <xf numFmtId="0" fontId="32" fillId="0" borderId="52" xfId="0" applyFont="1" applyBorder="1" applyAlignment="1">
      <alignment horizontal="center"/>
    </xf>
    <xf numFmtId="0" fontId="32" fillId="0" borderId="52" xfId="0" applyFont="1" applyBorder="1" applyAlignment="1">
      <alignment shrinkToFit="1"/>
    </xf>
    <xf numFmtId="0" fontId="50" fillId="0" borderId="52" xfId="0" applyFont="1" applyBorder="1" applyAlignment="1">
      <alignment horizontal="center"/>
    </xf>
    <xf numFmtId="0" fontId="51" fillId="0" borderId="52" xfId="0" applyFont="1" applyBorder="1" applyAlignment="1">
      <alignment horizontal="center"/>
    </xf>
    <xf numFmtId="0" fontId="28" fillId="0" borderId="52" xfId="0" applyFont="1" applyBorder="1"/>
    <xf numFmtId="0" fontId="28" fillId="0" borderId="51" xfId="0" applyFont="1" applyBorder="1"/>
    <xf numFmtId="0" fontId="28" fillId="0" borderId="61" xfId="0" applyFont="1" applyBorder="1"/>
    <xf numFmtId="0" fontId="0" fillId="0" borderId="64" xfId="0" applyBorder="1"/>
    <xf numFmtId="0" fontId="0" fillId="0" borderId="52" xfId="0" applyBorder="1"/>
    <xf numFmtId="0" fontId="44" fillId="0" borderId="52" xfId="0" applyFont="1" applyBorder="1"/>
    <xf numFmtId="0" fontId="42" fillId="0" borderId="52" xfId="0" applyFont="1" applyBorder="1" applyAlignment="1">
      <alignment horizontal="center"/>
    </xf>
    <xf numFmtId="17" fontId="0" fillId="0" borderId="53" xfId="0" applyNumberFormat="1" applyBorder="1"/>
    <xf numFmtId="0" fontId="0" fillId="0" borderId="53" xfId="0" applyBorder="1"/>
    <xf numFmtId="0" fontId="96" fillId="0" borderId="44" xfId="43" applyFont="1" applyBorder="1" applyAlignment="1">
      <alignment horizontal="left"/>
    </xf>
    <xf numFmtId="0" fontId="97" fillId="0" borderId="0" xfId="0" applyFont="1"/>
    <xf numFmtId="0" fontId="97" fillId="0" borderId="0" xfId="0" applyFont="1" applyAlignment="1">
      <alignment horizontal="center"/>
    </xf>
    <xf numFmtId="0" fontId="97" fillId="0" borderId="4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97" fillId="0" borderId="0" xfId="0" applyFont="1" applyAlignment="1">
      <alignment horizontal="left"/>
    </xf>
    <xf numFmtId="0" fontId="95" fillId="31" borderId="41" xfId="0" applyFont="1" applyFill="1" applyBorder="1" applyAlignment="1">
      <alignment horizontal="left" vertical="center" wrapText="1"/>
    </xf>
    <xf numFmtId="0" fontId="95" fillId="31" borderId="41" xfId="0" applyFont="1" applyFill="1" applyBorder="1" applyAlignment="1">
      <alignment horizontal="left" vertical="center"/>
    </xf>
    <xf numFmtId="0" fontId="97" fillId="0" borderId="41" xfId="0" applyFont="1" applyBorder="1" applyAlignment="1">
      <alignment horizontal="left"/>
    </xf>
    <xf numFmtId="0" fontId="96" fillId="0" borderId="41" xfId="43" applyFont="1" applyBorder="1" applyAlignment="1">
      <alignment horizontal="left"/>
    </xf>
    <xf numFmtId="0" fontId="96" fillId="0" borderId="41" xfId="43" applyFont="1" applyBorder="1" applyAlignment="1">
      <alignment horizontal="left" wrapText="1"/>
    </xf>
    <xf numFmtId="0" fontId="75" fillId="0" borderId="41" xfId="43" applyFont="1" applyBorder="1" applyAlignment="1">
      <alignment horizontal="left"/>
    </xf>
    <xf numFmtId="0" fontId="97" fillId="0" borderId="43" xfId="0" applyFont="1" applyBorder="1" applyAlignment="1">
      <alignment horizontal="left"/>
    </xf>
    <xf numFmtId="3" fontId="75" fillId="33" borderId="41" xfId="0" applyNumberFormat="1" applyFont="1" applyFill="1" applyBorder="1" applyAlignment="1">
      <alignment horizontal="centerContinuous" vertical="center"/>
    </xf>
    <xf numFmtId="3" fontId="75" fillId="33" borderId="41" xfId="0" applyNumberFormat="1" applyFont="1" applyFill="1" applyBorder="1" applyAlignment="1">
      <alignment horizontal="centerContinuous" vertical="center" wrapText="1"/>
    </xf>
    <xf numFmtId="0" fontId="9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4" fontId="98" fillId="0" borderId="0" xfId="0" applyNumberFormat="1" applyFont="1" applyAlignment="1">
      <alignment horizontal="center" vertical="center"/>
    </xf>
    <xf numFmtId="14" fontId="100" fillId="0" borderId="0" xfId="0" applyNumberFormat="1" applyFont="1" applyAlignment="1">
      <alignment horizontal="center"/>
    </xf>
    <xf numFmtId="0" fontId="100" fillId="0" borderId="0" xfId="0" applyFont="1"/>
    <xf numFmtId="0" fontId="100" fillId="0" borderId="0" xfId="0" applyFont="1" applyAlignment="1">
      <alignment horizontal="center"/>
    </xf>
    <xf numFmtId="165" fontId="100" fillId="0" borderId="0" xfId="0" applyNumberFormat="1" applyFont="1" applyAlignment="1">
      <alignment horizontal="center"/>
    </xf>
    <xf numFmtId="165" fontId="100" fillId="0" borderId="0" xfId="0" applyNumberFormat="1" applyFont="1" applyAlignment="1">
      <alignment horizontal="left"/>
    </xf>
    <xf numFmtId="165" fontId="45" fillId="0" borderId="0" xfId="0" applyNumberFormat="1" applyFont="1" applyAlignment="1">
      <alignment horizontal="left"/>
    </xf>
    <xf numFmtId="165" fontId="45" fillId="0" borderId="0" xfId="0" applyNumberFormat="1" applyFont="1" applyAlignment="1">
      <alignment horizontal="center"/>
    </xf>
    <xf numFmtId="0" fontId="100" fillId="0" borderId="0" xfId="0" applyFont="1" applyAlignment="1">
      <alignment shrinkToFit="1"/>
    </xf>
    <xf numFmtId="165" fontId="98" fillId="25" borderId="22" xfId="0" applyNumberFormat="1" applyFont="1" applyFill="1" applyBorder="1" applyAlignment="1">
      <alignment horizontal="center" vertical="center"/>
    </xf>
    <xf numFmtId="0" fontId="98" fillId="25" borderId="22" xfId="0" applyFont="1" applyFill="1" applyBorder="1" applyAlignment="1">
      <alignment horizontal="center" vertical="center" wrapText="1"/>
    </xf>
    <xf numFmtId="14" fontId="98" fillId="25" borderId="22" xfId="0" applyNumberFormat="1" applyFont="1" applyFill="1" applyBorder="1" applyAlignment="1">
      <alignment horizontal="center" vertical="center" wrapText="1"/>
    </xf>
    <xf numFmtId="0" fontId="98" fillId="25" borderId="22" xfId="0" applyFont="1" applyFill="1" applyBorder="1" applyAlignment="1">
      <alignment horizontal="center" vertical="center"/>
    </xf>
    <xf numFmtId="0" fontId="98" fillId="35" borderId="22" xfId="0" applyFont="1" applyFill="1" applyBorder="1" applyAlignment="1">
      <alignment horizontal="center" vertical="center"/>
    </xf>
    <xf numFmtId="0" fontId="103" fillId="36" borderId="22" xfId="0" applyFont="1" applyFill="1" applyBorder="1" applyAlignment="1">
      <alignment horizontal="center" vertical="center"/>
    </xf>
    <xf numFmtId="0" fontId="103" fillId="36" borderId="22" xfId="0" applyFont="1" applyFill="1" applyBorder="1" applyAlignment="1">
      <alignment horizontal="center" vertical="center" wrapText="1"/>
    </xf>
    <xf numFmtId="14" fontId="98" fillId="24" borderId="22" xfId="0" applyNumberFormat="1" applyFont="1" applyFill="1" applyBorder="1" applyAlignment="1">
      <alignment horizontal="center" vertical="center" wrapText="1"/>
    </xf>
    <xf numFmtId="0" fontId="98" fillId="24" borderId="22" xfId="0" applyFont="1" applyFill="1" applyBorder="1" applyAlignment="1">
      <alignment horizontal="center" vertical="center"/>
    </xf>
    <xf numFmtId="17" fontId="75" fillId="32" borderId="41" xfId="0" applyNumberFormat="1" applyFont="1" applyFill="1" applyBorder="1" applyAlignment="1">
      <alignment horizontal="center"/>
    </xf>
    <xf numFmtId="0" fontId="104" fillId="36" borderId="22" xfId="0" applyFont="1" applyFill="1" applyBorder="1" applyAlignment="1">
      <alignment horizontal="center" vertical="center" wrapText="1"/>
    </xf>
    <xf numFmtId="165" fontId="105" fillId="24" borderId="22" xfId="0" applyNumberFormat="1" applyFont="1" applyFill="1" applyBorder="1" applyAlignment="1">
      <alignment horizontal="center" vertical="center"/>
    </xf>
    <xf numFmtId="14" fontId="106" fillId="0" borderId="0" xfId="0" applyNumberFormat="1" applyFont="1"/>
    <xf numFmtId="17" fontId="75" fillId="32" borderId="41" xfId="0" quotePrefix="1" applyNumberFormat="1" applyFont="1" applyFill="1" applyBorder="1" applyAlignment="1">
      <alignment horizontal="center"/>
    </xf>
    <xf numFmtId="0" fontId="105" fillId="24" borderId="22" xfId="0" applyFont="1" applyFill="1" applyBorder="1" applyAlignment="1">
      <alignment horizontal="center" vertical="center"/>
    </xf>
    <xf numFmtId="14" fontId="67" fillId="0" borderId="0" xfId="0" applyNumberFormat="1" applyFont="1" applyAlignment="1">
      <alignment horizontal="center"/>
    </xf>
    <xf numFmtId="14" fontId="52" fillId="0" borderId="0" xfId="0" applyNumberFormat="1" applyFont="1" applyAlignment="1">
      <alignment horizontal="center"/>
    </xf>
    <xf numFmtId="0" fontId="109" fillId="0" borderId="0" xfId="0" applyFont="1" applyAlignment="1">
      <alignment horizontal="center"/>
    </xf>
    <xf numFmtId="0" fontId="110" fillId="35" borderId="22" xfId="0" applyFont="1" applyFill="1" applyBorder="1" applyAlignment="1">
      <alignment horizontal="center" vertical="center" wrapText="1"/>
    </xf>
    <xf numFmtId="0" fontId="55" fillId="35" borderId="22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14" fontId="55" fillId="35" borderId="22" xfId="0" applyNumberFormat="1" applyFont="1" applyFill="1" applyBorder="1" applyAlignment="1">
      <alignment horizontal="center" vertical="center" wrapText="1"/>
    </xf>
    <xf numFmtId="0" fontId="66" fillId="36" borderId="22" xfId="0" applyFont="1" applyFill="1" applyBorder="1" applyAlignment="1">
      <alignment horizontal="center" vertical="center" wrapText="1"/>
    </xf>
    <xf numFmtId="3" fontId="75" fillId="33" borderId="41" xfId="0" applyNumberFormat="1" applyFont="1" applyFill="1" applyBorder="1" applyAlignment="1">
      <alignment horizontal="center" vertical="center" wrapText="1"/>
    </xf>
    <xf numFmtId="0" fontId="75" fillId="32" borderId="41" xfId="0" applyFont="1" applyFill="1" applyBorder="1" applyAlignment="1">
      <alignment horizontal="center" vertical="center"/>
    </xf>
    <xf numFmtId="0" fontId="75" fillId="32" borderId="41" xfId="0" applyFont="1" applyFill="1" applyBorder="1" applyAlignment="1">
      <alignment horizontal="center" vertical="center" wrapText="1"/>
    </xf>
    <xf numFmtId="165" fontId="100" fillId="37" borderId="67" xfId="0" applyNumberFormat="1" applyFont="1" applyFill="1" applyBorder="1" applyAlignment="1">
      <alignment horizontal="center"/>
    </xf>
    <xf numFmtId="49" fontId="75" fillId="32" borderId="41" xfId="0" quotePrefix="1" applyNumberFormat="1" applyFont="1" applyFill="1" applyBorder="1" applyAlignment="1">
      <alignment horizontal="center"/>
    </xf>
    <xf numFmtId="49" fontId="75" fillId="32" borderId="41" xfId="0" applyNumberFormat="1" applyFont="1" applyFill="1" applyBorder="1" applyAlignment="1">
      <alignment horizontal="center"/>
    </xf>
    <xf numFmtId="165" fontId="98" fillId="24" borderId="22" xfId="0" applyNumberFormat="1" applyFont="1" applyFill="1" applyBorder="1" applyAlignment="1">
      <alignment vertical="center"/>
    </xf>
    <xf numFmtId="165" fontId="100" fillId="0" borderId="0" xfId="0" applyNumberFormat="1" applyFont="1"/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12" fillId="0" borderId="0" xfId="0" applyFont="1" applyAlignment="1">
      <alignment wrapText="1"/>
    </xf>
    <xf numFmtId="0" fontId="113" fillId="0" borderId="0" xfId="0" applyFont="1"/>
    <xf numFmtId="0" fontId="113" fillId="0" borderId="0" xfId="0" applyFont="1" applyAlignment="1">
      <alignment horizontal="center" vertical="center"/>
    </xf>
    <xf numFmtId="0" fontId="113" fillId="0" borderId="0" xfId="0" applyFont="1" applyAlignment="1">
      <alignment wrapText="1"/>
    </xf>
    <xf numFmtId="0" fontId="83" fillId="0" borderId="0" xfId="44" applyFont="1" applyAlignment="1">
      <alignment vertical="center" wrapText="1"/>
    </xf>
    <xf numFmtId="0" fontId="96" fillId="0" borderId="43" xfId="43" applyFont="1" applyBorder="1" applyAlignment="1">
      <alignment horizontal="left"/>
    </xf>
    <xf numFmtId="0" fontId="96" fillId="0" borderId="0" xfId="43" applyFont="1" applyBorder="1" applyAlignment="1">
      <alignment horizontal="left"/>
    </xf>
    <xf numFmtId="0" fontId="66" fillId="0" borderId="0" xfId="0" applyFont="1" applyAlignment="1">
      <alignment horizontal="center"/>
    </xf>
    <xf numFmtId="0" fontId="100" fillId="0" borderId="71" xfId="0" applyFont="1" applyBorder="1"/>
    <xf numFmtId="0" fontId="52" fillId="0" borderId="0" xfId="0" applyFont="1" applyAlignment="1">
      <alignment horizontal="center"/>
    </xf>
    <xf numFmtId="0" fontId="97" fillId="0" borderId="73" xfId="0" applyFont="1" applyBorder="1" applyAlignment="1">
      <alignment horizontal="left"/>
    </xf>
    <xf numFmtId="0" fontId="96" fillId="0" borderId="72" xfId="43" applyFont="1" applyBorder="1" applyAlignment="1">
      <alignment horizontal="left"/>
    </xf>
    <xf numFmtId="0" fontId="97" fillId="0" borderId="44" xfId="0" applyFont="1" applyBorder="1" applyAlignment="1">
      <alignment horizontal="left"/>
    </xf>
    <xf numFmtId="0" fontId="97" fillId="0" borderId="73" xfId="0" applyFont="1" applyBorder="1" applyAlignment="1">
      <alignment horizontal="center"/>
    </xf>
    <xf numFmtId="0" fontId="97" fillId="0" borderId="44" xfId="0" applyFont="1" applyBorder="1" applyAlignment="1">
      <alignment horizontal="center"/>
    </xf>
    <xf numFmtId="0" fontId="98" fillId="24" borderId="74" xfId="0" applyFont="1" applyFill="1" applyBorder="1" applyAlignment="1">
      <alignment horizontal="center" vertical="center"/>
    </xf>
    <xf numFmtId="0" fontId="97" fillId="0" borderId="75" xfId="0" applyFont="1" applyBorder="1" applyAlignment="1">
      <alignment horizontal="left"/>
    </xf>
    <xf numFmtId="0" fontId="97" fillId="0" borderId="76" xfId="0" applyFont="1" applyBorder="1" applyAlignment="1">
      <alignment horizontal="left"/>
    </xf>
    <xf numFmtId="14" fontId="100" fillId="0" borderId="0" xfId="0" quotePrefix="1" applyNumberFormat="1" applyFont="1" applyAlignment="1">
      <alignment horizontal="center"/>
    </xf>
    <xf numFmtId="0" fontId="100" fillId="37" borderId="71" xfId="0" applyFont="1" applyFill="1" applyBorder="1" applyAlignment="1">
      <alignment shrinkToFit="1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4" fontId="0" fillId="0" borderId="0" xfId="0" applyNumberFormat="1"/>
    <xf numFmtId="0" fontId="104" fillId="38" borderId="0" xfId="0" applyFont="1" applyFill="1" applyAlignment="1">
      <alignment horizontal="center" vertical="center"/>
    </xf>
    <xf numFmtId="0" fontId="66" fillId="24" borderId="22" xfId="0" applyFont="1" applyFill="1" applyBorder="1" applyAlignment="1">
      <alignment horizontal="center" vertical="center" wrapText="1"/>
    </xf>
    <xf numFmtId="0" fontId="96" fillId="0" borderId="41" xfId="0" applyFont="1" applyBorder="1"/>
    <xf numFmtId="14" fontId="115" fillId="39" borderId="22" xfId="0" applyNumberFormat="1" applyFont="1" applyFill="1" applyBorder="1" applyAlignment="1">
      <alignment horizontal="center" vertical="center" wrapText="1"/>
    </xf>
    <xf numFmtId="0" fontId="98" fillId="0" borderId="0" xfId="0" applyFont="1"/>
    <xf numFmtId="0" fontId="117" fillId="0" borderId="0" xfId="0" applyFont="1"/>
    <xf numFmtId="0" fontId="117" fillId="0" borderId="0" xfId="0" applyFont="1" applyAlignment="1">
      <alignment horizontal="left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left"/>
    </xf>
    <xf numFmtId="0" fontId="119" fillId="31" borderId="41" xfId="0" applyFont="1" applyFill="1" applyBorder="1" applyAlignment="1">
      <alignment horizontal="left" vertical="center" wrapText="1"/>
    </xf>
    <xf numFmtId="0" fontId="119" fillId="31" borderId="41" xfId="0" applyFont="1" applyFill="1" applyBorder="1" applyAlignment="1">
      <alignment horizontal="left" vertical="center"/>
    </xf>
    <xf numFmtId="0" fontId="118" fillId="32" borderId="41" xfId="0" applyFont="1" applyFill="1" applyBorder="1" applyAlignment="1">
      <alignment horizontal="center"/>
    </xf>
    <xf numFmtId="3" fontId="118" fillId="33" borderId="41" xfId="0" applyNumberFormat="1" applyFont="1" applyFill="1" applyBorder="1" applyAlignment="1">
      <alignment horizontal="centerContinuous" vertical="center"/>
    </xf>
    <xf numFmtId="0" fontId="117" fillId="0" borderId="41" xfId="0" applyFont="1" applyBorder="1" applyAlignment="1">
      <alignment horizontal="left"/>
    </xf>
    <xf numFmtId="0" fontId="118" fillId="32" borderId="41" xfId="0" applyFont="1" applyFill="1" applyBorder="1" applyAlignment="1">
      <alignment horizontal="center" wrapText="1"/>
    </xf>
    <xf numFmtId="0" fontId="120" fillId="0" borderId="41" xfId="43" applyFont="1" applyBorder="1" applyAlignment="1">
      <alignment horizontal="left"/>
    </xf>
    <xf numFmtId="0" fontId="117" fillId="0" borderId="41" xfId="0" applyFont="1" applyBorder="1" applyAlignment="1">
      <alignment horizontal="center"/>
    </xf>
    <xf numFmtId="0" fontId="118" fillId="32" borderId="41" xfId="0" applyFont="1" applyFill="1" applyBorder="1" applyAlignment="1">
      <alignment horizontal="center" vertical="center"/>
    </xf>
    <xf numFmtId="0" fontId="120" fillId="0" borderId="41" xfId="43" applyFont="1" applyBorder="1" applyAlignment="1">
      <alignment horizontal="left" wrapText="1"/>
    </xf>
    <xf numFmtId="0" fontId="118" fillId="0" borderId="41" xfId="43" applyFont="1" applyBorder="1" applyAlignment="1">
      <alignment horizontal="left"/>
    </xf>
    <xf numFmtId="0" fontId="117" fillId="0" borderId="43" xfId="0" applyFont="1" applyBorder="1" applyAlignment="1">
      <alignment horizontal="left"/>
    </xf>
    <xf numFmtId="17" fontId="118" fillId="32" borderId="41" xfId="0" applyNumberFormat="1" applyFont="1" applyFill="1" applyBorder="1" applyAlignment="1">
      <alignment horizontal="center"/>
    </xf>
    <xf numFmtId="3" fontId="118" fillId="33" borderId="41" xfId="0" applyNumberFormat="1" applyFont="1" applyFill="1" applyBorder="1" applyAlignment="1">
      <alignment horizontal="centerContinuous" vertical="center" wrapText="1"/>
    </xf>
    <xf numFmtId="3" fontId="118" fillId="33" borderId="41" xfId="0" applyNumberFormat="1" applyFont="1" applyFill="1" applyBorder="1" applyAlignment="1">
      <alignment horizontal="center" vertical="center" wrapText="1"/>
    </xf>
    <xf numFmtId="0" fontId="118" fillId="32" borderId="41" xfId="0" applyFont="1" applyFill="1" applyBorder="1" applyAlignment="1">
      <alignment horizontal="center" vertical="center" wrapText="1"/>
    </xf>
    <xf numFmtId="0" fontId="120" fillId="0" borderId="44" xfId="43" applyFont="1" applyBorder="1" applyAlignment="1">
      <alignment horizontal="left"/>
    </xf>
    <xf numFmtId="0" fontId="120" fillId="0" borderId="72" xfId="43" applyFont="1" applyBorder="1" applyAlignment="1">
      <alignment horizontal="left"/>
    </xf>
    <xf numFmtId="0" fontId="117" fillId="0" borderId="73" xfId="0" applyFont="1" applyBorder="1" applyAlignment="1">
      <alignment horizontal="center"/>
    </xf>
    <xf numFmtId="0" fontId="117" fillId="0" borderId="44" xfId="0" applyFont="1" applyBorder="1" applyAlignment="1">
      <alignment horizontal="left"/>
    </xf>
    <xf numFmtId="0" fontId="117" fillId="0" borderId="73" xfId="0" applyFont="1" applyBorder="1" applyAlignment="1">
      <alignment horizontal="left"/>
    </xf>
    <xf numFmtId="0" fontId="117" fillId="0" borderId="75" xfId="0" applyFont="1" applyBorder="1" applyAlignment="1">
      <alignment horizontal="left"/>
    </xf>
    <xf numFmtId="0" fontId="117" fillId="0" borderId="44" xfId="0" applyFont="1" applyBorder="1" applyAlignment="1">
      <alignment horizontal="center"/>
    </xf>
    <xf numFmtId="0" fontId="120" fillId="0" borderId="41" xfId="0" applyFont="1" applyBorder="1"/>
    <xf numFmtId="0" fontId="117" fillId="0" borderId="76" xfId="0" applyFont="1" applyBorder="1" applyAlignment="1">
      <alignment horizontal="left"/>
    </xf>
    <xf numFmtId="49" fontId="118" fillId="32" borderId="41" xfId="0" quotePrefix="1" applyNumberFormat="1" applyFont="1" applyFill="1" applyBorder="1" applyAlignment="1">
      <alignment horizontal="center"/>
    </xf>
    <xf numFmtId="16" fontId="100" fillId="0" borderId="0" xfId="0" applyNumberFormat="1" applyFont="1" applyAlignment="1">
      <alignment horizontal="center"/>
    </xf>
    <xf numFmtId="0" fontId="75" fillId="0" borderId="0" xfId="0" applyFont="1" applyAlignment="1">
      <alignment horizontal="left"/>
    </xf>
    <xf numFmtId="0" fontId="29" fillId="0" borderId="56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32" fillId="0" borderId="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27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14" fontId="61" fillId="0" borderId="26" xfId="0" applyNumberFormat="1" applyFont="1" applyBorder="1" applyAlignment="1">
      <alignment horizontal="center" vertical="center"/>
    </xf>
    <xf numFmtId="14" fontId="61" fillId="0" borderId="30" xfId="0" applyNumberFormat="1" applyFont="1" applyBorder="1" applyAlignment="1">
      <alignment horizontal="center" vertical="center"/>
    </xf>
    <xf numFmtId="0" fontId="61" fillId="0" borderId="26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top"/>
    </xf>
    <xf numFmtId="0" fontId="28" fillId="0" borderId="37" xfId="0" applyFont="1" applyBorder="1" applyAlignment="1">
      <alignment horizontal="center" vertical="top"/>
    </xf>
    <xf numFmtId="0" fontId="28" fillId="0" borderId="38" xfId="0" applyFont="1" applyBorder="1" applyAlignment="1">
      <alignment horizontal="center" vertical="top"/>
    </xf>
    <xf numFmtId="0" fontId="37" fillId="0" borderId="39" xfId="0" applyFont="1" applyBorder="1" applyAlignment="1">
      <alignment horizontal="left" vertical="top"/>
    </xf>
    <xf numFmtId="0" fontId="37" fillId="0" borderId="40" xfId="0" applyFont="1" applyBorder="1" applyAlignment="1">
      <alignment horizontal="left" vertical="top"/>
    </xf>
    <xf numFmtId="0" fontId="35" fillId="0" borderId="15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30" xfId="0" applyFont="1" applyBorder="1" applyAlignment="1">
      <alignment horizontal="left"/>
    </xf>
    <xf numFmtId="0" fontId="41" fillId="0" borderId="15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30" xfId="0" applyFont="1" applyBorder="1" applyAlignment="1">
      <alignment horizontal="center"/>
    </xf>
    <xf numFmtId="0" fontId="28" fillId="0" borderId="36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36" fillId="0" borderId="15" xfId="0" applyFont="1" applyBorder="1" applyAlignment="1">
      <alignment horizontal="left" vertical="top"/>
    </xf>
    <xf numFmtId="0" fontId="36" fillId="0" borderId="0" xfId="0" applyFont="1" applyAlignment="1">
      <alignment horizontal="left" vertical="top"/>
    </xf>
    <xf numFmtId="0" fontId="36" fillId="0" borderId="30" xfId="0" applyFont="1" applyBorder="1" applyAlignment="1">
      <alignment horizontal="left" vertical="top"/>
    </xf>
    <xf numFmtId="0" fontId="28" fillId="0" borderId="15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30" xfId="0" applyFont="1" applyBorder="1" applyAlignment="1">
      <alignment horizontal="center"/>
    </xf>
    <xf numFmtId="0" fontId="87" fillId="0" borderId="48" xfId="0" applyFont="1" applyBorder="1" applyAlignment="1">
      <alignment vertical="center"/>
    </xf>
    <xf numFmtId="0" fontId="87" fillId="0" borderId="49" xfId="0" applyFont="1" applyBorder="1" applyAlignment="1">
      <alignment vertical="center"/>
    </xf>
    <xf numFmtId="0" fontId="102" fillId="0" borderId="56" xfId="0" applyFont="1" applyBorder="1" applyAlignment="1">
      <alignment horizontal="left" vertical="center" indent="1"/>
    </xf>
    <xf numFmtId="0" fontId="102" fillId="0" borderId="57" xfId="0" applyFont="1" applyBorder="1" applyAlignment="1">
      <alignment horizontal="left" vertical="center" indent="1"/>
    </xf>
    <xf numFmtId="0" fontId="102" fillId="0" borderId="55" xfId="0" applyFont="1" applyBorder="1" applyAlignment="1">
      <alignment horizontal="left" vertical="center" indent="1"/>
    </xf>
    <xf numFmtId="0" fontId="102" fillId="0" borderId="50" xfId="0" applyFont="1" applyBorder="1" applyAlignment="1">
      <alignment horizontal="left" vertical="center"/>
    </xf>
    <xf numFmtId="0" fontId="102" fillId="0" borderId="51" xfId="0" applyFont="1" applyBorder="1" applyAlignment="1">
      <alignment horizontal="left" vertical="center"/>
    </xf>
    <xf numFmtId="0" fontId="102" fillId="0" borderId="41" xfId="0" applyFont="1" applyBorder="1" applyAlignment="1">
      <alignment horizontal="center" vertical="center"/>
    </xf>
    <xf numFmtId="0" fontId="85" fillId="0" borderId="51" xfId="0" applyFont="1" applyBorder="1" applyAlignment="1">
      <alignment horizontal="left" vertical="center"/>
    </xf>
    <xf numFmtId="0" fontId="85" fillId="0" borderId="49" xfId="0" applyFont="1" applyBorder="1" applyAlignment="1">
      <alignment horizontal="left" vertical="center"/>
    </xf>
    <xf numFmtId="0" fontId="85" fillId="0" borderId="52" xfId="0" applyFont="1" applyBorder="1" applyAlignment="1">
      <alignment horizontal="left" vertical="center"/>
    </xf>
    <xf numFmtId="0" fontId="85" fillId="0" borderId="53" xfId="0" applyFont="1" applyBorder="1" applyAlignment="1">
      <alignment horizontal="left" vertical="center"/>
    </xf>
    <xf numFmtId="0" fontId="102" fillId="0" borderId="49" xfId="0" applyFont="1" applyBorder="1" applyAlignment="1">
      <alignment horizontal="left" vertical="center"/>
    </xf>
    <xf numFmtId="0" fontId="102" fillId="0" borderId="34" xfId="0" applyFont="1" applyBorder="1" applyAlignment="1">
      <alignment horizontal="center" vertical="center"/>
    </xf>
    <xf numFmtId="0" fontId="102" fillId="0" borderId="26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85" fillId="0" borderId="48" xfId="0" applyFont="1" applyBorder="1" applyAlignment="1">
      <alignment horizontal="left" vertical="center"/>
    </xf>
    <xf numFmtId="0" fontId="92" fillId="0" borderId="19" xfId="0" applyFont="1" applyBorder="1" applyAlignment="1">
      <alignment horizontal="center" vertical="center"/>
    </xf>
    <xf numFmtId="0" fontId="92" fillId="0" borderId="39" xfId="0" applyFont="1" applyBorder="1" applyAlignment="1">
      <alignment horizontal="center" vertical="center"/>
    </xf>
    <xf numFmtId="0" fontId="92" fillId="0" borderId="40" xfId="0" applyFont="1" applyBorder="1" applyAlignment="1">
      <alignment horizontal="center" vertical="center"/>
    </xf>
    <xf numFmtId="0" fontId="93" fillId="0" borderId="15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89" fillId="0" borderId="18" xfId="0" applyFont="1" applyBorder="1" applyAlignment="1">
      <alignment horizontal="center"/>
    </xf>
    <xf numFmtId="0" fontId="90" fillId="0" borderId="18" xfId="0" applyFont="1" applyBorder="1" applyAlignment="1">
      <alignment horizontal="center" wrapText="1"/>
    </xf>
    <xf numFmtId="0" fontId="91" fillId="0" borderId="61" xfId="0" applyFont="1" applyBorder="1" applyAlignment="1">
      <alignment horizontal="center" vertical="top"/>
    </xf>
    <xf numFmtId="0" fontId="91" fillId="0" borderId="51" xfId="0" applyFont="1" applyBorder="1" applyAlignment="1">
      <alignment horizontal="center" vertical="top"/>
    </xf>
    <xf numFmtId="0" fontId="91" fillId="0" borderId="57" xfId="0" applyFont="1" applyBorder="1" applyAlignment="1">
      <alignment horizontal="center" vertical="top"/>
    </xf>
    <xf numFmtId="0" fontId="111" fillId="0" borderId="18" xfId="0" applyFont="1" applyBorder="1" applyAlignment="1">
      <alignment horizontal="center"/>
    </xf>
    <xf numFmtId="168" fontId="111" fillId="0" borderId="18" xfId="0" applyNumberFormat="1" applyFont="1" applyBorder="1" applyAlignment="1">
      <alignment horizontal="center" wrapText="1"/>
    </xf>
    <xf numFmtId="0" fontId="113" fillId="0" borderId="18" xfId="0" applyFont="1" applyBorder="1" applyAlignment="1">
      <alignment horizontal="center"/>
    </xf>
    <xf numFmtId="0" fontId="114" fillId="0" borderId="18" xfId="0" applyFont="1" applyBorder="1" applyAlignment="1">
      <alignment horizontal="center" wrapText="1"/>
    </xf>
    <xf numFmtId="0" fontId="102" fillId="0" borderId="58" xfId="0" applyFont="1" applyBorder="1" applyAlignment="1">
      <alignment horizontal="center" vertical="center"/>
    </xf>
    <xf numFmtId="0" fontId="102" fillId="0" borderId="56" xfId="0" applyFont="1" applyBorder="1" applyAlignment="1">
      <alignment horizontal="center" vertical="center"/>
    </xf>
    <xf numFmtId="0" fontId="102" fillId="0" borderId="59" xfId="0" applyFont="1" applyBorder="1" applyAlignment="1">
      <alignment horizontal="center" vertical="center"/>
    </xf>
    <xf numFmtId="0" fontId="102" fillId="0" borderId="68" xfId="0" applyFont="1" applyBorder="1" applyAlignment="1">
      <alignment horizontal="left" vertical="center"/>
    </xf>
    <xf numFmtId="0" fontId="102" fillId="0" borderId="18" xfId="0" applyFont="1" applyBorder="1" applyAlignment="1">
      <alignment horizontal="left" vertical="center"/>
    </xf>
    <xf numFmtId="0" fontId="102" fillId="0" borderId="69" xfId="0" applyFont="1" applyBorder="1" applyAlignment="1">
      <alignment horizontal="left" vertical="center"/>
    </xf>
    <xf numFmtId="0" fontId="102" fillId="0" borderId="41" xfId="0" applyFont="1" applyBorder="1" applyAlignment="1">
      <alignment horizontal="left" vertical="center"/>
    </xf>
    <xf numFmtId="0" fontId="102" fillId="0" borderId="55" xfId="0" applyFont="1" applyBorder="1" applyAlignment="1">
      <alignment horizontal="center" vertical="center"/>
    </xf>
    <xf numFmtId="0" fontId="102" fillId="0" borderId="35" xfId="0" applyFont="1" applyBorder="1" applyAlignment="1">
      <alignment horizontal="center" vertical="center"/>
    </xf>
    <xf numFmtId="0" fontId="102" fillId="0" borderId="44" xfId="0" applyFont="1" applyBorder="1" applyAlignment="1">
      <alignment horizontal="left" vertical="center"/>
    </xf>
    <xf numFmtId="0" fontId="102" fillId="0" borderId="50" xfId="0" applyFont="1" applyBorder="1" applyAlignment="1">
      <alignment horizontal="left" vertical="center" indent="1"/>
    </xf>
    <xf numFmtId="0" fontId="102" fillId="0" borderId="51" xfId="0" applyFont="1" applyBorder="1" applyAlignment="1">
      <alignment horizontal="left" vertical="center" indent="1"/>
    </xf>
    <xf numFmtId="0" fontId="102" fillId="0" borderId="49" xfId="0" applyFont="1" applyBorder="1" applyAlignment="1">
      <alignment horizontal="left" vertical="center" indent="1"/>
    </xf>
    <xf numFmtId="0" fontId="85" fillId="0" borderId="45" xfId="0" applyFont="1" applyBorder="1" applyAlignment="1">
      <alignment horizontal="center" vertical="center"/>
    </xf>
    <xf numFmtId="0" fontId="85" fillId="0" borderId="46" xfId="0" applyFont="1" applyBorder="1" applyAlignment="1">
      <alignment horizontal="center" vertical="center"/>
    </xf>
    <xf numFmtId="0" fontId="85" fillId="0" borderId="12" xfId="0" applyFont="1" applyBorder="1" applyAlignment="1">
      <alignment horizontal="center" vertical="center"/>
    </xf>
    <xf numFmtId="0" fontId="85" fillId="0" borderId="47" xfId="0" applyFont="1" applyBorder="1" applyAlignment="1">
      <alignment horizontal="center" vertical="center"/>
    </xf>
    <xf numFmtId="0" fontId="85" fillId="34" borderId="45" xfId="0" applyFont="1" applyFill="1" applyBorder="1" applyAlignment="1">
      <alignment horizontal="center" vertical="center" wrapText="1"/>
    </xf>
    <xf numFmtId="0" fontId="85" fillId="34" borderId="46" xfId="0" applyFont="1" applyFill="1" applyBorder="1" applyAlignment="1">
      <alignment horizontal="center" vertical="center" wrapText="1"/>
    </xf>
    <xf numFmtId="0" fontId="85" fillId="34" borderId="47" xfId="0" applyFont="1" applyFill="1" applyBorder="1" applyAlignment="1">
      <alignment horizontal="center" vertical="center" wrapText="1"/>
    </xf>
    <xf numFmtId="0" fontId="87" fillId="34" borderId="48" xfId="0" applyFont="1" applyFill="1" applyBorder="1" applyAlignment="1">
      <alignment horizontal="center" vertical="center" wrapText="1"/>
    </xf>
    <xf numFmtId="0" fontId="87" fillId="34" borderId="49" xfId="0" applyFont="1" applyFill="1" applyBorder="1" applyAlignment="1">
      <alignment horizontal="center" vertical="center" wrapText="1"/>
    </xf>
    <xf numFmtId="0" fontId="87" fillId="0" borderId="50" xfId="0" applyFont="1" applyBorder="1" applyAlignment="1">
      <alignment horizontal="center" vertical="center" wrapText="1"/>
    </xf>
    <xf numFmtId="0" fontId="87" fillId="0" borderId="51" xfId="0" applyFont="1" applyBorder="1" applyAlignment="1">
      <alignment horizontal="center" vertical="center" wrapText="1"/>
    </xf>
    <xf numFmtId="0" fontId="87" fillId="0" borderId="49" xfId="0" applyFont="1" applyBorder="1" applyAlignment="1">
      <alignment horizontal="center" vertical="center" wrapText="1"/>
    </xf>
    <xf numFmtId="0" fontId="87" fillId="0" borderId="41" xfId="0" applyFont="1" applyBorder="1" applyAlignment="1">
      <alignment horizontal="center" vertical="center"/>
    </xf>
    <xf numFmtId="0" fontId="87" fillId="0" borderId="49" xfId="0" applyFont="1" applyBorder="1" applyAlignment="1">
      <alignment horizontal="center" vertical="center"/>
    </xf>
    <xf numFmtId="0" fontId="87" fillId="0" borderId="52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87" fillId="0" borderId="53" xfId="0" applyFont="1" applyBorder="1" applyAlignment="1">
      <alignment horizontal="center" vertical="center"/>
    </xf>
    <xf numFmtId="0" fontId="87" fillId="34" borderId="51" xfId="0" applyFont="1" applyFill="1" applyBorder="1" applyAlignment="1">
      <alignment horizontal="center" vertical="center"/>
    </xf>
    <xf numFmtId="0" fontId="87" fillId="34" borderId="49" xfId="0" applyFont="1" applyFill="1" applyBorder="1" applyAlignment="1">
      <alignment horizontal="center" vertical="center"/>
    </xf>
    <xf numFmtId="0" fontId="87" fillId="34" borderId="52" xfId="0" applyFont="1" applyFill="1" applyBorder="1" applyAlignment="1">
      <alignment horizontal="center" vertical="center"/>
    </xf>
    <xf numFmtId="0" fontId="87" fillId="34" borderId="53" xfId="0" applyFont="1" applyFill="1" applyBorder="1" applyAlignment="1">
      <alignment horizontal="center" vertical="center"/>
    </xf>
    <xf numFmtId="0" fontId="17" fillId="0" borderId="0" xfId="44" applyFont="1" applyAlignment="1">
      <alignment horizontal="center" vertical="center"/>
    </xf>
    <xf numFmtId="0" fontId="39" fillId="0" borderId="0" xfId="44" applyFont="1" applyAlignment="1">
      <alignment horizontal="center" vertical="center"/>
    </xf>
    <xf numFmtId="0" fontId="20" fillId="0" borderId="0" xfId="44" applyFont="1" applyAlignment="1">
      <alignment horizontal="center" vertical="center"/>
    </xf>
    <xf numFmtId="0" fontId="82" fillId="0" borderId="0" xfId="44" applyFont="1" applyAlignment="1">
      <alignment horizontal="center" vertical="center"/>
    </xf>
    <xf numFmtId="0" fontId="84" fillId="0" borderId="45" xfId="0" applyFont="1" applyBorder="1" applyAlignment="1">
      <alignment horizontal="center" vertical="center"/>
    </xf>
    <xf numFmtId="0" fontId="84" fillId="0" borderId="46" xfId="0" applyFont="1" applyBorder="1" applyAlignment="1">
      <alignment horizontal="center" vertical="center"/>
    </xf>
    <xf numFmtId="0" fontId="84" fillId="0" borderId="47" xfId="0" applyFont="1" applyBorder="1" applyAlignment="1">
      <alignment horizontal="center" vertical="center"/>
    </xf>
    <xf numFmtId="0" fontId="84" fillId="34" borderId="45" xfId="0" applyFont="1" applyFill="1" applyBorder="1" applyAlignment="1">
      <alignment horizontal="center" vertical="center"/>
    </xf>
    <xf numFmtId="0" fontId="84" fillId="34" borderId="46" xfId="0" applyFont="1" applyFill="1" applyBorder="1" applyAlignment="1">
      <alignment horizontal="center" vertical="center"/>
    </xf>
    <xf numFmtId="0" fontId="84" fillId="34" borderId="47" xfId="0" applyFont="1" applyFill="1" applyBorder="1" applyAlignment="1">
      <alignment horizontal="center" vertical="center"/>
    </xf>
    <xf numFmtId="0" fontId="85" fillId="34" borderId="45" xfId="0" applyFont="1" applyFill="1" applyBorder="1" applyAlignment="1">
      <alignment horizontal="center" vertical="center"/>
    </xf>
    <xf numFmtId="0" fontId="85" fillId="34" borderId="46" xfId="0" applyFont="1" applyFill="1" applyBorder="1" applyAlignment="1">
      <alignment horizontal="center" vertical="center"/>
    </xf>
    <xf numFmtId="0" fontId="85" fillId="34" borderId="47" xfId="0" applyFont="1" applyFill="1" applyBorder="1" applyAlignment="1">
      <alignment horizontal="center" vertical="center"/>
    </xf>
    <xf numFmtId="0" fontId="94" fillId="0" borderId="36" xfId="0" applyFont="1" applyBorder="1" applyAlignment="1">
      <alignment horizontal="center"/>
    </xf>
    <xf numFmtId="0" fontId="94" fillId="0" borderId="37" xfId="0" applyFont="1" applyBorder="1" applyAlignment="1">
      <alignment horizontal="center"/>
    </xf>
    <xf numFmtId="0" fontId="94" fillId="0" borderId="38" xfId="0" applyFont="1" applyBorder="1" applyAlignment="1">
      <alignment horizontal="center"/>
    </xf>
    <xf numFmtId="0" fontId="84" fillId="34" borderId="36" xfId="0" applyFont="1" applyFill="1" applyBorder="1" applyAlignment="1">
      <alignment horizontal="center"/>
    </xf>
    <xf numFmtId="0" fontId="84" fillId="34" borderId="37" xfId="0" applyFont="1" applyFill="1" applyBorder="1" applyAlignment="1">
      <alignment horizontal="center"/>
    </xf>
    <xf numFmtId="0" fontId="84" fillId="34" borderId="38" xfId="0" applyFont="1" applyFill="1" applyBorder="1" applyAlignment="1">
      <alignment horizontal="center"/>
    </xf>
    <xf numFmtId="167" fontId="60" fillId="35" borderId="65" xfId="0" applyNumberFormat="1" applyFont="1" applyFill="1" applyBorder="1" applyAlignment="1">
      <alignment horizontal="right"/>
    </xf>
    <xf numFmtId="167" fontId="60" fillId="35" borderId="61" xfId="0" applyNumberFormat="1" applyFont="1" applyFill="1" applyBorder="1" applyAlignment="1">
      <alignment horizontal="right"/>
    </xf>
    <xf numFmtId="167" fontId="48" fillId="35" borderId="61" xfId="0" applyNumberFormat="1" applyFont="1" applyFill="1" applyBorder="1" applyAlignment="1">
      <alignment horizontal="left"/>
    </xf>
    <xf numFmtId="167" fontId="48" fillId="35" borderId="66" xfId="0" applyNumberFormat="1" applyFont="1" applyFill="1" applyBorder="1" applyAlignment="1">
      <alignment horizontal="left"/>
    </xf>
    <xf numFmtId="0" fontId="102" fillId="0" borderId="56" xfId="0" applyFont="1" applyBorder="1" applyAlignment="1">
      <alignment horizontal="left" vertical="center"/>
    </xf>
    <xf numFmtId="0" fontId="102" fillId="0" borderId="57" xfId="0" applyFont="1" applyBorder="1" applyAlignment="1">
      <alignment horizontal="left" vertical="center"/>
    </xf>
    <xf numFmtId="0" fontId="102" fillId="0" borderId="55" xfId="0" applyFont="1" applyBorder="1" applyAlignment="1">
      <alignment horizontal="left" vertical="center"/>
    </xf>
    <xf numFmtId="3" fontId="77" fillId="33" borderId="41" xfId="0" applyNumberFormat="1" applyFont="1" applyFill="1" applyBorder="1" applyAlignment="1">
      <alignment vertical="center"/>
    </xf>
    <xf numFmtId="3" fontId="77" fillId="33" borderId="41" xfId="0" applyNumberFormat="1" applyFont="1" applyFill="1" applyBorder="1" applyAlignment="1">
      <alignment vertical="center" wrapText="1"/>
    </xf>
    <xf numFmtId="0" fontId="75" fillId="32" borderId="41" xfId="0" applyFont="1" applyFill="1" applyBorder="1" applyAlignment="1">
      <alignment horizontal="center"/>
    </xf>
    <xf numFmtId="0" fontId="73" fillId="0" borderId="0" xfId="0" applyFont="1"/>
    <xf numFmtId="17" fontId="75" fillId="32" borderId="41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28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118" fillId="0" borderId="0" xfId="0" applyFont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28" xr:uid="{00000000-0005-0000-0000-00001B000000}"/>
    <cellStyle name="Excel Built-in Normal 3" xfId="43" xr:uid="{2882616B-EE43-42F0-878F-9626743134BD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" xfId="44" xr:uid="{D7682B0D-778E-45CF-915F-4E218FF185C1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numFmt numFmtId="165" formatCode="\I\L\I\-\20\2\1\-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numFmt numFmtId="165" formatCode="\I\L\I\-\20\2\1\-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m/d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numFmt numFmtId="165" formatCode="\I\L\I\-\20\2\1\-0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numFmt numFmtId="165" formatCode="\I\L\I\-\20\2\1\-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\I\L\I\-\20\2\1\-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\I\L\I\-\20\2\1\-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16F7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57978</xdr:rowOff>
    </xdr:from>
    <xdr:to>
      <xdr:col>8</xdr:col>
      <xdr:colOff>7413</xdr:colOff>
      <xdr:row>3</xdr:row>
      <xdr:rowOff>43165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A7729E8-2FE9-467F-9482-4B4A537A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675" y="57978"/>
          <a:ext cx="803703" cy="533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0</xdr:colOff>
      <xdr:row>3</xdr:row>
      <xdr:rowOff>89094</xdr:rowOff>
    </xdr:from>
    <xdr:ext cx="1280351" cy="22499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FF11F8-24FB-43C8-9EBA-2176CF279C69}"/>
            </a:ext>
          </a:extLst>
        </xdr:cNvPr>
        <xdr:cNvSpPr txBox="1"/>
      </xdr:nvSpPr>
      <xdr:spPr>
        <a:xfrm>
          <a:off x="0" y="584394"/>
          <a:ext cx="1280351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OFF-01809 </a:t>
          </a:r>
          <a:r>
            <a:rPr lang="en-P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(11-2022)</a:t>
          </a:r>
        </a:p>
      </xdr:txBody>
    </xdr:sp>
    <xdr:clientData/>
  </xdr:oneCellAnchor>
  <xdr:twoCellAnchor editAs="oneCell">
    <xdr:from>
      <xdr:col>7</xdr:col>
      <xdr:colOff>133350</xdr:colOff>
      <xdr:row>25</xdr:row>
      <xdr:rowOff>114300</xdr:rowOff>
    </xdr:from>
    <xdr:to>
      <xdr:col>19</xdr:col>
      <xdr:colOff>47625</xdr:colOff>
      <xdr:row>57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54D1B0-736A-42B5-9AC5-3CA5FE9567E3}"/>
            </a:ext>
            <a:ext uri="{147F2762-F138-4A5C-976F-8EAC2B608ADB}">
              <a16:predDERef xmlns:a16="http://schemas.microsoft.com/office/drawing/2014/main" pred="{63FF11F8-24FB-43C8-9EBA-2176CF279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6743700"/>
          <a:ext cx="1533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60</xdr:col>
      <xdr:colOff>361950</xdr:colOff>
      <xdr:row>24</xdr:row>
      <xdr:rowOff>9525</xdr:rowOff>
    </xdr:from>
    <xdr:to>
      <xdr:col>61</xdr:col>
      <xdr:colOff>371475</xdr:colOff>
      <xdr:row>24</xdr:row>
      <xdr:rowOff>209550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181919-D33F-C102-F0CA-B7698D7C48C1}"/>
            </a:ext>
            <a:ext uri="{147F2762-F138-4A5C-976F-8EAC2B608ADB}">
              <a16:predDERef xmlns:a16="http://schemas.microsoft.com/office/drawing/2014/main" pred="{E954D1B0-736A-42B5-9AC5-3CA5FE9567E3}"/>
            </a:ext>
          </a:extLst>
        </xdr:cNvPr>
        <xdr:cNvSpPr txBox="1"/>
      </xdr:nvSpPr>
      <xdr:spPr>
        <a:xfrm>
          <a:off x="8953500" y="6353175"/>
          <a:ext cx="61912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Ream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63</xdr:col>
      <xdr:colOff>171450</xdr:colOff>
      <xdr:row>31</xdr:row>
      <xdr:rowOff>85725</xdr:rowOff>
    </xdr:from>
    <xdr:to>
      <xdr:col>64</xdr:col>
      <xdr:colOff>171450</xdr:colOff>
      <xdr:row>31</xdr:row>
      <xdr:rowOff>276225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6CA024-535F-CD55-524B-79EB896B762D}"/>
            </a:ext>
            <a:ext uri="{147F2762-F138-4A5C-976F-8EAC2B608ADB}">
              <a16:predDERef xmlns:a16="http://schemas.microsoft.com/office/drawing/2014/main" pred="{D2181919-D33F-C102-F0CA-B7698D7C48C1}"/>
            </a:ext>
          </a:extLst>
        </xdr:cNvPr>
        <xdr:cNvSpPr txBox="1"/>
      </xdr:nvSpPr>
      <xdr:spPr>
        <a:xfrm>
          <a:off x="10591800" y="8715375"/>
          <a:ext cx="6096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Ream</a:t>
          </a:r>
        </a:p>
      </xdr:txBody>
    </xdr:sp>
    <xdr:clientData/>
  </xdr:twoCellAnchor>
  <xdr:twoCellAnchor>
    <xdr:from>
      <xdr:col>61</xdr:col>
      <xdr:colOff>390525</xdr:colOff>
      <xdr:row>26</xdr:row>
      <xdr:rowOff>9525</xdr:rowOff>
    </xdr:from>
    <xdr:to>
      <xdr:col>62</xdr:col>
      <xdr:colOff>361950</xdr:colOff>
      <xdr:row>26</xdr:row>
      <xdr:rowOff>200025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EF1FCD-9175-4B74-8C17-F7AC691C2DD8}"/>
            </a:ext>
            <a:ext uri="{147F2762-F138-4A5C-976F-8EAC2B608ADB}">
              <a16:predDERef xmlns:a16="http://schemas.microsoft.com/office/drawing/2014/main" pred="{B26CA024-535F-CD55-524B-79EB896B762D}"/>
            </a:ext>
          </a:extLst>
        </xdr:cNvPr>
        <xdr:cNvSpPr txBox="1"/>
      </xdr:nvSpPr>
      <xdr:spPr>
        <a:xfrm>
          <a:off x="9591675" y="6924675"/>
          <a:ext cx="58102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Piece</a:t>
          </a:r>
        </a:p>
      </xdr:txBody>
    </xdr:sp>
    <xdr:clientData/>
  </xdr:twoCellAnchor>
  <xdr:twoCellAnchor>
    <xdr:from>
      <xdr:col>62</xdr:col>
      <xdr:colOff>247650</xdr:colOff>
      <xdr:row>16</xdr:row>
      <xdr:rowOff>9525</xdr:rowOff>
    </xdr:from>
    <xdr:to>
      <xdr:col>63</xdr:col>
      <xdr:colOff>104775</xdr:colOff>
      <xdr:row>16</xdr:row>
      <xdr:rowOff>190500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8713DA-8EF9-13F4-1F38-08C06F7D6D1C}"/>
            </a:ext>
            <a:ext uri="{147F2762-F138-4A5C-976F-8EAC2B608ADB}">
              <a16:predDERef xmlns:a16="http://schemas.microsoft.com/office/drawing/2014/main" pred="{29EF1FCD-9175-4B74-8C17-F7AC691C2DD8}"/>
            </a:ext>
          </a:extLst>
        </xdr:cNvPr>
        <xdr:cNvSpPr txBox="1"/>
      </xdr:nvSpPr>
      <xdr:spPr>
        <a:xfrm>
          <a:off x="10058400" y="4067175"/>
          <a:ext cx="46672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2377</a:t>
          </a:r>
        </a:p>
      </xdr:txBody>
    </xdr:sp>
    <xdr:clientData/>
  </xdr:twoCellAnchor>
  <xdr:twoCellAnchor>
    <xdr:from>
      <xdr:col>60</xdr:col>
      <xdr:colOff>361950</xdr:colOff>
      <xdr:row>15</xdr:row>
      <xdr:rowOff>171450</xdr:rowOff>
    </xdr:from>
    <xdr:to>
      <xdr:col>61</xdr:col>
      <xdr:colOff>238125</xdr:colOff>
      <xdr:row>16</xdr:row>
      <xdr:rowOff>85725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BC803C-64F3-7DAA-75FF-071C06EB27EA}"/>
            </a:ext>
            <a:ext uri="{147F2762-F138-4A5C-976F-8EAC2B608ADB}">
              <a16:predDERef xmlns:a16="http://schemas.microsoft.com/office/drawing/2014/main" pred="{718713DA-8EF9-13F4-1F38-08C06F7D6D1C}"/>
            </a:ext>
          </a:extLst>
        </xdr:cNvPr>
        <xdr:cNvSpPr txBox="1"/>
      </xdr:nvSpPr>
      <xdr:spPr>
        <a:xfrm>
          <a:off x="8953500" y="3943350"/>
          <a:ext cx="48577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2797</a:t>
          </a:r>
        </a:p>
      </xdr:txBody>
    </xdr:sp>
    <xdr:clientData/>
  </xdr:twoCellAnchor>
  <xdr:twoCellAnchor>
    <xdr:from>
      <xdr:col>61</xdr:col>
      <xdr:colOff>447675</xdr:colOff>
      <xdr:row>19</xdr:row>
      <xdr:rowOff>161925</xdr:rowOff>
    </xdr:from>
    <xdr:to>
      <xdr:col>62</xdr:col>
      <xdr:colOff>295275</xdr:colOff>
      <xdr:row>20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1D8E263-7F18-2E52-3294-1127E68AB84B}"/>
            </a:ext>
            <a:ext uri="{147F2762-F138-4A5C-976F-8EAC2B608ADB}">
              <a16:predDERef xmlns:a16="http://schemas.microsoft.com/office/drawing/2014/main" pred="{F2BC803C-64F3-7DAA-75FF-071C06EB27EA}"/>
            </a:ext>
          </a:extLst>
        </xdr:cNvPr>
        <xdr:cNvSpPr txBox="1"/>
      </xdr:nvSpPr>
      <xdr:spPr>
        <a:xfrm>
          <a:off x="9648825" y="5076825"/>
          <a:ext cx="45720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2796</a:t>
          </a:r>
        </a:p>
      </xdr:txBody>
    </xdr:sp>
    <xdr:clientData/>
  </xdr:twoCellAnchor>
  <xdr:twoCellAnchor>
    <xdr:from>
      <xdr:col>59</xdr:col>
      <xdr:colOff>76200</xdr:colOff>
      <xdr:row>24</xdr:row>
      <xdr:rowOff>257175</xdr:rowOff>
    </xdr:from>
    <xdr:to>
      <xdr:col>60</xdr:col>
      <xdr:colOff>466725</xdr:colOff>
      <xdr:row>25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81855A7-78E8-46CC-86DE-2B9CC12F8922}"/>
            </a:ext>
            <a:ext uri="{147F2762-F138-4A5C-976F-8EAC2B608ADB}">
              <a16:predDERef xmlns:a16="http://schemas.microsoft.com/office/drawing/2014/main" pred="{E1D8E263-7F18-2E52-3294-1127E68AB84B}"/>
            </a:ext>
          </a:extLst>
        </xdr:cNvPr>
        <xdr:cNvSpPr txBox="1"/>
      </xdr:nvSpPr>
      <xdr:spPr>
        <a:xfrm>
          <a:off x="8477250" y="6600825"/>
          <a:ext cx="58102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Piece</a:t>
          </a:r>
        </a:p>
      </xdr:txBody>
    </xdr:sp>
    <xdr:clientData/>
  </xdr:twoCellAnchor>
  <xdr:twoCellAnchor>
    <xdr:from>
      <xdr:col>62</xdr:col>
      <xdr:colOff>142875</xdr:colOff>
      <xdr:row>20</xdr:row>
      <xdr:rowOff>133350</xdr:rowOff>
    </xdr:from>
    <xdr:to>
      <xdr:col>63</xdr:col>
      <xdr:colOff>85725</xdr:colOff>
      <xdr:row>21</xdr:row>
      <xdr:rowOff>66675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80D7DF-F462-4903-BB67-83DAA3F96916}"/>
            </a:ext>
            <a:ext uri="{147F2762-F138-4A5C-976F-8EAC2B608ADB}">
              <a16:predDERef xmlns:a16="http://schemas.microsoft.com/office/drawing/2014/main" pred="{381855A7-78E8-46CC-86DE-2B9CC12F8922}"/>
            </a:ext>
          </a:extLst>
        </xdr:cNvPr>
        <xdr:cNvSpPr txBox="1"/>
      </xdr:nvSpPr>
      <xdr:spPr>
        <a:xfrm>
          <a:off x="9953625" y="5334000"/>
          <a:ext cx="55245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Piece</a:t>
          </a:r>
        </a:p>
      </xdr:txBody>
    </xdr:sp>
    <xdr:clientData/>
  </xdr:twoCellAnchor>
  <xdr:twoCellAnchor>
    <xdr:from>
      <xdr:col>64</xdr:col>
      <xdr:colOff>95250</xdr:colOff>
      <xdr:row>33</xdr:row>
      <xdr:rowOff>19050</xdr:rowOff>
    </xdr:from>
    <xdr:to>
      <xdr:col>65</xdr:col>
      <xdr:colOff>104775</xdr:colOff>
      <xdr:row>33</xdr:row>
      <xdr:rowOff>219075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C60FC3-3A2F-4A9F-A66E-0C195D992999}"/>
            </a:ext>
            <a:ext uri="{147F2762-F138-4A5C-976F-8EAC2B608ADB}">
              <a16:predDERef xmlns:a16="http://schemas.microsoft.com/office/drawing/2014/main" pred="{0380D7DF-F462-4903-BB67-83DAA3F96916}"/>
            </a:ext>
          </a:extLst>
        </xdr:cNvPr>
        <xdr:cNvSpPr txBox="1"/>
      </xdr:nvSpPr>
      <xdr:spPr>
        <a:xfrm>
          <a:off x="11125200" y="9220200"/>
          <a:ext cx="61912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Ream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571500</xdr:colOff>
      <xdr:row>49</xdr:row>
      <xdr:rowOff>28575</xdr:rowOff>
    </xdr:to>
    <xdr:sp macro="" textlink="">
      <xdr:nvSpPr>
        <xdr:cNvPr id="7432" name="Rectangle 2">
          <a:extLst>
            <a:ext uri="{FF2B5EF4-FFF2-40B4-BE49-F238E27FC236}">
              <a16:creationId xmlns:a16="http://schemas.microsoft.com/office/drawing/2014/main" id="{09742F29-3608-45F8-9F74-E23986FE45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00" cy="9363075"/>
        </a:xfrm>
        <a:prstGeom prst="rect">
          <a:avLst/>
        </a:prstGeom>
        <a:noFill/>
        <a:ln w="2556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10</xdr:col>
      <xdr:colOff>571500</xdr:colOff>
      <xdr:row>3</xdr:row>
      <xdr:rowOff>0</xdr:rowOff>
    </xdr:to>
    <xdr:sp macro="" textlink="">
      <xdr:nvSpPr>
        <xdr:cNvPr id="7433" name="Line 3">
          <a:extLst>
            <a:ext uri="{FF2B5EF4-FFF2-40B4-BE49-F238E27FC236}">
              <a16:creationId xmlns:a16="http://schemas.microsoft.com/office/drawing/2014/main" id="{5BF49904-63CC-4E4B-AF16-A0AEEA014A5E}"/>
            </a:ext>
          </a:extLst>
        </xdr:cNvPr>
        <xdr:cNvSpPr>
          <a:spLocks noChangeShapeType="1"/>
        </xdr:cNvSpPr>
      </xdr:nvSpPr>
      <xdr:spPr bwMode="auto">
        <a:xfrm>
          <a:off x="0" y="571500"/>
          <a:ext cx="6667500" cy="0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161925</xdr:rowOff>
    </xdr:from>
    <xdr:to>
      <xdr:col>10</xdr:col>
      <xdr:colOff>571500</xdr:colOff>
      <xdr:row>3</xdr:row>
      <xdr:rowOff>161925</xdr:rowOff>
    </xdr:to>
    <xdr:sp macro="" textlink="">
      <xdr:nvSpPr>
        <xdr:cNvPr id="7434" name="Line 4">
          <a:extLst>
            <a:ext uri="{FF2B5EF4-FFF2-40B4-BE49-F238E27FC236}">
              <a16:creationId xmlns:a16="http://schemas.microsoft.com/office/drawing/2014/main" id="{A261B054-F737-4E41-A2CC-632FAF243618}"/>
            </a:ext>
          </a:extLst>
        </xdr:cNvPr>
        <xdr:cNvSpPr>
          <a:spLocks noChangeShapeType="1"/>
        </xdr:cNvSpPr>
      </xdr:nvSpPr>
      <xdr:spPr bwMode="auto">
        <a:xfrm>
          <a:off x="0" y="733425"/>
          <a:ext cx="6667500" cy="0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0</xdr:row>
      <xdr:rowOff>0</xdr:rowOff>
    </xdr:from>
    <xdr:to>
      <xdr:col>7</xdr:col>
      <xdr:colOff>152400</xdr:colOff>
      <xdr:row>3</xdr:row>
      <xdr:rowOff>0</xdr:rowOff>
    </xdr:to>
    <xdr:sp macro="" textlink="">
      <xdr:nvSpPr>
        <xdr:cNvPr id="7435" name="Line 5">
          <a:extLst>
            <a:ext uri="{FF2B5EF4-FFF2-40B4-BE49-F238E27FC236}">
              <a16:creationId xmlns:a16="http://schemas.microsoft.com/office/drawing/2014/main" id="{7672336D-1FCF-477B-BDCA-171FC36D51EC}"/>
            </a:ext>
          </a:extLst>
        </xdr:cNvPr>
        <xdr:cNvSpPr>
          <a:spLocks noChangeShapeType="1"/>
        </xdr:cNvSpPr>
      </xdr:nvSpPr>
      <xdr:spPr bwMode="auto">
        <a:xfrm>
          <a:off x="4419600" y="0"/>
          <a:ext cx="0" cy="571500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161925</xdr:colOff>
      <xdr:row>1</xdr:row>
      <xdr:rowOff>104775</xdr:rowOff>
    </xdr:from>
    <xdr:to>
      <xdr:col>10</xdr:col>
      <xdr:colOff>514350</xdr:colOff>
      <xdr:row>1</xdr:row>
      <xdr:rowOff>104775</xdr:rowOff>
    </xdr:to>
    <xdr:sp macro="" textlink="">
      <xdr:nvSpPr>
        <xdr:cNvPr id="7436" name="Line 6">
          <a:extLst>
            <a:ext uri="{FF2B5EF4-FFF2-40B4-BE49-F238E27FC236}">
              <a16:creationId xmlns:a16="http://schemas.microsoft.com/office/drawing/2014/main" id="{431E8A67-BC66-4AD2-AD32-71F549D69170}"/>
            </a:ext>
          </a:extLst>
        </xdr:cNvPr>
        <xdr:cNvSpPr>
          <a:spLocks noChangeShapeType="1"/>
        </xdr:cNvSpPr>
      </xdr:nvSpPr>
      <xdr:spPr bwMode="auto">
        <a:xfrm>
          <a:off x="4429125" y="295275"/>
          <a:ext cx="2181225" cy="0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</xdr:row>
      <xdr:rowOff>76200</xdr:rowOff>
    </xdr:from>
    <xdr:to>
      <xdr:col>10</xdr:col>
      <xdr:colOff>571500</xdr:colOff>
      <xdr:row>24</xdr:row>
      <xdr:rowOff>76200</xdr:rowOff>
    </xdr:to>
    <xdr:sp macro="" textlink="">
      <xdr:nvSpPr>
        <xdr:cNvPr id="7437" name="Line 7">
          <a:extLst>
            <a:ext uri="{FF2B5EF4-FFF2-40B4-BE49-F238E27FC236}">
              <a16:creationId xmlns:a16="http://schemas.microsoft.com/office/drawing/2014/main" id="{D7017203-68DB-48DC-A86A-5B4E44C1E941}"/>
            </a:ext>
          </a:extLst>
        </xdr:cNvPr>
        <xdr:cNvSpPr>
          <a:spLocks noChangeShapeType="1"/>
        </xdr:cNvSpPr>
      </xdr:nvSpPr>
      <xdr:spPr bwMode="auto">
        <a:xfrm>
          <a:off x="0" y="4648200"/>
          <a:ext cx="6667500" cy="0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180975</xdr:colOff>
      <xdr:row>11</xdr:row>
      <xdr:rowOff>0</xdr:rowOff>
    </xdr:from>
    <xdr:to>
      <xdr:col>9</xdr:col>
      <xdr:colOff>419100</xdr:colOff>
      <xdr:row>12</xdr:row>
      <xdr:rowOff>9525</xdr:rowOff>
    </xdr:to>
    <xdr:sp macro="" textlink="">
      <xdr:nvSpPr>
        <xdr:cNvPr id="7187" name="Text Box 15">
          <a:extLst>
            <a:ext uri="{FF2B5EF4-FFF2-40B4-BE49-F238E27FC236}">
              <a16:creationId xmlns:a16="http://schemas.microsoft.com/office/drawing/2014/main" id="{938C9485-489A-44F2-969E-6625C3893F38}"/>
            </a:ext>
          </a:extLst>
        </xdr:cNvPr>
        <xdr:cNvSpPr txBox="1">
          <a:spLocks noChangeArrowheads="1"/>
        </xdr:cNvSpPr>
      </xdr:nvSpPr>
      <xdr:spPr bwMode="auto">
        <a:xfrm>
          <a:off x="4448175" y="2095500"/>
          <a:ext cx="1457325" cy="2000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(Date Prepared)</a:t>
          </a:r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4</xdr:col>
      <xdr:colOff>552450</xdr:colOff>
      <xdr:row>8</xdr:row>
      <xdr:rowOff>114300</xdr:rowOff>
    </xdr:to>
    <xdr:sp macro="" textlink="">
      <xdr:nvSpPr>
        <xdr:cNvPr id="7189" name="Text Box 16">
          <a:extLst>
            <a:ext uri="{FF2B5EF4-FFF2-40B4-BE49-F238E27FC236}">
              <a16:creationId xmlns:a16="http://schemas.microsoft.com/office/drawing/2014/main" id="{56AC1950-8A0B-4ADB-B829-1703ADCBB3E5}"/>
            </a:ext>
          </a:extLst>
        </xdr:cNvPr>
        <xdr:cNvSpPr txBox="1">
          <a:spLocks noChangeArrowheads="1"/>
        </xdr:cNvSpPr>
      </xdr:nvSpPr>
      <xdr:spPr bwMode="auto">
        <a:xfrm>
          <a:off x="0" y="1181100"/>
          <a:ext cx="2990850" cy="4572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To: </a:t>
          </a:r>
          <a:r>
            <a:rPr lang="en-P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THE PROCUREMENT SERVICE</a:t>
          </a:r>
          <a:endParaRPr lang="en-PH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Department of Budget and Management RO-X</a:t>
          </a:r>
          <a:endParaRPr lang="en-PH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Provincial Capitol, Oroquieta City 7207</a:t>
          </a:r>
        </a:p>
      </xdr:txBody>
    </xdr:sp>
    <xdr:clientData/>
  </xdr:twoCellAnchor>
  <xdr:twoCellAnchor>
    <xdr:from>
      <xdr:col>6</xdr:col>
      <xdr:colOff>514350</xdr:colOff>
      <xdr:row>7</xdr:row>
      <xdr:rowOff>114300</xdr:rowOff>
    </xdr:from>
    <xdr:to>
      <xdr:col>9</xdr:col>
      <xdr:colOff>209550</xdr:colOff>
      <xdr:row>9</xdr:row>
      <xdr:rowOff>47625</xdr:rowOff>
    </xdr:to>
    <xdr:sp macro="" textlink="">
      <xdr:nvSpPr>
        <xdr:cNvPr id="7188" name="Text Box 17">
          <a:extLst>
            <a:ext uri="{FF2B5EF4-FFF2-40B4-BE49-F238E27FC236}">
              <a16:creationId xmlns:a16="http://schemas.microsoft.com/office/drawing/2014/main" id="{311F7AB6-D5CB-49D0-A4A2-D0FA632C4B17}"/>
            </a:ext>
          </a:extLst>
        </xdr:cNvPr>
        <xdr:cNvSpPr txBox="1">
          <a:spLocks noChangeArrowheads="1"/>
        </xdr:cNvSpPr>
      </xdr:nvSpPr>
      <xdr:spPr bwMode="auto">
        <a:xfrm>
          <a:off x="4171950" y="1447800"/>
          <a:ext cx="1524000" cy="3143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PH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February 10, 2022</a:t>
          </a:r>
        </a:p>
      </xdr:txBody>
    </xdr:sp>
    <xdr:clientData/>
  </xdr:twoCellAnchor>
  <xdr:twoCellAnchor>
    <xdr:from>
      <xdr:col>0</xdr:col>
      <xdr:colOff>0</xdr:colOff>
      <xdr:row>51</xdr:row>
      <xdr:rowOff>38100</xdr:rowOff>
    </xdr:from>
    <xdr:to>
      <xdr:col>10</xdr:col>
      <xdr:colOff>571500</xdr:colOff>
      <xdr:row>51</xdr:row>
      <xdr:rowOff>38100</xdr:rowOff>
    </xdr:to>
    <xdr:sp macro="" textlink="">
      <xdr:nvSpPr>
        <xdr:cNvPr id="7441" name="Line 10">
          <a:extLst>
            <a:ext uri="{FF2B5EF4-FFF2-40B4-BE49-F238E27FC236}">
              <a16:creationId xmlns:a16="http://schemas.microsoft.com/office/drawing/2014/main" id="{030B523B-A01E-4E0D-B3A9-E480E29967AD}"/>
            </a:ext>
          </a:extLst>
        </xdr:cNvPr>
        <xdr:cNvSpPr>
          <a:spLocks noChangeShapeType="1"/>
        </xdr:cNvSpPr>
      </xdr:nvSpPr>
      <xdr:spPr bwMode="auto">
        <a:xfrm>
          <a:off x="0" y="9753600"/>
          <a:ext cx="6667500" cy="0"/>
        </a:xfrm>
        <a:prstGeom prst="line">
          <a:avLst/>
        </a:prstGeom>
        <a:noFill/>
        <a:ln w="349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</xdr:row>
      <xdr:rowOff>28575</xdr:rowOff>
    </xdr:from>
    <xdr:to>
      <xdr:col>10</xdr:col>
      <xdr:colOff>571500</xdr:colOff>
      <xdr:row>54</xdr:row>
      <xdr:rowOff>28575</xdr:rowOff>
    </xdr:to>
    <xdr:sp macro="" textlink="">
      <xdr:nvSpPr>
        <xdr:cNvPr id="7442" name="Line 11">
          <a:extLst>
            <a:ext uri="{FF2B5EF4-FFF2-40B4-BE49-F238E27FC236}">
              <a16:creationId xmlns:a16="http://schemas.microsoft.com/office/drawing/2014/main" id="{7650BD6F-E68D-419C-8C06-0053FF9565E2}"/>
            </a:ext>
          </a:extLst>
        </xdr:cNvPr>
        <xdr:cNvSpPr>
          <a:spLocks noChangeShapeType="1"/>
        </xdr:cNvSpPr>
      </xdr:nvSpPr>
      <xdr:spPr bwMode="auto">
        <a:xfrm>
          <a:off x="0" y="10315575"/>
          <a:ext cx="6667500" cy="0"/>
        </a:xfrm>
        <a:prstGeom prst="line">
          <a:avLst/>
        </a:prstGeom>
        <a:noFill/>
        <a:ln w="349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</xdr:row>
      <xdr:rowOff>19050</xdr:rowOff>
    </xdr:from>
    <xdr:to>
      <xdr:col>10</xdr:col>
      <xdr:colOff>571500</xdr:colOff>
      <xdr:row>63</xdr:row>
      <xdr:rowOff>19050</xdr:rowOff>
    </xdr:to>
    <xdr:sp macro="" textlink="">
      <xdr:nvSpPr>
        <xdr:cNvPr id="7443" name="Line 12">
          <a:extLst>
            <a:ext uri="{FF2B5EF4-FFF2-40B4-BE49-F238E27FC236}">
              <a16:creationId xmlns:a16="http://schemas.microsoft.com/office/drawing/2014/main" id="{643F25BE-D045-437A-B27E-0E1401CE5E59}"/>
            </a:ext>
          </a:extLst>
        </xdr:cNvPr>
        <xdr:cNvSpPr>
          <a:spLocks noChangeShapeType="1"/>
        </xdr:cNvSpPr>
      </xdr:nvSpPr>
      <xdr:spPr bwMode="auto">
        <a:xfrm>
          <a:off x="0" y="12020550"/>
          <a:ext cx="6667500" cy="0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523875</xdr:colOff>
      <xdr:row>54</xdr:row>
      <xdr:rowOff>38100</xdr:rowOff>
    </xdr:from>
    <xdr:to>
      <xdr:col>3</xdr:col>
      <xdr:colOff>523875</xdr:colOff>
      <xdr:row>59</xdr:row>
      <xdr:rowOff>28575</xdr:rowOff>
    </xdr:to>
    <xdr:sp macro="" textlink="">
      <xdr:nvSpPr>
        <xdr:cNvPr id="7444" name="Line 13">
          <a:extLst>
            <a:ext uri="{FF2B5EF4-FFF2-40B4-BE49-F238E27FC236}">
              <a16:creationId xmlns:a16="http://schemas.microsoft.com/office/drawing/2014/main" id="{1AD9C313-FBFA-4255-B8DA-C64ABD3345B6}"/>
            </a:ext>
          </a:extLst>
        </xdr:cNvPr>
        <xdr:cNvSpPr>
          <a:spLocks noChangeShapeType="1"/>
        </xdr:cNvSpPr>
      </xdr:nvSpPr>
      <xdr:spPr bwMode="auto">
        <a:xfrm>
          <a:off x="2352675" y="10325100"/>
          <a:ext cx="0" cy="942975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504825</xdr:colOff>
      <xdr:row>54</xdr:row>
      <xdr:rowOff>38100</xdr:rowOff>
    </xdr:from>
    <xdr:to>
      <xdr:col>6</xdr:col>
      <xdr:colOff>504825</xdr:colOff>
      <xdr:row>59</xdr:row>
      <xdr:rowOff>28575</xdr:rowOff>
    </xdr:to>
    <xdr:sp macro="" textlink="">
      <xdr:nvSpPr>
        <xdr:cNvPr id="7445" name="Line 14">
          <a:extLst>
            <a:ext uri="{FF2B5EF4-FFF2-40B4-BE49-F238E27FC236}">
              <a16:creationId xmlns:a16="http://schemas.microsoft.com/office/drawing/2014/main" id="{E3245BD4-871E-4145-B037-3007D1343AE4}"/>
            </a:ext>
          </a:extLst>
        </xdr:cNvPr>
        <xdr:cNvSpPr>
          <a:spLocks noChangeShapeType="1"/>
        </xdr:cNvSpPr>
      </xdr:nvSpPr>
      <xdr:spPr bwMode="auto">
        <a:xfrm>
          <a:off x="4162425" y="10325100"/>
          <a:ext cx="0" cy="942975"/>
        </a:xfrm>
        <a:prstGeom prst="line">
          <a:avLst/>
        </a:prstGeom>
        <a:noFill/>
        <a:ln w="2232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381000</xdr:colOff>
      <xdr:row>0</xdr:row>
      <xdr:rowOff>0</xdr:rowOff>
    </xdr:from>
    <xdr:to>
      <xdr:col>23</xdr:col>
      <xdr:colOff>85725</xdr:colOff>
      <xdr:row>41</xdr:row>
      <xdr:rowOff>9525</xdr:rowOff>
    </xdr:to>
    <xdr:pic>
      <xdr:nvPicPr>
        <xdr:cNvPr id="7446" name="Picture 37">
          <a:extLst>
            <a:ext uri="{FF2B5EF4-FFF2-40B4-BE49-F238E27FC236}">
              <a16:creationId xmlns:a16="http://schemas.microsoft.com/office/drawing/2014/main" id="{E7D1E8C1-4D15-4342-AE3B-6EC500C1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0"/>
          <a:ext cx="5800725" cy="782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BB79FE-5C54-4432-A81F-90C1675B60E4}" name="Table4" displayName="Table4" ref="A1:I428" totalsRowShown="0" headerRowDxfId="59" dataDxfId="58" totalsRowDxfId="57">
  <tableColumns count="9">
    <tableColumn id="1" xr3:uid="{129BB43B-E475-4B94-BA83-6A9B78F7DAE2}" name="RIS NO" dataDxfId="56" totalsRowDxfId="55"/>
    <tableColumn id="2" xr3:uid="{7D6D4E64-66C8-406F-849E-D39090D4653E}" name="COUNT (Max20)" dataDxfId="54" totalsRowDxfId="53"/>
    <tableColumn id="3" xr3:uid="{64DF8081-0715-4856-AD38-88706069B99E}" name="CODE" dataDxfId="52" totalsRowDxfId="51">
      <calculatedColumnFormula>CONCATENATE(A2,B2)</calculatedColumnFormula>
    </tableColumn>
    <tableColumn id="4" xr3:uid="{B5DE91E1-E285-413B-8082-3A71B0D85D72}" name="REQUEST DATE (MM/DD/YYYY)" dataDxfId="50" totalsRowDxfId="49"/>
    <tableColumn id="5" xr3:uid="{F22C3D9E-627D-437E-9D49-C6F2C4B3B906}" name="DESCRIPTION" dataDxfId="48" totalsRowDxfId="47"/>
    <tableColumn id="6" xr3:uid="{8FC626E8-51B7-4D2E-BAB2-1380040151E7}" name="QTY" dataDxfId="46" totalsRowDxfId="45"/>
    <tableColumn id="7" xr3:uid="{DC23FA03-EC8D-4238-B702-B168C70EBFFE}" name="UNIT" dataDxfId="44" totalsRowDxfId="43">
      <calculatedColumnFormula>IFERROR(VLOOKUP(E2,SUPPLY2,3,0),"-")</calculatedColumnFormula>
    </tableColumn>
    <tableColumn id="8" xr3:uid="{1F7805A9-CF6C-40BE-A513-FB74E8F3C719}" name="STOCK CODE" dataDxfId="42" totalsRowDxfId="41">
      <calculatedColumnFormula>IFERROR(VLOOKUP(E2,SUPPLY2,4,0),"-")</calculatedColumnFormula>
    </tableColumn>
    <tableColumn id="9" xr3:uid="{967DE1D3-2FA3-4CF1-8FCF-2AAC8E7C143A}" name="MONTH" dataDxfId="40" totalsRowDxfId="39">
      <calculatedColumnFormula>IFERROR(VLOOKUP(D2,YEAR2023,2,0),"-")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9E7E8C-790E-46D2-B785-6B6BF31DAF82}" name="Table3" displayName="Table3" ref="A1:I364" totalsRowShown="0" headerRowDxfId="38" dataDxfId="36" headerRowBorderDxfId="37">
  <tableColumns count="9">
    <tableColumn id="1" xr3:uid="{EDF056CB-872A-4A0E-90CA-77087FB84D86}" name="RIS NO" dataDxfId="35">
      <calculatedColumnFormula>'DATA ENTRY - REQUEST'!A2</calculatedColumnFormula>
    </tableColumn>
    <tableColumn id="2" xr3:uid="{F8591C9B-43D9-4A13-AD0B-876727A5B4D6}" name="COUNT (Max10)" dataDxfId="34">
      <calculatedColumnFormula>'DATA ENTRY - REQUEST'!B2</calculatedColumnFormula>
    </tableColumn>
    <tableColumn id="3" xr3:uid="{DE1B186E-A8A6-4E21-A8AC-01D8246973C1}" name="CODE" dataDxfId="33">
      <calculatedColumnFormula>Table3[[#This Row],[RIS NO]] &amp; TEXT(Table3[[#This Row],[COUNT (Max10)]], "0;-0")</calculatedColumnFormula>
    </tableColumn>
    <tableColumn id="4" xr3:uid="{41BEC961-1604-47DD-9274-217E56FABFEE}" name="DATE RECEIVED (MM/DD/YYYY)" dataDxfId="32"/>
    <tableColumn id="5" xr3:uid="{C1719B05-11AB-4A6A-B4B8-31CC1CD2DB32}" name="DESCRIPTION" dataDxfId="31">
      <calculatedColumnFormula>VLOOKUP(C2,REQUEST1,3,0)</calculatedColumnFormula>
    </tableColumn>
    <tableColumn id="6" xr3:uid="{5BB17DBB-B6EF-41AB-9E74-4ADC5D812D26}" name="STOCKS RECEIVED (QTY)" dataDxfId="30"/>
    <tableColumn id="7" xr3:uid="{793086DD-C93B-48CB-ADDC-40FA88CB9E92}" name="UNIT" dataDxfId="29">
      <calculatedColumnFormula>IFERROR(VLOOKUP(E2,SUPPLY2,3,0),"-")</calculatedColumnFormula>
    </tableColumn>
    <tableColumn id="8" xr3:uid="{163A52AC-6283-4AD8-9C81-1791C4F2D27E}" name="STOCK CODE" dataDxfId="28">
      <calculatedColumnFormula>IFERROR(VLOOKUP(E2,SUPPLY2,4,0),"-")</calculatedColumnFormula>
    </tableColumn>
    <tableColumn id="9" xr3:uid="{39534A17-C238-4712-9482-E3B884B11C07}" name="MONTH" dataDxfId="27">
      <calculatedColumnFormula>IFERROR(VLOOKUP(D2,YEAR2023,2,0),"-")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AAB97-6009-439F-8894-BFD9BECEBF90}" name="Table2" displayName="Table2" ref="A1:H630" totalsRowShown="0" headerRowDxfId="26" dataDxfId="24" headerRowBorderDxfId="25">
  <autoFilter ref="A1:H630" xr:uid="{F53AAB97-6009-439F-8894-BFD9BECEBF90}"/>
  <tableColumns count="8">
    <tableColumn id="1" xr3:uid="{E0534840-604D-4A6C-BD10-1B33CE931D21}" name="DATE RELEASED (MM/DD/YYYY)" dataDxfId="23"/>
    <tableColumn id="2" xr3:uid="{11359929-A835-4931-9868-5F94F1D377D1}" name="DESCRIPTION" dataDxfId="22"/>
    <tableColumn id="3" xr3:uid="{403C0EC5-DEC6-4787-8AB2-1B0564D717FA}" name="STOCKS RELEASED (QTY)" dataDxfId="21"/>
    <tableColumn id="4" xr3:uid="{A89EEABB-A677-4D85-9E68-449C6C514896}" name="UNIT" dataDxfId="20">
      <calculatedColumnFormula>IFERROR(VLOOKUP(B2,SUPPLY2,3,0),"-")</calculatedColumnFormula>
    </tableColumn>
    <tableColumn id="5" xr3:uid="{1CB36830-2DEA-46B0-B68A-E67992D1FA88}" name="STOCK CODE" dataDxfId="19">
      <calculatedColumnFormula>IFERROR(VLOOKUP(B2,SUPPLY2,4,0),"-")</calculatedColumnFormula>
    </tableColumn>
    <tableColumn id="6" xr3:uid="{B84CFF6F-A434-404C-9602-45379FF5E866}" name="REQUESTED BY medical" dataDxfId="18"/>
    <tableColumn id="7" xr3:uid="{5DF679F3-B8BE-4B11-924F-75B2A380BB87}" name="MONTH" dataDxfId="17">
      <calculatedColumnFormula>IFERROR(VLOOKUP(A2,YEAR2023,2,0),"-")</calculatedColumnFormula>
    </tableColumn>
    <tableColumn id="8" xr3:uid="{60FEE96C-91A7-467E-AAC3-AE452C20FAD0}" name="Column1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910422-FF51-4E7C-8BB9-0BA36CEF9259}" name="Table26" displayName="Table26" ref="A1:I86" totalsRowShown="0" headerRowDxfId="15" dataDxfId="13" headerRowBorderDxfId="14">
  <tableColumns count="9">
    <tableColumn id="1" xr3:uid="{8649474F-912D-43FC-8778-CF2590C8385E}" name="DATE TODAY (MM/DD/YYYY)" dataDxfId="12"/>
    <tableColumn id="2" xr3:uid="{93100FBE-5E89-4BE0-B6AC-D4771A808571}" name="DESCRIPTION" dataDxfId="11"/>
    <tableColumn id="3" xr3:uid="{5E2F0B13-0C61-4C3B-BB82-3152560CC033}" name="BEG BALANCE (QTY)" dataDxfId="10"/>
    <tableColumn id="11" xr3:uid="{CA2747EC-8E69-4976-9E21-C5629AD93C9C}" name="TOTAL STOCKS RECEIVED (QTY)" dataDxfId="9">
      <calculatedColumnFormula>SUMIFS('DATA ENTRY - RECEIVED'!F:F,'DATA ENTRY - RECEIVED'!E:E,"=Bond copy paper, A4 size,70gsm 500shts/rm")</calculatedColumnFormula>
    </tableColumn>
    <tableColumn id="8" xr3:uid="{F29F8892-AC41-46AB-93C7-915FBEDA693C}" name="TOTAL STOCKS RELEASED (QTY)" dataDxfId="8"/>
    <tableColumn id="12" xr3:uid="{E2A8A47A-D3F5-49DF-A26D-81F835750220}" name="ENDING BALANCE (QTY)" dataDxfId="7">
      <calculatedColumnFormula>Table26[[#This Row],[BEG BALANCE (QTY)]]+Table26[[#This Row],[TOTAL STOCKS RECEIVED (QTY)]]-Table26[[#This Row],[TOTAL STOCKS RELEASED (QTY)]]</calculatedColumnFormula>
    </tableColumn>
    <tableColumn id="4" xr3:uid="{1C8B500D-F174-434B-BFC4-AF5E0E69E0A6}" name="UNIT" dataDxfId="6"/>
    <tableColumn id="5" xr3:uid="{8D7C3BEF-C47D-4AF3-83D5-1AB3775135C1}" name="STOCK CODE" dataDxfId="5"/>
    <tableColumn id="7" xr3:uid="{24BC5C03-A342-48C8-ADF9-2CB928622A53}" name="MONTH" dataDxfId="4">
      <calculatedColumnFormula>IFERROR(VLOOKUP(A2,YEAR2023,2,0),"-")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L428"/>
  <sheetViews>
    <sheetView zoomScale="85" zoomScaleNormal="85" zoomScaleSheetLayoutView="130" workbookViewId="0">
      <pane ySplit="1" topLeftCell="A401" activePane="bottomLeft" state="frozen"/>
      <selection pane="bottomLeft" activeCell="B424" sqref="B424"/>
    </sheetView>
  </sheetViews>
  <sheetFormatPr defaultColWidth="8.88671875" defaultRowHeight="15" customHeight="1"/>
  <cols>
    <col min="1" max="1" width="11.44140625" style="283" customWidth="1"/>
    <col min="2" max="2" width="15.109375" style="247" customWidth="1"/>
    <col min="3" max="3" width="13.88671875" style="250" customWidth="1"/>
    <col min="4" max="4" width="25.44140625" style="245" customWidth="1"/>
    <col min="5" max="5" width="49.33203125" style="246" customWidth="1"/>
    <col min="6" max="6" width="6.33203125" style="247" customWidth="1"/>
    <col min="7" max="7" width="7.33203125" style="52" bestFit="1" customWidth="1"/>
    <col min="8" max="8" width="13.44140625" style="52" customWidth="1"/>
    <col min="9" max="9" width="9.44140625" style="52" customWidth="1"/>
    <col min="10" max="11" width="9.109375" style="246" bestFit="1" customWidth="1"/>
    <col min="12" max="12" width="9.44140625" style="246" bestFit="1" customWidth="1"/>
    <col min="13" max="13" width="9.109375" style="246"/>
    <col min="14" max="20" width="9.109375" style="246" bestFit="1" customWidth="1"/>
    <col min="21" max="32" width="9.109375" style="246"/>
    <col min="33" max="16365" width="8.88671875" style="246"/>
    <col min="16366" max="16376" width="9.109375" style="246" bestFit="1" customWidth="1"/>
    <col min="16377" max="16384" width="9.109375" style="246" customWidth="1"/>
  </cols>
  <sheetData>
    <row r="1" spans="1:12" s="242" customFormat="1" ht="27.6" customHeight="1">
      <c r="A1" s="282" t="s">
        <v>0</v>
      </c>
      <c r="B1" s="311" t="s">
        <v>1</v>
      </c>
      <c r="C1" s="264" t="s">
        <v>2</v>
      </c>
      <c r="D1" s="260" t="s">
        <v>3</v>
      </c>
      <c r="E1" s="261" t="s">
        <v>4</v>
      </c>
      <c r="F1" s="261" t="s">
        <v>5</v>
      </c>
      <c r="G1" s="267" t="s">
        <v>6</v>
      </c>
      <c r="H1" s="267" t="s">
        <v>7</v>
      </c>
      <c r="I1" s="301" t="s">
        <v>8</v>
      </c>
      <c r="J1" s="244"/>
    </row>
    <row r="2" spans="1:12" ht="14.4">
      <c r="A2" s="283" t="s">
        <v>9</v>
      </c>
      <c r="B2" s="247">
        <v>1</v>
      </c>
      <c r="C2" s="250" t="str">
        <f>CONCATENATE(A2,B2)</f>
        <v>2023-0161</v>
      </c>
      <c r="D2" s="245">
        <v>45149</v>
      </c>
      <c r="E2" s="246" t="s">
        <v>10</v>
      </c>
      <c r="F2" s="247">
        <v>60</v>
      </c>
      <c r="G2" s="52" t="str">
        <f t="shared" ref="G2:G65" si="0">IFERROR(VLOOKUP(E2,SUPPLY2,3,0),"-")</f>
        <v>Ream</v>
      </c>
      <c r="H2" s="52">
        <f t="shared" ref="H2:H65" si="1">IFERROR(VLOOKUP(E2,SUPPLY2,4,0),"-")</f>
        <v>2276</v>
      </c>
      <c r="I2" s="247" t="str">
        <f t="shared" ref="I2:I65" si="2">IFERROR(VLOOKUP(D2,YEAR2023,2,0),"-")</f>
        <v>-</v>
      </c>
      <c r="L2" s="265">
        <f ca="1">TODAY()</f>
        <v>46223</v>
      </c>
    </row>
    <row r="3" spans="1:12" ht="14.4">
      <c r="A3" s="283" t="s">
        <v>11</v>
      </c>
      <c r="B3" s="247">
        <v>1</v>
      </c>
      <c r="C3" s="250" t="str">
        <f t="shared" ref="C3:C66" si="3">CONCATENATE(A3,B3)</f>
        <v>2025-0011</v>
      </c>
      <c r="D3" s="245">
        <v>45664</v>
      </c>
      <c r="E3" s="246" t="s">
        <v>10</v>
      </c>
      <c r="F3" s="247">
        <v>100</v>
      </c>
      <c r="G3" s="52" t="str">
        <f t="shared" si="0"/>
        <v>Ream</v>
      </c>
      <c r="H3" s="52">
        <f t="shared" si="1"/>
        <v>2276</v>
      </c>
      <c r="I3" s="247">
        <f t="shared" si="2"/>
        <v>1</v>
      </c>
    </row>
    <row r="4" spans="1:12" ht="14.4">
      <c r="A4" s="283" t="s">
        <v>11</v>
      </c>
      <c r="B4" s="247">
        <v>2</v>
      </c>
      <c r="C4" s="250" t="str">
        <f t="shared" si="3"/>
        <v>2025-0012</v>
      </c>
      <c r="D4" s="245">
        <v>45664</v>
      </c>
      <c r="E4" s="246" t="s">
        <v>12</v>
      </c>
      <c r="F4" s="247">
        <v>100</v>
      </c>
      <c r="G4" s="52" t="str">
        <f t="shared" si="0"/>
        <v>Ream</v>
      </c>
      <c r="H4" s="52">
        <f t="shared" si="1"/>
        <v>2067</v>
      </c>
      <c r="I4" s="247">
        <f t="shared" si="2"/>
        <v>1</v>
      </c>
    </row>
    <row r="5" spans="1:12" ht="14.4">
      <c r="A5" s="283" t="s">
        <v>11</v>
      </c>
      <c r="B5" s="247">
        <v>3</v>
      </c>
      <c r="C5" s="250" t="str">
        <f t="shared" si="3"/>
        <v>2025-0013</v>
      </c>
      <c r="D5" s="245">
        <v>45664</v>
      </c>
      <c r="E5" s="246" t="s">
        <v>13</v>
      </c>
      <c r="F5" s="247">
        <v>100</v>
      </c>
      <c r="G5" s="52" t="str">
        <f t="shared" si="0"/>
        <v>C</v>
      </c>
      <c r="H5" s="52">
        <f t="shared" si="1"/>
        <v>330</v>
      </c>
      <c r="I5" s="247">
        <f t="shared" si="2"/>
        <v>1</v>
      </c>
    </row>
    <row r="6" spans="1:12" ht="14.4">
      <c r="A6" s="283" t="s">
        <v>11</v>
      </c>
      <c r="B6" s="247">
        <v>4</v>
      </c>
      <c r="C6" s="250" t="str">
        <f t="shared" si="3"/>
        <v>2025-0014</v>
      </c>
      <c r="D6" s="245">
        <v>45664</v>
      </c>
      <c r="E6" s="246" t="s">
        <v>14</v>
      </c>
      <c r="F6" s="247">
        <v>100</v>
      </c>
      <c r="G6" s="52" t="str">
        <f t="shared" si="0"/>
        <v>C</v>
      </c>
      <c r="H6" s="52">
        <f t="shared" si="1"/>
        <v>46</v>
      </c>
      <c r="I6" s="247">
        <f t="shared" si="2"/>
        <v>1</v>
      </c>
    </row>
    <row r="7" spans="1:12" ht="14.4">
      <c r="A7" s="283" t="s">
        <v>11</v>
      </c>
      <c r="B7" s="247">
        <v>5</v>
      </c>
      <c r="C7" s="250" t="str">
        <f t="shared" si="3"/>
        <v>2025-0015</v>
      </c>
      <c r="D7" s="245">
        <v>45664</v>
      </c>
      <c r="E7" s="246" t="s">
        <v>15</v>
      </c>
      <c r="F7" s="247">
        <v>100</v>
      </c>
      <c r="G7" s="52" t="str">
        <f t="shared" si="0"/>
        <v>Roll</v>
      </c>
      <c r="H7" s="52">
        <f t="shared" si="1"/>
        <v>301</v>
      </c>
      <c r="I7" s="247">
        <f t="shared" si="2"/>
        <v>1</v>
      </c>
    </row>
    <row r="8" spans="1:12" ht="14.4">
      <c r="A8" s="283" t="s">
        <v>16</v>
      </c>
      <c r="B8" s="247">
        <v>1</v>
      </c>
      <c r="C8" s="250" t="str">
        <f t="shared" si="3"/>
        <v>2025-0021</v>
      </c>
      <c r="D8" s="245">
        <v>45687</v>
      </c>
      <c r="E8" s="246" t="s">
        <v>15</v>
      </c>
      <c r="F8" s="247">
        <v>100</v>
      </c>
      <c r="G8" s="52" t="str">
        <f t="shared" si="0"/>
        <v>Roll</v>
      </c>
      <c r="H8" s="52">
        <f t="shared" si="1"/>
        <v>301</v>
      </c>
      <c r="I8" s="247">
        <f t="shared" si="2"/>
        <v>1</v>
      </c>
    </row>
    <row r="9" spans="1:12" ht="14.4">
      <c r="A9" s="283" t="s">
        <v>16</v>
      </c>
      <c r="B9" s="247">
        <v>2</v>
      </c>
      <c r="C9" s="250" t="str">
        <f t="shared" si="3"/>
        <v>2025-0022</v>
      </c>
      <c r="D9" s="245">
        <v>45687</v>
      </c>
      <c r="E9" s="246" t="s">
        <v>10</v>
      </c>
      <c r="F9" s="247">
        <v>100</v>
      </c>
      <c r="G9" s="52" t="str">
        <f t="shared" si="0"/>
        <v>Ream</v>
      </c>
      <c r="H9" s="52">
        <f t="shared" si="1"/>
        <v>2276</v>
      </c>
      <c r="I9" s="247">
        <f t="shared" si="2"/>
        <v>1</v>
      </c>
    </row>
    <row r="10" spans="1:12" ht="14.4">
      <c r="A10" s="283" t="s">
        <v>16</v>
      </c>
      <c r="B10" s="247">
        <v>3</v>
      </c>
      <c r="C10" s="250" t="str">
        <f t="shared" si="3"/>
        <v>2025-0023</v>
      </c>
      <c r="D10" s="245">
        <v>45687</v>
      </c>
      <c r="E10" s="246" t="s">
        <v>12</v>
      </c>
      <c r="F10" s="247">
        <v>100</v>
      </c>
      <c r="G10" s="52" t="str">
        <f t="shared" si="0"/>
        <v>Ream</v>
      </c>
      <c r="H10" s="52">
        <f t="shared" si="1"/>
        <v>2067</v>
      </c>
      <c r="I10" s="247">
        <f t="shared" si="2"/>
        <v>1</v>
      </c>
    </row>
    <row r="11" spans="1:12" ht="14.4">
      <c r="A11" s="283" t="s">
        <v>16</v>
      </c>
      <c r="B11" s="247">
        <v>4</v>
      </c>
      <c r="C11" s="250" t="str">
        <f t="shared" si="3"/>
        <v>2025-0024</v>
      </c>
      <c r="D11" s="245">
        <v>45687</v>
      </c>
      <c r="E11" s="246" t="s">
        <v>17</v>
      </c>
      <c r="F11" s="247">
        <v>10</v>
      </c>
      <c r="G11" s="52" t="str">
        <f t="shared" si="0"/>
        <v>Piece</v>
      </c>
      <c r="H11" s="52">
        <f t="shared" si="1"/>
        <v>336</v>
      </c>
      <c r="I11" s="247">
        <f t="shared" si="2"/>
        <v>1</v>
      </c>
    </row>
    <row r="12" spans="1:12" ht="14.4">
      <c r="A12" s="283" t="s">
        <v>16</v>
      </c>
      <c r="B12" s="247">
        <v>5</v>
      </c>
      <c r="C12" s="250" t="str">
        <f t="shared" si="3"/>
        <v>2025-0025</v>
      </c>
      <c r="D12" s="245">
        <v>45687</v>
      </c>
      <c r="E12" s="246" t="s">
        <v>18</v>
      </c>
      <c r="F12" s="247">
        <v>100</v>
      </c>
      <c r="G12" s="52" t="str">
        <f t="shared" si="0"/>
        <v>Piece</v>
      </c>
      <c r="H12" s="52">
        <f t="shared" si="1"/>
        <v>337</v>
      </c>
      <c r="I12" s="247">
        <f t="shared" si="2"/>
        <v>1</v>
      </c>
    </row>
    <row r="13" spans="1:12" ht="14.4">
      <c r="A13" s="283" t="s">
        <v>16</v>
      </c>
      <c r="B13" s="247">
        <v>6</v>
      </c>
      <c r="C13" s="250" t="str">
        <f t="shared" si="3"/>
        <v>2025-0026</v>
      </c>
      <c r="D13" s="245">
        <v>45687</v>
      </c>
      <c r="E13" s="246" t="s">
        <v>19</v>
      </c>
      <c r="F13" s="247">
        <v>50</v>
      </c>
      <c r="G13" s="52" t="str">
        <f t="shared" si="0"/>
        <v>Roll</v>
      </c>
      <c r="H13" s="52">
        <f t="shared" si="1"/>
        <v>300</v>
      </c>
      <c r="I13" s="247">
        <f t="shared" si="2"/>
        <v>1</v>
      </c>
    </row>
    <row r="14" spans="1:12" ht="14.4">
      <c r="A14" s="283" t="s">
        <v>16</v>
      </c>
      <c r="B14" s="247">
        <v>7</v>
      </c>
      <c r="C14" s="250" t="str">
        <f t="shared" si="3"/>
        <v>2025-0027</v>
      </c>
      <c r="D14" s="245">
        <v>45687</v>
      </c>
      <c r="E14" s="246" t="s">
        <v>20</v>
      </c>
      <c r="F14" s="247">
        <v>10</v>
      </c>
      <c r="G14" s="52" t="str">
        <f t="shared" si="0"/>
        <v>Piece</v>
      </c>
      <c r="H14" s="52">
        <f t="shared" si="1"/>
        <v>1960</v>
      </c>
      <c r="I14" s="247">
        <f t="shared" si="2"/>
        <v>1</v>
      </c>
    </row>
    <row r="15" spans="1:12" ht="14.4">
      <c r="A15" s="283" t="s">
        <v>16</v>
      </c>
      <c r="B15" s="247">
        <v>8</v>
      </c>
      <c r="C15" s="250" t="str">
        <f t="shared" si="3"/>
        <v>2025-0028</v>
      </c>
      <c r="D15" s="245">
        <v>45687</v>
      </c>
      <c r="E15" s="246" t="s">
        <v>21</v>
      </c>
      <c r="F15" s="247">
        <v>20</v>
      </c>
      <c r="G15" s="52" t="str">
        <f t="shared" si="0"/>
        <v>Roll</v>
      </c>
      <c r="H15" s="52">
        <f t="shared" si="1"/>
        <v>2537</v>
      </c>
      <c r="I15" s="247">
        <f t="shared" si="2"/>
        <v>1</v>
      </c>
    </row>
    <row r="16" spans="1:12" ht="14.4">
      <c r="A16" s="283" t="s">
        <v>16</v>
      </c>
      <c r="B16" s="247">
        <v>9</v>
      </c>
      <c r="C16" s="250" t="str">
        <f t="shared" si="3"/>
        <v>2025-0029</v>
      </c>
      <c r="D16" s="245">
        <v>45687</v>
      </c>
      <c r="E16" s="246" t="s">
        <v>22</v>
      </c>
      <c r="F16" s="247">
        <v>100</v>
      </c>
      <c r="G16" s="52" t="str">
        <f t="shared" si="0"/>
        <v>Roll</v>
      </c>
      <c r="H16" s="52">
        <f t="shared" si="1"/>
        <v>281</v>
      </c>
      <c r="I16" s="247">
        <f t="shared" si="2"/>
        <v>1</v>
      </c>
    </row>
    <row r="17" spans="1:9" ht="14.4">
      <c r="A17" s="283" t="s">
        <v>16</v>
      </c>
      <c r="B17" s="247">
        <v>10</v>
      </c>
      <c r="C17" s="250" t="str">
        <f t="shared" si="3"/>
        <v>2025-00210</v>
      </c>
      <c r="D17" s="245">
        <v>45687</v>
      </c>
      <c r="E17" s="246" t="s">
        <v>23</v>
      </c>
      <c r="F17" s="247">
        <v>10</v>
      </c>
      <c r="G17" s="52" t="str">
        <f t="shared" si="0"/>
        <v>Piece</v>
      </c>
      <c r="H17" s="52">
        <f t="shared" si="1"/>
        <v>0</v>
      </c>
      <c r="I17" s="247">
        <f t="shared" si="2"/>
        <v>1</v>
      </c>
    </row>
    <row r="18" spans="1:9" ht="14.4">
      <c r="A18" s="283" t="s">
        <v>16</v>
      </c>
      <c r="B18" s="247">
        <v>11</v>
      </c>
      <c r="C18" s="250" t="str">
        <f t="shared" si="3"/>
        <v>2025-00211</v>
      </c>
      <c r="D18" s="245">
        <v>45687</v>
      </c>
      <c r="E18" s="246" t="s">
        <v>24</v>
      </c>
      <c r="F18" s="247">
        <v>10</v>
      </c>
      <c r="G18" s="52" t="str">
        <f t="shared" si="0"/>
        <v>Piece</v>
      </c>
      <c r="H18" s="52">
        <f t="shared" si="1"/>
        <v>338</v>
      </c>
      <c r="I18" s="247">
        <f t="shared" si="2"/>
        <v>1</v>
      </c>
    </row>
    <row r="19" spans="1:9" ht="14.4">
      <c r="A19" s="283" t="s">
        <v>16</v>
      </c>
      <c r="B19" s="247">
        <v>12</v>
      </c>
      <c r="C19" s="250" t="str">
        <f t="shared" si="3"/>
        <v>2025-00212</v>
      </c>
      <c r="D19" s="245">
        <v>45687</v>
      </c>
      <c r="E19" s="246" t="s">
        <v>25</v>
      </c>
      <c r="F19" s="247">
        <v>5</v>
      </c>
      <c r="G19" s="52" t="str">
        <f t="shared" si="0"/>
        <v>Box</v>
      </c>
      <c r="H19" s="52">
        <f t="shared" si="1"/>
        <v>2550</v>
      </c>
      <c r="I19" s="247">
        <f t="shared" si="2"/>
        <v>1</v>
      </c>
    </row>
    <row r="20" spans="1:9" ht="14.4">
      <c r="A20" s="283" t="s">
        <v>16</v>
      </c>
      <c r="B20" s="247">
        <v>13</v>
      </c>
      <c r="C20" s="250" t="str">
        <f t="shared" si="3"/>
        <v>2025-00213</v>
      </c>
      <c r="D20" s="245">
        <v>45687</v>
      </c>
      <c r="E20" s="246" t="s">
        <v>26</v>
      </c>
      <c r="F20" s="247">
        <v>3</v>
      </c>
      <c r="G20" s="52" t="str">
        <f t="shared" si="0"/>
        <v>Box</v>
      </c>
      <c r="H20" s="52">
        <f t="shared" si="1"/>
        <v>307</v>
      </c>
      <c r="I20" s="247">
        <f t="shared" si="2"/>
        <v>1</v>
      </c>
    </row>
    <row r="21" spans="1:9" ht="14.4">
      <c r="A21" s="283" t="s">
        <v>16</v>
      </c>
      <c r="B21" s="247">
        <v>14</v>
      </c>
      <c r="C21" s="250" t="str">
        <f t="shared" si="3"/>
        <v>2025-00214</v>
      </c>
      <c r="D21" s="245">
        <v>45687</v>
      </c>
      <c r="E21" s="246" t="s">
        <v>13</v>
      </c>
      <c r="F21" s="247">
        <v>5</v>
      </c>
      <c r="G21" s="52" t="str">
        <f t="shared" si="0"/>
        <v>C</v>
      </c>
      <c r="H21" s="52">
        <f t="shared" si="1"/>
        <v>330</v>
      </c>
      <c r="I21" s="247">
        <f t="shared" si="2"/>
        <v>1</v>
      </c>
    </row>
    <row r="22" spans="1:9" ht="14.4">
      <c r="A22" s="283" t="s">
        <v>16</v>
      </c>
      <c r="B22" s="247">
        <v>15</v>
      </c>
      <c r="C22" s="250" t="str">
        <f t="shared" si="3"/>
        <v>2025-00215</v>
      </c>
      <c r="D22" s="245">
        <v>45687</v>
      </c>
      <c r="E22" s="246" t="s">
        <v>27</v>
      </c>
      <c r="F22" s="247">
        <v>3</v>
      </c>
      <c r="G22" s="52" t="str">
        <f t="shared" si="0"/>
        <v>Bag</v>
      </c>
      <c r="H22" s="52">
        <f t="shared" si="1"/>
        <v>308</v>
      </c>
      <c r="I22" s="247">
        <f t="shared" si="2"/>
        <v>1</v>
      </c>
    </row>
    <row r="23" spans="1:9" ht="14.4">
      <c r="A23" s="283" t="s">
        <v>28</v>
      </c>
      <c r="B23" s="247">
        <v>1</v>
      </c>
      <c r="C23" s="250" t="str">
        <f t="shared" si="3"/>
        <v>2025-0031</v>
      </c>
      <c r="D23" s="245">
        <v>45699</v>
      </c>
      <c r="E23" s="246" t="s">
        <v>29</v>
      </c>
      <c r="F23" s="247">
        <v>20</v>
      </c>
      <c r="G23" s="52" t="str">
        <f t="shared" si="0"/>
        <v>Gallon</v>
      </c>
      <c r="H23" s="52">
        <f t="shared" si="1"/>
        <v>2617</v>
      </c>
      <c r="I23" s="247">
        <f t="shared" si="2"/>
        <v>2</v>
      </c>
    </row>
    <row r="24" spans="1:9" ht="14.4">
      <c r="A24" s="283" t="s">
        <v>28</v>
      </c>
      <c r="B24" s="247">
        <v>2</v>
      </c>
      <c r="C24" s="250" t="str">
        <f t="shared" si="3"/>
        <v>2025-0032</v>
      </c>
      <c r="D24" s="245">
        <v>45699</v>
      </c>
      <c r="E24" s="246" t="s">
        <v>30</v>
      </c>
      <c r="F24" s="247">
        <v>50</v>
      </c>
      <c r="G24" s="52" t="str">
        <f t="shared" si="0"/>
        <v>Box</v>
      </c>
      <c r="H24" s="52">
        <f t="shared" si="1"/>
        <v>310</v>
      </c>
      <c r="I24" s="247">
        <f t="shared" si="2"/>
        <v>2</v>
      </c>
    </row>
    <row r="25" spans="1:9" ht="14.4">
      <c r="A25" s="283" t="s">
        <v>28</v>
      </c>
      <c r="B25" s="247" t="s">
        <v>31</v>
      </c>
      <c r="C25" s="250" t="str">
        <f t="shared" si="3"/>
        <v>2025-0033</v>
      </c>
      <c r="D25" s="245">
        <v>45699</v>
      </c>
      <c r="E25" s="246" t="s">
        <v>14</v>
      </c>
      <c r="F25" s="247">
        <v>20</v>
      </c>
      <c r="G25" s="52" t="str">
        <f t="shared" si="0"/>
        <v>C</v>
      </c>
      <c r="H25" s="52">
        <f t="shared" si="1"/>
        <v>46</v>
      </c>
      <c r="I25" s="247">
        <f t="shared" si="2"/>
        <v>2</v>
      </c>
    </row>
    <row r="26" spans="1:9" ht="14.4">
      <c r="A26" s="283" t="s">
        <v>28</v>
      </c>
      <c r="B26" s="247">
        <v>4</v>
      </c>
      <c r="C26" s="250" t="str">
        <f t="shared" si="3"/>
        <v>2025-0034</v>
      </c>
      <c r="D26" s="245">
        <v>45699</v>
      </c>
      <c r="E26" s="246" t="s">
        <v>10</v>
      </c>
      <c r="F26" s="247">
        <v>100</v>
      </c>
      <c r="G26" s="52" t="str">
        <f t="shared" si="0"/>
        <v>Ream</v>
      </c>
      <c r="H26" s="52">
        <f t="shared" si="1"/>
        <v>2276</v>
      </c>
      <c r="I26" s="247">
        <f t="shared" si="2"/>
        <v>2</v>
      </c>
    </row>
    <row r="27" spans="1:9" ht="14.4">
      <c r="A27" s="283" t="s">
        <v>28</v>
      </c>
      <c r="B27" s="247">
        <v>5</v>
      </c>
      <c r="C27" s="250" t="str">
        <f t="shared" si="3"/>
        <v>2025-0035</v>
      </c>
      <c r="D27" s="245">
        <v>45699</v>
      </c>
      <c r="E27" s="246" t="s">
        <v>12</v>
      </c>
      <c r="F27" s="247">
        <v>100</v>
      </c>
      <c r="G27" s="52" t="str">
        <f t="shared" si="0"/>
        <v>Ream</v>
      </c>
      <c r="H27" s="52">
        <f t="shared" si="1"/>
        <v>2067</v>
      </c>
      <c r="I27" s="247">
        <f t="shared" si="2"/>
        <v>2</v>
      </c>
    </row>
    <row r="28" spans="1:9" ht="14.4">
      <c r="A28" s="283" t="s">
        <v>28</v>
      </c>
      <c r="B28" s="247">
        <v>6</v>
      </c>
      <c r="C28" s="250" t="str">
        <f t="shared" si="3"/>
        <v>2025-0036</v>
      </c>
      <c r="D28" s="245">
        <v>45699</v>
      </c>
      <c r="E28" s="246" t="s">
        <v>14</v>
      </c>
      <c r="F28" s="247">
        <v>20</v>
      </c>
      <c r="G28" s="52" t="str">
        <f t="shared" si="0"/>
        <v>C</v>
      </c>
      <c r="H28" s="52">
        <f t="shared" si="1"/>
        <v>46</v>
      </c>
      <c r="I28" s="247">
        <f t="shared" si="2"/>
        <v>2</v>
      </c>
    </row>
    <row r="29" spans="1:9" ht="14.4">
      <c r="A29" s="283" t="s">
        <v>32</v>
      </c>
      <c r="B29" s="247">
        <v>1</v>
      </c>
      <c r="C29" s="250" t="str">
        <f t="shared" si="3"/>
        <v>2025-0041</v>
      </c>
      <c r="D29" s="245">
        <v>45707</v>
      </c>
      <c r="E29" s="246" t="s">
        <v>10</v>
      </c>
      <c r="F29" s="247">
        <v>100</v>
      </c>
      <c r="G29" s="52" t="str">
        <f t="shared" si="0"/>
        <v>Ream</v>
      </c>
      <c r="H29" s="52">
        <f t="shared" si="1"/>
        <v>2276</v>
      </c>
      <c r="I29" s="247">
        <f t="shared" si="2"/>
        <v>2</v>
      </c>
    </row>
    <row r="30" spans="1:9" ht="14.4">
      <c r="A30" s="283" t="s">
        <v>32</v>
      </c>
      <c r="B30" s="247">
        <v>2</v>
      </c>
      <c r="C30" s="250" t="str">
        <f t="shared" si="3"/>
        <v>2025-0042</v>
      </c>
      <c r="D30" s="245">
        <v>45707</v>
      </c>
      <c r="E30" s="246" t="s">
        <v>12</v>
      </c>
      <c r="F30" s="247">
        <v>100</v>
      </c>
      <c r="G30" s="52" t="str">
        <f t="shared" si="0"/>
        <v>Ream</v>
      </c>
      <c r="H30" s="52">
        <f t="shared" si="1"/>
        <v>2067</v>
      </c>
      <c r="I30" s="247">
        <f t="shared" si="2"/>
        <v>2</v>
      </c>
    </row>
    <row r="31" spans="1:9" ht="14.4">
      <c r="A31" s="283" t="s">
        <v>32</v>
      </c>
      <c r="B31" s="247">
        <v>3</v>
      </c>
      <c r="C31" s="250" t="str">
        <f t="shared" si="3"/>
        <v>2025-0043</v>
      </c>
      <c r="D31" s="245">
        <v>45707</v>
      </c>
      <c r="E31" s="246" t="s">
        <v>33</v>
      </c>
      <c r="F31" s="247">
        <v>100</v>
      </c>
      <c r="G31" s="52" t="str">
        <f t="shared" si="0"/>
        <v>Ream</v>
      </c>
      <c r="H31" s="52">
        <f t="shared" si="1"/>
        <v>0</v>
      </c>
      <c r="I31" s="247">
        <f t="shared" si="2"/>
        <v>2</v>
      </c>
    </row>
    <row r="32" spans="1:9" ht="14.4">
      <c r="A32" s="283" t="s">
        <v>32</v>
      </c>
      <c r="B32" s="247">
        <v>4</v>
      </c>
      <c r="C32" s="250" t="str">
        <f t="shared" si="3"/>
        <v>2025-0044</v>
      </c>
      <c r="D32" s="245">
        <v>45707</v>
      </c>
      <c r="E32" s="246" t="s">
        <v>34</v>
      </c>
      <c r="F32" s="247">
        <v>100</v>
      </c>
      <c r="G32" s="52" t="str">
        <f t="shared" si="0"/>
        <v>Ream</v>
      </c>
      <c r="H32" s="52">
        <f t="shared" si="1"/>
        <v>0</v>
      </c>
      <c r="I32" s="247">
        <f t="shared" si="2"/>
        <v>2</v>
      </c>
    </row>
    <row r="33" spans="1:9" ht="14.4">
      <c r="A33" s="283" t="s">
        <v>32</v>
      </c>
      <c r="B33" s="247">
        <v>5</v>
      </c>
      <c r="C33" s="250" t="str">
        <f t="shared" si="3"/>
        <v>2025-0045</v>
      </c>
      <c r="D33" s="245">
        <v>45707</v>
      </c>
      <c r="E33" s="246" t="s">
        <v>35</v>
      </c>
      <c r="F33" s="247">
        <v>50</v>
      </c>
      <c r="G33" s="52" t="str">
        <f t="shared" si="0"/>
        <v>Ream</v>
      </c>
      <c r="H33" s="52">
        <f t="shared" si="1"/>
        <v>0</v>
      </c>
      <c r="I33" s="247">
        <f t="shared" si="2"/>
        <v>2</v>
      </c>
    </row>
    <row r="34" spans="1:9" ht="14.4">
      <c r="A34" s="283" t="s">
        <v>32</v>
      </c>
      <c r="B34" s="247">
        <v>6</v>
      </c>
      <c r="C34" s="250" t="str">
        <f t="shared" si="3"/>
        <v>2025-0046</v>
      </c>
      <c r="D34" s="245">
        <v>45707</v>
      </c>
      <c r="E34" s="246" t="s">
        <v>36</v>
      </c>
      <c r="F34" s="247">
        <v>100</v>
      </c>
      <c r="G34" s="52" t="str">
        <f t="shared" si="0"/>
        <v>Ream</v>
      </c>
      <c r="H34" s="52">
        <f t="shared" si="1"/>
        <v>0</v>
      </c>
      <c r="I34" s="247">
        <f t="shared" si="2"/>
        <v>2</v>
      </c>
    </row>
    <row r="35" spans="1:9" ht="14.4">
      <c r="A35" s="283" t="s">
        <v>32</v>
      </c>
      <c r="B35" s="247">
        <v>7</v>
      </c>
      <c r="C35" s="250" t="str">
        <f t="shared" si="3"/>
        <v>2025-0047</v>
      </c>
      <c r="D35" s="245">
        <v>45707</v>
      </c>
      <c r="E35" s="246" t="s">
        <v>37</v>
      </c>
      <c r="F35" s="247">
        <v>100</v>
      </c>
      <c r="G35" s="52" t="str">
        <f t="shared" si="0"/>
        <v>Piece</v>
      </c>
      <c r="H35" s="52">
        <f t="shared" si="1"/>
        <v>0</v>
      </c>
      <c r="I35" s="247">
        <f t="shared" si="2"/>
        <v>2</v>
      </c>
    </row>
    <row r="36" spans="1:9" ht="14.4">
      <c r="A36" s="283" t="s">
        <v>32</v>
      </c>
      <c r="B36" s="247">
        <v>8</v>
      </c>
      <c r="C36" s="250" t="str">
        <f t="shared" si="3"/>
        <v>2025-0048</v>
      </c>
      <c r="D36" s="245">
        <v>45707</v>
      </c>
      <c r="E36" s="246" t="s">
        <v>38</v>
      </c>
      <c r="F36" s="247">
        <v>100</v>
      </c>
      <c r="G36" s="52" t="str">
        <f t="shared" si="0"/>
        <v>Ream</v>
      </c>
      <c r="H36" s="52">
        <f t="shared" si="1"/>
        <v>2521</v>
      </c>
      <c r="I36" s="247">
        <f t="shared" si="2"/>
        <v>2</v>
      </c>
    </row>
    <row r="37" spans="1:9" ht="14.4">
      <c r="A37" s="283" t="s">
        <v>32</v>
      </c>
      <c r="B37" s="247">
        <v>9</v>
      </c>
      <c r="C37" s="250" t="str">
        <f t="shared" si="3"/>
        <v>2025-0049</v>
      </c>
      <c r="D37" s="245">
        <v>45707</v>
      </c>
      <c r="E37" s="246" t="s">
        <v>39</v>
      </c>
      <c r="F37" s="247">
        <v>100</v>
      </c>
      <c r="G37" s="52" t="str">
        <f t="shared" si="0"/>
        <v>Ream</v>
      </c>
      <c r="H37" s="52">
        <f t="shared" si="1"/>
        <v>2576</v>
      </c>
      <c r="I37" s="247">
        <f t="shared" si="2"/>
        <v>2</v>
      </c>
    </row>
    <row r="38" spans="1:9" ht="14.4">
      <c r="A38" s="283" t="s">
        <v>32</v>
      </c>
      <c r="B38" s="247">
        <v>10</v>
      </c>
      <c r="C38" s="250" t="str">
        <f t="shared" si="3"/>
        <v>2025-00410</v>
      </c>
      <c r="D38" s="245">
        <v>45707</v>
      </c>
      <c r="E38" s="246" t="s">
        <v>15</v>
      </c>
      <c r="F38" s="247">
        <v>50</v>
      </c>
      <c r="G38" s="52" t="str">
        <f t="shared" si="0"/>
        <v>Roll</v>
      </c>
      <c r="H38" s="52">
        <f t="shared" si="1"/>
        <v>301</v>
      </c>
      <c r="I38" s="247">
        <f t="shared" si="2"/>
        <v>2</v>
      </c>
    </row>
    <row r="39" spans="1:9" ht="14.4">
      <c r="A39" s="283" t="s">
        <v>32</v>
      </c>
      <c r="B39" s="247">
        <v>11</v>
      </c>
      <c r="C39" s="250" t="str">
        <f t="shared" si="3"/>
        <v>2025-00411</v>
      </c>
      <c r="D39" s="245">
        <v>45707</v>
      </c>
      <c r="E39" s="246" t="s">
        <v>20</v>
      </c>
      <c r="F39" s="247">
        <v>10</v>
      </c>
      <c r="G39" s="52" t="str">
        <f t="shared" si="0"/>
        <v>Piece</v>
      </c>
      <c r="H39" s="52">
        <f t="shared" si="1"/>
        <v>1960</v>
      </c>
      <c r="I39" s="247">
        <f t="shared" si="2"/>
        <v>2</v>
      </c>
    </row>
    <row r="40" spans="1:9" ht="14.4">
      <c r="A40" s="283" t="s">
        <v>32</v>
      </c>
      <c r="B40" s="247">
        <v>12</v>
      </c>
      <c r="C40" s="250" t="str">
        <f t="shared" si="3"/>
        <v>2025-00412</v>
      </c>
      <c r="D40" s="245">
        <v>45707</v>
      </c>
      <c r="E40" s="246" t="s">
        <v>14</v>
      </c>
      <c r="F40" s="247">
        <v>50</v>
      </c>
      <c r="G40" s="52" t="str">
        <f t="shared" si="0"/>
        <v>C</v>
      </c>
      <c r="H40" s="52">
        <f t="shared" si="1"/>
        <v>46</v>
      </c>
      <c r="I40" s="247">
        <f t="shared" si="2"/>
        <v>2</v>
      </c>
    </row>
    <row r="41" spans="1:9" ht="14.4">
      <c r="A41" s="283" t="s">
        <v>32</v>
      </c>
      <c r="B41" s="247">
        <v>13</v>
      </c>
      <c r="C41" s="250" t="str">
        <f t="shared" si="3"/>
        <v>2025-00413</v>
      </c>
      <c r="D41" s="245">
        <v>45707</v>
      </c>
      <c r="E41" s="246" t="s">
        <v>13</v>
      </c>
      <c r="F41" s="247">
        <v>50</v>
      </c>
      <c r="G41" s="52" t="str">
        <f t="shared" si="0"/>
        <v>C</v>
      </c>
      <c r="H41" s="52">
        <f t="shared" si="1"/>
        <v>330</v>
      </c>
      <c r="I41" s="247">
        <f t="shared" si="2"/>
        <v>2</v>
      </c>
    </row>
    <row r="42" spans="1:9" ht="14.4">
      <c r="A42" s="283" t="s">
        <v>32</v>
      </c>
      <c r="B42" s="247">
        <v>14</v>
      </c>
      <c r="C42" s="250" t="str">
        <f t="shared" si="3"/>
        <v>2025-00414</v>
      </c>
      <c r="D42" s="245">
        <v>45707</v>
      </c>
      <c r="E42" s="246" t="s">
        <v>22</v>
      </c>
      <c r="F42" s="247">
        <v>100</v>
      </c>
      <c r="G42" s="52" t="str">
        <f t="shared" si="0"/>
        <v>Roll</v>
      </c>
      <c r="H42" s="52">
        <f t="shared" si="1"/>
        <v>281</v>
      </c>
      <c r="I42" s="247">
        <f t="shared" si="2"/>
        <v>2</v>
      </c>
    </row>
    <row r="43" spans="1:9" ht="14.4">
      <c r="A43" s="283" t="s">
        <v>32</v>
      </c>
      <c r="B43" s="247">
        <v>15</v>
      </c>
      <c r="C43" s="250" t="str">
        <f t="shared" si="3"/>
        <v>2025-00415</v>
      </c>
      <c r="D43" s="245">
        <v>45707</v>
      </c>
      <c r="E43" s="246" t="s">
        <v>26</v>
      </c>
      <c r="F43" s="247">
        <v>10</v>
      </c>
      <c r="G43" s="52" t="str">
        <f t="shared" si="0"/>
        <v>Box</v>
      </c>
      <c r="H43" s="52">
        <f t="shared" si="1"/>
        <v>307</v>
      </c>
      <c r="I43" s="247">
        <f t="shared" si="2"/>
        <v>2</v>
      </c>
    </row>
    <row r="44" spans="1:9" ht="14.4">
      <c r="A44" s="283" t="s">
        <v>32</v>
      </c>
      <c r="B44" s="247">
        <v>16</v>
      </c>
      <c r="C44" s="250" t="str">
        <f t="shared" si="3"/>
        <v>2025-00416</v>
      </c>
      <c r="D44" s="245">
        <v>45707</v>
      </c>
      <c r="E44" s="246" t="s">
        <v>27</v>
      </c>
      <c r="F44" s="247">
        <v>10</v>
      </c>
      <c r="G44" s="52" t="str">
        <f t="shared" si="0"/>
        <v>Bag</v>
      </c>
      <c r="H44" s="52">
        <f t="shared" si="1"/>
        <v>308</v>
      </c>
      <c r="I44" s="247">
        <f t="shared" si="2"/>
        <v>2</v>
      </c>
    </row>
    <row r="45" spans="1:9" ht="14.4">
      <c r="A45" s="283" t="s">
        <v>32</v>
      </c>
      <c r="B45" s="247">
        <v>17</v>
      </c>
      <c r="C45" s="250" t="str">
        <f t="shared" si="3"/>
        <v>2025-00417</v>
      </c>
      <c r="D45" s="245">
        <v>45707</v>
      </c>
      <c r="E45" s="246" t="s">
        <v>30</v>
      </c>
      <c r="F45" s="247">
        <v>100</v>
      </c>
      <c r="G45" s="52" t="str">
        <f t="shared" si="0"/>
        <v>Box</v>
      </c>
      <c r="H45" s="52">
        <f t="shared" si="1"/>
        <v>310</v>
      </c>
      <c r="I45" s="247">
        <f t="shared" si="2"/>
        <v>2</v>
      </c>
    </row>
    <row r="46" spans="1:9" ht="14.4">
      <c r="A46" s="283" t="s">
        <v>32</v>
      </c>
      <c r="B46" s="247">
        <v>18</v>
      </c>
      <c r="C46" s="250" t="str">
        <f t="shared" si="3"/>
        <v>2025-00418</v>
      </c>
      <c r="D46" s="245">
        <v>45707</v>
      </c>
      <c r="E46" s="246" t="s">
        <v>17</v>
      </c>
      <c r="F46" s="247">
        <v>10</v>
      </c>
      <c r="G46" s="52" t="str">
        <f t="shared" si="0"/>
        <v>Piece</v>
      </c>
      <c r="H46" s="52">
        <f t="shared" si="1"/>
        <v>336</v>
      </c>
      <c r="I46" s="247">
        <f t="shared" si="2"/>
        <v>2</v>
      </c>
    </row>
    <row r="47" spans="1:9" ht="14.4">
      <c r="A47" s="283" t="s">
        <v>32</v>
      </c>
      <c r="B47" s="247">
        <v>19</v>
      </c>
      <c r="C47" s="250" t="str">
        <f t="shared" si="3"/>
        <v>2025-00419</v>
      </c>
      <c r="D47" s="245">
        <v>45707</v>
      </c>
      <c r="E47" s="246" t="s">
        <v>19</v>
      </c>
      <c r="F47" s="247">
        <v>100</v>
      </c>
      <c r="G47" s="52" t="str">
        <f t="shared" si="0"/>
        <v>Roll</v>
      </c>
      <c r="H47" s="52">
        <f t="shared" si="1"/>
        <v>300</v>
      </c>
      <c r="I47" s="247">
        <f t="shared" si="2"/>
        <v>2</v>
      </c>
    </row>
    <row r="48" spans="1:9" ht="14.4">
      <c r="A48" s="283" t="s">
        <v>32</v>
      </c>
      <c r="B48" s="247">
        <v>20</v>
      </c>
      <c r="C48" s="250" t="str">
        <f t="shared" si="3"/>
        <v>2025-00420</v>
      </c>
      <c r="D48" s="245">
        <v>45707</v>
      </c>
      <c r="E48" s="246" t="s">
        <v>29</v>
      </c>
      <c r="F48" s="247">
        <v>20</v>
      </c>
      <c r="G48" s="52" t="str">
        <f t="shared" si="0"/>
        <v>Gallon</v>
      </c>
      <c r="H48" s="52">
        <f t="shared" si="1"/>
        <v>2617</v>
      </c>
      <c r="I48" s="247">
        <f t="shared" si="2"/>
        <v>2</v>
      </c>
    </row>
    <row r="49" spans="1:9" ht="14.4">
      <c r="A49" s="283" t="s">
        <v>32</v>
      </c>
      <c r="B49" s="247">
        <v>21</v>
      </c>
      <c r="C49" s="250" t="str">
        <f t="shared" si="3"/>
        <v>2025-00421</v>
      </c>
      <c r="D49" s="245">
        <v>45707</v>
      </c>
      <c r="E49" s="246" t="s">
        <v>21</v>
      </c>
      <c r="F49" s="247">
        <v>100</v>
      </c>
      <c r="G49" s="52" t="str">
        <f t="shared" si="0"/>
        <v>Roll</v>
      </c>
      <c r="H49" s="52">
        <f t="shared" si="1"/>
        <v>2537</v>
      </c>
      <c r="I49" s="247">
        <f t="shared" si="2"/>
        <v>2</v>
      </c>
    </row>
    <row r="50" spans="1:9" ht="14.4">
      <c r="A50" s="283" t="s">
        <v>32</v>
      </c>
      <c r="B50" s="247">
        <v>22</v>
      </c>
      <c r="C50" s="250" t="str">
        <f t="shared" si="3"/>
        <v>2025-00422</v>
      </c>
      <c r="D50" s="245">
        <v>45707</v>
      </c>
      <c r="E50" s="246" t="s">
        <v>24</v>
      </c>
      <c r="F50" s="247">
        <v>5</v>
      </c>
      <c r="G50" s="52" t="str">
        <f t="shared" si="0"/>
        <v>Piece</v>
      </c>
      <c r="H50" s="52">
        <f t="shared" si="1"/>
        <v>338</v>
      </c>
      <c r="I50" s="247">
        <f t="shared" si="2"/>
        <v>2</v>
      </c>
    </row>
    <row r="51" spans="1:9" ht="14.4">
      <c r="A51" s="283" t="s">
        <v>32</v>
      </c>
      <c r="B51" s="247">
        <v>23</v>
      </c>
      <c r="C51" s="250" t="str">
        <f t="shared" si="3"/>
        <v>2025-00423</v>
      </c>
      <c r="D51" s="245">
        <v>45707</v>
      </c>
      <c r="E51" s="246" t="s">
        <v>12</v>
      </c>
      <c r="F51" s="247">
        <v>100</v>
      </c>
      <c r="G51" s="52" t="str">
        <f t="shared" si="0"/>
        <v>Ream</v>
      </c>
      <c r="H51" s="52">
        <f t="shared" si="1"/>
        <v>2067</v>
      </c>
      <c r="I51" s="247">
        <f t="shared" si="2"/>
        <v>2</v>
      </c>
    </row>
    <row r="52" spans="1:9" ht="14.4">
      <c r="A52" s="283" t="s">
        <v>32</v>
      </c>
      <c r="B52" s="247">
        <v>24</v>
      </c>
      <c r="C52" s="250" t="str">
        <f t="shared" si="3"/>
        <v>2025-00424</v>
      </c>
      <c r="D52" s="245">
        <v>45707</v>
      </c>
      <c r="E52" s="246" t="s">
        <v>33</v>
      </c>
      <c r="F52" s="247">
        <v>100</v>
      </c>
      <c r="G52" s="52" t="str">
        <f t="shared" si="0"/>
        <v>Ream</v>
      </c>
      <c r="H52" s="52">
        <f t="shared" si="1"/>
        <v>0</v>
      </c>
      <c r="I52" s="247">
        <f t="shared" si="2"/>
        <v>2</v>
      </c>
    </row>
    <row r="53" spans="1:9" ht="14.4">
      <c r="A53" s="283" t="s">
        <v>40</v>
      </c>
      <c r="B53" s="247">
        <v>1</v>
      </c>
      <c r="C53" s="250" t="str">
        <f t="shared" si="3"/>
        <v>2025-0051</v>
      </c>
      <c r="D53" s="304">
        <v>45719</v>
      </c>
      <c r="E53" s="246" t="s">
        <v>12</v>
      </c>
      <c r="F53" s="247">
        <v>100</v>
      </c>
      <c r="G53" s="52" t="str">
        <f t="shared" si="0"/>
        <v>Ream</v>
      </c>
      <c r="H53" s="52">
        <f t="shared" si="1"/>
        <v>2067</v>
      </c>
      <c r="I53" s="247">
        <f t="shared" si="2"/>
        <v>3</v>
      </c>
    </row>
    <row r="54" spans="1:9" ht="14.4">
      <c r="A54" s="283" t="s">
        <v>40</v>
      </c>
      <c r="B54" s="247">
        <v>2</v>
      </c>
      <c r="C54" s="250" t="str">
        <f t="shared" si="3"/>
        <v>2025-0052</v>
      </c>
      <c r="D54" s="304">
        <v>45719</v>
      </c>
      <c r="E54" s="246" t="s">
        <v>10</v>
      </c>
      <c r="F54" s="247">
        <v>100</v>
      </c>
      <c r="G54" s="52" t="str">
        <f t="shared" si="0"/>
        <v>Ream</v>
      </c>
      <c r="H54" s="52">
        <f t="shared" si="1"/>
        <v>2276</v>
      </c>
      <c r="I54" s="247">
        <f t="shared" si="2"/>
        <v>3</v>
      </c>
    </row>
    <row r="55" spans="1:9" ht="14.4">
      <c r="A55" s="283" t="s">
        <v>40</v>
      </c>
      <c r="B55" s="247">
        <v>3</v>
      </c>
      <c r="C55" s="250" t="str">
        <f t="shared" si="3"/>
        <v>2025-0053</v>
      </c>
      <c r="D55" s="304">
        <v>45719</v>
      </c>
      <c r="E55" s="246" t="s">
        <v>29</v>
      </c>
      <c r="F55" s="247">
        <v>50</v>
      </c>
      <c r="G55" s="52" t="str">
        <f t="shared" si="0"/>
        <v>Gallon</v>
      </c>
      <c r="H55" s="52">
        <f t="shared" si="1"/>
        <v>2617</v>
      </c>
      <c r="I55" s="247">
        <f t="shared" si="2"/>
        <v>3</v>
      </c>
    </row>
    <row r="56" spans="1:9" ht="14.4">
      <c r="A56" s="283" t="s">
        <v>40</v>
      </c>
      <c r="B56" s="247">
        <v>4</v>
      </c>
      <c r="C56" s="250" t="str">
        <f t="shared" si="3"/>
        <v>2025-0054</v>
      </c>
      <c r="D56" s="304">
        <v>45719</v>
      </c>
      <c r="E56" s="246" t="s">
        <v>22</v>
      </c>
      <c r="F56" s="247">
        <v>100</v>
      </c>
      <c r="G56" s="52" t="str">
        <f t="shared" si="0"/>
        <v>Roll</v>
      </c>
      <c r="H56" s="52">
        <f t="shared" si="1"/>
        <v>281</v>
      </c>
      <c r="I56" s="247">
        <f t="shared" si="2"/>
        <v>3</v>
      </c>
    </row>
    <row r="57" spans="1:9" ht="14.4">
      <c r="A57" s="283" t="s">
        <v>40</v>
      </c>
      <c r="B57" s="247">
        <v>5</v>
      </c>
      <c r="C57" s="250" t="str">
        <f t="shared" si="3"/>
        <v>2025-0055</v>
      </c>
      <c r="D57" s="304">
        <v>45719</v>
      </c>
      <c r="E57" s="246" t="s">
        <v>14</v>
      </c>
      <c r="F57" s="247">
        <v>50</v>
      </c>
      <c r="G57" s="52" t="str">
        <f t="shared" si="0"/>
        <v>C</v>
      </c>
      <c r="H57" s="52">
        <f t="shared" si="1"/>
        <v>46</v>
      </c>
      <c r="I57" s="247">
        <f t="shared" si="2"/>
        <v>3</v>
      </c>
    </row>
    <row r="58" spans="1:9" ht="14.4">
      <c r="A58" s="283" t="s">
        <v>40</v>
      </c>
      <c r="B58" s="247">
        <v>6</v>
      </c>
      <c r="C58" s="250" t="str">
        <f t="shared" si="3"/>
        <v>2025-0056</v>
      </c>
      <c r="D58" s="304">
        <v>45719</v>
      </c>
      <c r="E58" s="246" t="s">
        <v>15</v>
      </c>
      <c r="F58" s="247">
        <v>100</v>
      </c>
      <c r="G58" s="52" t="str">
        <f t="shared" si="0"/>
        <v>Roll</v>
      </c>
      <c r="H58" s="52">
        <f t="shared" si="1"/>
        <v>301</v>
      </c>
      <c r="I58" s="247">
        <f t="shared" si="2"/>
        <v>3</v>
      </c>
    </row>
    <row r="59" spans="1:9" ht="14.4">
      <c r="A59" s="283" t="s">
        <v>40</v>
      </c>
      <c r="B59" s="247">
        <v>7</v>
      </c>
      <c r="C59" s="250" t="str">
        <f t="shared" si="3"/>
        <v>2025-0057</v>
      </c>
      <c r="D59" s="304">
        <v>45719</v>
      </c>
      <c r="E59" s="246" t="s">
        <v>33</v>
      </c>
      <c r="F59" s="247">
        <v>100</v>
      </c>
      <c r="G59" s="52" t="str">
        <f t="shared" si="0"/>
        <v>Ream</v>
      </c>
      <c r="H59" s="52">
        <f t="shared" si="1"/>
        <v>0</v>
      </c>
      <c r="I59" s="247">
        <f t="shared" si="2"/>
        <v>3</v>
      </c>
    </row>
    <row r="60" spans="1:9" ht="14.4">
      <c r="A60" s="283" t="s">
        <v>40</v>
      </c>
      <c r="B60" s="247">
        <v>8</v>
      </c>
      <c r="C60" s="250" t="str">
        <f t="shared" si="3"/>
        <v>2025-0058</v>
      </c>
      <c r="D60" s="304">
        <v>45719</v>
      </c>
      <c r="E60" s="246" t="s">
        <v>34</v>
      </c>
      <c r="F60" s="247">
        <v>100</v>
      </c>
      <c r="G60" s="52" t="str">
        <f t="shared" si="0"/>
        <v>Ream</v>
      </c>
      <c r="H60" s="52">
        <f t="shared" si="1"/>
        <v>0</v>
      </c>
      <c r="I60" s="247">
        <f t="shared" si="2"/>
        <v>3</v>
      </c>
    </row>
    <row r="61" spans="1:9" ht="14.4">
      <c r="A61" s="283" t="s">
        <v>40</v>
      </c>
      <c r="B61" s="247">
        <v>9</v>
      </c>
      <c r="C61" s="250" t="str">
        <f t="shared" si="3"/>
        <v>2025-0059</v>
      </c>
      <c r="D61" s="304">
        <v>45719</v>
      </c>
      <c r="E61" s="246" t="s">
        <v>36</v>
      </c>
      <c r="F61" s="247">
        <v>100</v>
      </c>
      <c r="G61" s="52" t="str">
        <f t="shared" si="0"/>
        <v>Ream</v>
      </c>
      <c r="H61" s="52">
        <f t="shared" si="1"/>
        <v>0</v>
      </c>
      <c r="I61" s="247">
        <f t="shared" si="2"/>
        <v>3</v>
      </c>
    </row>
    <row r="62" spans="1:9" ht="14.4">
      <c r="A62" s="283" t="s">
        <v>40</v>
      </c>
      <c r="B62" s="247">
        <v>10</v>
      </c>
      <c r="C62" s="250" t="str">
        <f t="shared" si="3"/>
        <v>2025-00510</v>
      </c>
      <c r="D62" s="304">
        <v>45719</v>
      </c>
      <c r="E62" s="246" t="s">
        <v>37</v>
      </c>
      <c r="F62" s="247">
        <v>100</v>
      </c>
      <c r="G62" s="52" t="str">
        <f t="shared" si="0"/>
        <v>Piece</v>
      </c>
      <c r="H62" s="52">
        <f t="shared" si="1"/>
        <v>0</v>
      </c>
      <c r="I62" s="247">
        <f t="shared" si="2"/>
        <v>3</v>
      </c>
    </row>
    <row r="63" spans="1:9" ht="14.4">
      <c r="A63" s="283" t="s">
        <v>40</v>
      </c>
      <c r="B63" s="247">
        <v>11</v>
      </c>
      <c r="C63" s="250" t="str">
        <f t="shared" si="3"/>
        <v>2025-00511</v>
      </c>
      <c r="D63" s="304">
        <v>45719</v>
      </c>
      <c r="E63" s="246" t="s">
        <v>38</v>
      </c>
      <c r="F63" s="247">
        <v>100</v>
      </c>
      <c r="G63" s="52" t="str">
        <f t="shared" si="0"/>
        <v>Ream</v>
      </c>
      <c r="H63" s="52">
        <f t="shared" si="1"/>
        <v>2521</v>
      </c>
      <c r="I63" s="247">
        <f t="shared" si="2"/>
        <v>3</v>
      </c>
    </row>
    <row r="64" spans="1:9" ht="14.4">
      <c r="A64" s="283" t="s">
        <v>40</v>
      </c>
      <c r="B64" s="247">
        <v>12</v>
      </c>
      <c r="C64" s="250" t="str">
        <f t="shared" si="3"/>
        <v>2025-00512</v>
      </c>
      <c r="D64" s="304">
        <v>45719</v>
      </c>
      <c r="E64" s="246" t="s">
        <v>39</v>
      </c>
      <c r="F64" s="247">
        <v>100</v>
      </c>
      <c r="G64" s="52" t="str">
        <f t="shared" si="0"/>
        <v>Ream</v>
      </c>
      <c r="H64" s="52">
        <f t="shared" si="1"/>
        <v>2576</v>
      </c>
      <c r="I64" s="247">
        <f t="shared" si="2"/>
        <v>3</v>
      </c>
    </row>
    <row r="65" spans="1:9" ht="14.4">
      <c r="A65" s="283" t="s">
        <v>40</v>
      </c>
      <c r="B65" s="247">
        <v>13</v>
      </c>
      <c r="C65" s="250" t="str">
        <f t="shared" si="3"/>
        <v>2025-00513</v>
      </c>
      <c r="D65" s="304">
        <v>45719</v>
      </c>
      <c r="E65" s="246" t="s">
        <v>13</v>
      </c>
      <c r="F65" s="247">
        <v>50</v>
      </c>
      <c r="G65" s="52" t="str">
        <f t="shared" si="0"/>
        <v>C</v>
      </c>
      <c r="H65" s="52">
        <f t="shared" si="1"/>
        <v>330</v>
      </c>
      <c r="I65" s="247">
        <f t="shared" si="2"/>
        <v>3</v>
      </c>
    </row>
    <row r="66" spans="1:9" ht="14.4">
      <c r="A66" s="283" t="s">
        <v>41</v>
      </c>
      <c r="B66" s="247">
        <v>1</v>
      </c>
      <c r="C66" s="250" t="str">
        <f t="shared" si="3"/>
        <v>2025-0061</v>
      </c>
      <c r="D66" s="245">
        <v>45730</v>
      </c>
      <c r="E66" s="246" t="s">
        <v>12</v>
      </c>
      <c r="F66" s="247">
        <v>100</v>
      </c>
      <c r="G66" s="52" t="str">
        <f t="shared" ref="G66:G129" si="4">IFERROR(VLOOKUP(E66,SUPPLY2,3,0),"-")</f>
        <v>Ream</v>
      </c>
      <c r="H66" s="52">
        <f t="shared" ref="H66:H82" si="5">IFERROR(VLOOKUP(E66,SUPPLY2,4,0),"-")</f>
        <v>2067</v>
      </c>
      <c r="I66" s="247">
        <f t="shared" ref="I66:I129" si="6">IFERROR(VLOOKUP(D66,YEAR2023,2,0),"-")</f>
        <v>3</v>
      </c>
    </row>
    <row r="67" spans="1:9" ht="14.4">
      <c r="A67" s="283" t="s">
        <v>41</v>
      </c>
      <c r="B67" s="247">
        <v>2</v>
      </c>
      <c r="C67" s="250" t="str">
        <f t="shared" ref="C67:C119" si="7">CONCATENATE(A67,B67)</f>
        <v>2025-0062</v>
      </c>
      <c r="D67" s="245">
        <v>45730</v>
      </c>
      <c r="E67" s="246" t="s">
        <v>10</v>
      </c>
      <c r="F67" s="247">
        <v>100</v>
      </c>
      <c r="G67" s="52" t="str">
        <f t="shared" si="4"/>
        <v>Ream</v>
      </c>
      <c r="H67" s="52">
        <f t="shared" si="5"/>
        <v>2276</v>
      </c>
      <c r="I67" s="247">
        <f t="shared" si="6"/>
        <v>3</v>
      </c>
    </row>
    <row r="68" spans="1:9" ht="14.4">
      <c r="A68" s="283" t="s">
        <v>41</v>
      </c>
      <c r="B68" s="247">
        <v>3</v>
      </c>
      <c r="C68" s="250" t="str">
        <f t="shared" si="7"/>
        <v>2025-0063</v>
      </c>
      <c r="D68" s="245">
        <v>45730</v>
      </c>
      <c r="E68" s="246" t="s">
        <v>29</v>
      </c>
      <c r="F68" s="247">
        <v>50</v>
      </c>
      <c r="G68" s="52" t="str">
        <f t="shared" si="4"/>
        <v>Gallon</v>
      </c>
      <c r="H68" s="52">
        <f t="shared" si="5"/>
        <v>2617</v>
      </c>
      <c r="I68" s="247">
        <f t="shared" si="6"/>
        <v>3</v>
      </c>
    </row>
    <row r="69" spans="1:9" ht="14.4">
      <c r="A69" s="283" t="s">
        <v>41</v>
      </c>
      <c r="B69" s="247">
        <v>4</v>
      </c>
      <c r="C69" s="250" t="str">
        <f t="shared" si="7"/>
        <v>2025-0064</v>
      </c>
      <c r="D69" s="245">
        <v>45730</v>
      </c>
      <c r="E69" s="246" t="s">
        <v>14</v>
      </c>
      <c r="F69" s="247">
        <v>50</v>
      </c>
      <c r="G69" s="52" t="str">
        <f t="shared" si="4"/>
        <v>C</v>
      </c>
      <c r="H69" s="52">
        <f t="shared" si="5"/>
        <v>46</v>
      </c>
      <c r="I69" s="247">
        <f t="shared" si="6"/>
        <v>3</v>
      </c>
    </row>
    <row r="70" spans="1:9" ht="14.4">
      <c r="A70" s="283" t="s">
        <v>41</v>
      </c>
      <c r="B70" s="247">
        <v>5</v>
      </c>
      <c r="C70" s="250" t="str">
        <f t="shared" si="7"/>
        <v>2025-0065</v>
      </c>
      <c r="D70" s="245">
        <v>45730</v>
      </c>
      <c r="E70" s="246" t="s">
        <v>34</v>
      </c>
      <c r="F70" s="247">
        <v>50</v>
      </c>
      <c r="G70" s="52" t="str">
        <f t="shared" si="4"/>
        <v>Ream</v>
      </c>
      <c r="H70" s="52">
        <f t="shared" si="5"/>
        <v>0</v>
      </c>
      <c r="I70" s="247">
        <f t="shared" si="6"/>
        <v>3</v>
      </c>
    </row>
    <row r="71" spans="1:9" ht="14.4">
      <c r="A71" s="283" t="s">
        <v>41</v>
      </c>
      <c r="B71" s="247">
        <v>6</v>
      </c>
      <c r="C71" s="250" t="str">
        <f t="shared" si="7"/>
        <v>2025-0066</v>
      </c>
      <c r="D71" s="245">
        <v>45730</v>
      </c>
      <c r="E71" s="246" t="s">
        <v>36</v>
      </c>
      <c r="F71" s="247">
        <v>50</v>
      </c>
      <c r="G71" s="52" t="str">
        <f t="shared" si="4"/>
        <v>Ream</v>
      </c>
      <c r="H71" s="52">
        <f t="shared" si="5"/>
        <v>0</v>
      </c>
      <c r="I71" s="247">
        <f t="shared" si="6"/>
        <v>3</v>
      </c>
    </row>
    <row r="72" spans="1:9" ht="14.4">
      <c r="A72" s="283" t="s">
        <v>41</v>
      </c>
      <c r="B72" s="247">
        <v>7</v>
      </c>
      <c r="C72" s="250" t="str">
        <f t="shared" si="7"/>
        <v>2025-0067</v>
      </c>
      <c r="D72" s="245">
        <v>45730</v>
      </c>
      <c r="E72" s="246" t="s">
        <v>38</v>
      </c>
      <c r="F72" s="247">
        <v>50</v>
      </c>
      <c r="G72" s="52" t="str">
        <f t="shared" si="4"/>
        <v>Ream</v>
      </c>
      <c r="H72" s="52">
        <f t="shared" si="5"/>
        <v>2521</v>
      </c>
      <c r="I72" s="247">
        <f t="shared" si="6"/>
        <v>3</v>
      </c>
    </row>
    <row r="73" spans="1:9" ht="14.4">
      <c r="A73" s="283" t="s">
        <v>41</v>
      </c>
      <c r="B73" s="247">
        <v>8</v>
      </c>
      <c r="C73" s="250" t="str">
        <f t="shared" si="7"/>
        <v>2025-0068</v>
      </c>
      <c r="D73" s="245">
        <v>45730</v>
      </c>
      <c r="E73" s="246" t="s">
        <v>39</v>
      </c>
      <c r="F73" s="247">
        <v>50</v>
      </c>
      <c r="G73" s="52" t="str">
        <f t="shared" si="4"/>
        <v>Ream</v>
      </c>
      <c r="H73" s="52">
        <f t="shared" si="5"/>
        <v>2576</v>
      </c>
      <c r="I73" s="247">
        <f t="shared" si="6"/>
        <v>3</v>
      </c>
    </row>
    <row r="74" spans="1:9" ht="14.4">
      <c r="A74" s="283" t="s">
        <v>41</v>
      </c>
      <c r="B74" s="247">
        <v>9</v>
      </c>
      <c r="C74" s="250" t="str">
        <f t="shared" si="7"/>
        <v>2025-0069</v>
      </c>
      <c r="D74" s="245">
        <v>45730</v>
      </c>
      <c r="E74" s="246" t="s">
        <v>13</v>
      </c>
      <c r="F74" s="247">
        <v>50</v>
      </c>
      <c r="G74" s="52" t="str">
        <f t="shared" si="4"/>
        <v>C</v>
      </c>
      <c r="H74" s="52">
        <f t="shared" si="5"/>
        <v>330</v>
      </c>
      <c r="I74" s="247">
        <f t="shared" si="6"/>
        <v>3</v>
      </c>
    </row>
    <row r="75" spans="1:9" ht="14.4">
      <c r="A75" s="283" t="s">
        <v>41</v>
      </c>
      <c r="B75" s="247">
        <v>10</v>
      </c>
      <c r="C75" s="250" t="str">
        <f t="shared" si="7"/>
        <v>2025-00610</v>
      </c>
      <c r="D75" s="245">
        <v>45730</v>
      </c>
      <c r="E75" s="246" t="s">
        <v>21</v>
      </c>
      <c r="F75" s="247">
        <v>100</v>
      </c>
      <c r="G75" s="52" t="str">
        <f t="shared" si="4"/>
        <v>Roll</v>
      </c>
      <c r="H75" s="52">
        <f t="shared" si="5"/>
        <v>2537</v>
      </c>
      <c r="I75" s="247">
        <f t="shared" si="6"/>
        <v>3</v>
      </c>
    </row>
    <row r="76" spans="1:9" ht="14.4">
      <c r="A76" s="283" t="s">
        <v>41</v>
      </c>
      <c r="B76" s="247">
        <v>11</v>
      </c>
      <c r="C76" s="250" t="str">
        <f t="shared" si="7"/>
        <v>2025-00611</v>
      </c>
      <c r="D76" s="245">
        <v>45730</v>
      </c>
      <c r="E76" s="246" t="s">
        <v>33</v>
      </c>
      <c r="F76" s="247">
        <v>100</v>
      </c>
      <c r="G76" s="52" t="str">
        <f t="shared" si="4"/>
        <v>Ream</v>
      </c>
      <c r="H76" s="52">
        <f t="shared" si="5"/>
        <v>0</v>
      </c>
      <c r="I76" s="247">
        <f t="shared" si="6"/>
        <v>3</v>
      </c>
    </row>
    <row r="77" spans="1:9" ht="14.4">
      <c r="A77" s="283" t="s">
        <v>41</v>
      </c>
      <c r="B77" s="247">
        <v>12</v>
      </c>
      <c r="C77" s="250" t="str">
        <f t="shared" si="7"/>
        <v>2025-00612</v>
      </c>
      <c r="D77" s="245">
        <v>45730</v>
      </c>
      <c r="E77" s="246" t="s">
        <v>37</v>
      </c>
      <c r="F77" s="247">
        <v>50</v>
      </c>
      <c r="G77" s="52" t="str">
        <f t="shared" si="4"/>
        <v>Piece</v>
      </c>
      <c r="H77" s="52">
        <f t="shared" si="5"/>
        <v>0</v>
      </c>
      <c r="I77" s="247">
        <f t="shared" si="6"/>
        <v>3</v>
      </c>
    </row>
    <row r="78" spans="1:9" ht="15" customHeight="1">
      <c r="A78" s="283" t="s">
        <v>41</v>
      </c>
      <c r="B78" s="247">
        <v>13</v>
      </c>
      <c r="C78" s="250" t="str">
        <f t="shared" si="7"/>
        <v>2025-00613</v>
      </c>
      <c r="D78" s="245">
        <v>45730</v>
      </c>
      <c r="E78" s="246" t="s">
        <v>26</v>
      </c>
      <c r="F78" s="247">
        <v>10</v>
      </c>
      <c r="G78" s="52" t="str">
        <f t="shared" si="4"/>
        <v>Box</v>
      </c>
      <c r="H78" s="52">
        <f t="shared" si="5"/>
        <v>307</v>
      </c>
      <c r="I78" s="247">
        <f t="shared" si="6"/>
        <v>3</v>
      </c>
    </row>
    <row r="79" spans="1:9" ht="14.4">
      <c r="A79" s="283" t="s">
        <v>41</v>
      </c>
      <c r="B79" s="247">
        <v>14</v>
      </c>
      <c r="C79" s="250" t="str">
        <f t="shared" si="7"/>
        <v>2025-00614</v>
      </c>
      <c r="D79" s="245">
        <v>45730</v>
      </c>
      <c r="E79" s="246" t="s">
        <v>19</v>
      </c>
      <c r="F79" s="247">
        <v>100</v>
      </c>
      <c r="G79" s="52" t="str">
        <f t="shared" si="4"/>
        <v>Roll</v>
      </c>
      <c r="H79" s="52">
        <f t="shared" si="5"/>
        <v>300</v>
      </c>
      <c r="I79" s="247">
        <f t="shared" si="6"/>
        <v>3</v>
      </c>
    </row>
    <row r="80" spans="1:9" ht="15" customHeight="1">
      <c r="A80" s="283" t="s">
        <v>41</v>
      </c>
      <c r="B80" s="247">
        <v>15</v>
      </c>
      <c r="C80" s="250" t="str">
        <f t="shared" si="7"/>
        <v>2025-00615</v>
      </c>
      <c r="D80" s="245">
        <v>45730</v>
      </c>
      <c r="E80" s="246" t="s">
        <v>23</v>
      </c>
      <c r="F80" s="247">
        <v>100</v>
      </c>
      <c r="G80" s="52" t="str">
        <f t="shared" si="4"/>
        <v>Piece</v>
      </c>
      <c r="H80" s="52">
        <f t="shared" si="5"/>
        <v>0</v>
      </c>
      <c r="I80" s="247">
        <f t="shared" si="6"/>
        <v>3</v>
      </c>
    </row>
    <row r="81" spans="1:9" ht="15" customHeight="1">
      <c r="A81" s="283" t="s">
        <v>41</v>
      </c>
      <c r="B81" s="247">
        <v>16</v>
      </c>
      <c r="C81" s="250" t="str">
        <f t="shared" si="7"/>
        <v>2025-00616</v>
      </c>
      <c r="D81" s="245">
        <v>45730</v>
      </c>
      <c r="E81" s="246" t="s">
        <v>17</v>
      </c>
      <c r="F81" s="247">
        <v>10</v>
      </c>
      <c r="G81" s="52" t="str">
        <f t="shared" si="4"/>
        <v>Piece</v>
      </c>
      <c r="H81" s="52">
        <f t="shared" si="5"/>
        <v>336</v>
      </c>
      <c r="I81" s="247">
        <f t="shared" si="6"/>
        <v>3</v>
      </c>
    </row>
    <row r="82" spans="1:9" ht="15" customHeight="1">
      <c r="A82" s="283" t="s">
        <v>41</v>
      </c>
      <c r="B82" s="247">
        <v>17</v>
      </c>
      <c r="C82" s="250" t="str">
        <f t="shared" si="7"/>
        <v>2025-00617</v>
      </c>
      <c r="D82" s="245">
        <v>45730</v>
      </c>
      <c r="E82" s="246" t="s">
        <v>18</v>
      </c>
      <c r="F82" s="247">
        <v>100</v>
      </c>
      <c r="G82" s="52" t="str">
        <f t="shared" si="4"/>
        <v>Piece</v>
      </c>
      <c r="H82" s="52">
        <f t="shared" si="5"/>
        <v>337</v>
      </c>
      <c r="I82" s="247">
        <f t="shared" si="6"/>
        <v>3</v>
      </c>
    </row>
    <row r="83" spans="1:9" ht="15" customHeight="1">
      <c r="A83" s="283" t="s">
        <v>42</v>
      </c>
      <c r="B83" s="247">
        <v>1</v>
      </c>
      <c r="C83" s="250" t="str">
        <f t="shared" si="7"/>
        <v>2025-0071</v>
      </c>
      <c r="D83" s="245">
        <v>45741</v>
      </c>
      <c r="E83" s="246" t="s">
        <v>10</v>
      </c>
      <c r="F83" s="247">
        <v>100</v>
      </c>
      <c r="G83" s="52" t="str">
        <f t="shared" si="4"/>
        <v>Ream</v>
      </c>
      <c r="I83" s="247">
        <f t="shared" si="6"/>
        <v>3</v>
      </c>
    </row>
    <row r="84" spans="1:9" ht="15" customHeight="1">
      <c r="A84" s="283" t="s">
        <v>42</v>
      </c>
      <c r="B84" s="247">
        <v>2</v>
      </c>
      <c r="C84" s="250" t="str">
        <f t="shared" si="7"/>
        <v>2025-0072</v>
      </c>
      <c r="D84" s="245">
        <v>45741</v>
      </c>
      <c r="E84" s="246" t="s">
        <v>12</v>
      </c>
      <c r="F84" s="247">
        <v>100</v>
      </c>
      <c r="G84" s="52" t="str">
        <f t="shared" si="4"/>
        <v>Ream</v>
      </c>
      <c r="H84" s="52">
        <f t="shared" ref="H84:H115" si="8">IFERROR(VLOOKUP(E84,SUPPLY2,4,0),"-")</f>
        <v>2067</v>
      </c>
      <c r="I84" s="247">
        <f t="shared" si="6"/>
        <v>3</v>
      </c>
    </row>
    <row r="85" spans="1:9" ht="15" customHeight="1">
      <c r="A85" s="283" t="s">
        <v>42</v>
      </c>
      <c r="B85" s="247">
        <v>3</v>
      </c>
      <c r="C85" s="250" t="str">
        <f t="shared" si="7"/>
        <v>2025-0073</v>
      </c>
      <c r="D85" s="245">
        <v>45741</v>
      </c>
      <c r="E85" s="246" t="s">
        <v>33</v>
      </c>
      <c r="F85" s="247">
        <v>20</v>
      </c>
      <c r="G85" s="52" t="str">
        <f t="shared" si="4"/>
        <v>Ream</v>
      </c>
      <c r="H85" s="52">
        <f t="shared" si="8"/>
        <v>0</v>
      </c>
      <c r="I85" s="247">
        <f t="shared" si="6"/>
        <v>3</v>
      </c>
    </row>
    <row r="86" spans="1:9" ht="15" customHeight="1">
      <c r="A86" s="283" t="s">
        <v>42</v>
      </c>
      <c r="B86" s="247">
        <v>4</v>
      </c>
      <c r="C86" s="250" t="str">
        <f t="shared" si="7"/>
        <v>2025-0074</v>
      </c>
      <c r="D86" s="245">
        <v>45741</v>
      </c>
      <c r="E86" s="246" t="s">
        <v>29</v>
      </c>
      <c r="F86" s="247">
        <v>30</v>
      </c>
      <c r="G86" s="52" t="str">
        <f t="shared" si="4"/>
        <v>Gallon</v>
      </c>
      <c r="H86" s="52">
        <f t="shared" si="8"/>
        <v>2617</v>
      </c>
      <c r="I86" s="247">
        <f t="shared" si="6"/>
        <v>3</v>
      </c>
    </row>
    <row r="87" spans="1:9" ht="15" customHeight="1">
      <c r="A87" s="283" t="s">
        <v>42</v>
      </c>
      <c r="B87" s="247">
        <v>5</v>
      </c>
      <c r="C87" s="250" t="str">
        <f t="shared" si="7"/>
        <v>2025-0075</v>
      </c>
      <c r="D87" s="245">
        <v>45741</v>
      </c>
      <c r="E87" s="246" t="s">
        <v>18</v>
      </c>
      <c r="F87" s="247">
        <v>100</v>
      </c>
      <c r="G87" s="52" t="str">
        <f t="shared" si="4"/>
        <v>Piece</v>
      </c>
      <c r="H87" s="52">
        <f t="shared" si="8"/>
        <v>337</v>
      </c>
      <c r="I87" s="247">
        <f t="shared" si="6"/>
        <v>3</v>
      </c>
    </row>
    <row r="88" spans="1:9" ht="15" customHeight="1">
      <c r="A88" s="283" t="s">
        <v>42</v>
      </c>
      <c r="B88" s="247">
        <v>6</v>
      </c>
      <c r="C88" s="250" t="str">
        <f t="shared" si="7"/>
        <v>2025-0076</v>
      </c>
      <c r="D88" s="245">
        <v>45741</v>
      </c>
      <c r="E88" s="246" t="s">
        <v>13</v>
      </c>
      <c r="F88" s="247">
        <v>50</v>
      </c>
      <c r="G88" s="52" t="str">
        <f t="shared" si="4"/>
        <v>C</v>
      </c>
      <c r="H88" s="52">
        <f t="shared" si="8"/>
        <v>330</v>
      </c>
      <c r="I88" s="247">
        <f t="shared" si="6"/>
        <v>3</v>
      </c>
    </row>
    <row r="89" spans="1:9" ht="15" customHeight="1">
      <c r="A89" s="283" t="s">
        <v>42</v>
      </c>
      <c r="B89" s="247">
        <v>7</v>
      </c>
      <c r="C89" s="250" t="str">
        <f t="shared" si="7"/>
        <v>2025-0077</v>
      </c>
      <c r="D89" s="245">
        <v>45741</v>
      </c>
      <c r="E89" s="246" t="s">
        <v>15</v>
      </c>
      <c r="F89" s="247">
        <v>100</v>
      </c>
      <c r="G89" s="52" t="str">
        <f t="shared" si="4"/>
        <v>Roll</v>
      </c>
      <c r="H89" s="52">
        <f t="shared" si="8"/>
        <v>301</v>
      </c>
      <c r="I89" s="247">
        <f t="shared" si="6"/>
        <v>3</v>
      </c>
    </row>
    <row r="90" spans="1:9" ht="15" customHeight="1">
      <c r="A90" s="283" t="s">
        <v>42</v>
      </c>
      <c r="B90" s="247">
        <v>8</v>
      </c>
      <c r="C90" s="250" t="str">
        <f t="shared" si="7"/>
        <v>2025-0078</v>
      </c>
      <c r="D90" s="245">
        <v>45741</v>
      </c>
      <c r="E90" s="246" t="s">
        <v>21</v>
      </c>
      <c r="F90" s="247">
        <v>100</v>
      </c>
      <c r="G90" s="52" t="str">
        <f t="shared" si="4"/>
        <v>Roll</v>
      </c>
      <c r="H90" s="52">
        <f t="shared" si="8"/>
        <v>2537</v>
      </c>
      <c r="I90" s="247">
        <f t="shared" si="6"/>
        <v>3</v>
      </c>
    </row>
    <row r="91" spans="1:9" ht="15" customHeight="1">
      <c r="A91" s="283" t="s">
        <v>42</v>
      </c>
      <c r="B91" s="247">
        <v>9</v>
      </c>
      <c r="C91" s="250" t="str">
        <f t="shared" si="7"/>
        <v>2025-0079</v>
      </c>
      <c r="D91" s="245">
        <v>45741</v>
      </c>
      <c r="E91" s="246" t="s">
        <v>23</v>
      </c>
      <c r="F91" s="247">
        <v>20</v>
      </c>
      <c r="G91" s="52" t="str">
        <f t="shared" si="4"/>
        <v>Piece</v>
      </c>
      <c r="H91" s="52">
        <f t="shared" si="8"/>
        <v>0</v>
      </c>
      <c r="I91" s="247">
        <f t="shared" si="6"/>
        <v>3</v>
      </c>
    </row>
    <row r="92" spans="1:9" ht="15" customHeight="1">
      <c r="A92" s="283" t="s">
        <v>42</v>
      </c>
      <c r="B92" s="247">
        <v>10</v>
      </c>
      <c r="C92" s="250" t="str">
        <f t="shared" si="7"/>
        <v>2025-00710</v>
      </c>
      <c r="D92" s="245">
        <v>45741</v>
      </c>
      <c r="E92" s="246" t="s">
        <v>17</v>
      </c>
      <c r="F92" s="247">
        <v>10</v>
      </c>
      <c r="G92" s="52" t="str">
        <f t="shared" si="4"/>
        <v>Piece</v>
      </c>
      <c r="H92" s="52">
        <f t="shared" si="8"/>
        <v>336</v>
      </c>
      <c r="I92" s="247">
        <f t="shared" si="6"/>
        <v>3</v>
      </c>
    </row>
    <row r="93" spans="1:9" ht="15" customHeight="1">
      <c r="A93" s="283" t="s">
        <v>42</v>
      </c>
      <c r="B93" s="247">
        <v>11</v>
      </c>
      <c r="C93" s="250" t="str">
        <f t="shared" si="7"/>
        <v>2025-00711</v>
      </c>
      <c r="D93" s="245">
        <v>45741</v>
      </c>
      <c r="E93" s="246" t="s">
        <v>34</v>
      </c>
      <c r="F93" s="247">
        <v>20</v>
      </c>
      <c r="G93" s="52" t="str">
        <f t="shared" si="4"/>
        <v>Ream</v>
      </c>
      <c r="H93" s="52">
        <f t="shared" si="8"/>
        <v>0</v>
      </c>
      <c r="I93" s="247">
        <f t="shared" si="6"/>
        <v>3</v>
      </c>
    </row>
    <row r="94" spans="1:9" ht="15" customHeight="1">
      <c r="A94" s="283" t="s">
        <v>42</v>
      </c>
      <c r="B94" s="247">
        <v>12</v>
      </c>
      <c r="C94" s="250" t="str">
        <f t="shared" si="7"/>
        <v>2025-00712</v>
      </c>
      <c r="D94" s="245">
        <v>45741</v>
      </c>
      <c r="E94" s="246" t="s">
        <v>14</v>
      </c>
      <c r="F94" s="247">
        <v>50</v>
      </c>
      <c r="G94" s="52" t="str">
        <f t="shared" si="4"/>
        <v>C</v>
      </c>
      <c r="H94" s="52">
        <f t="shared" si="8"/>
        <v>46</v>
      </c>
      <c r="I94" s="247">
        <f t="shared" si="6"/>
        <v>3</v>
      </c>
    </row>
    <row r="95" spans="1:9" ht="15" customHeight="1">
      <c r="A95" s="283" t="s">
        <v>42</v>
      </c>
      <c r="B95" s="247">
        <v>13</v>
      </c>
      <c r="C95" s="250" t="str">
        <f t="shared" si="7"/>
        <v>2025-00713</v>
      </c>
      <c r="D95" s="245">
        <v>45741</v>
      </c>
      <c r="E95" s="246" t="s">
        <v>43</v>
      </c>
      <c r="F95" s="247">
        <v>50</v>
      </c>
      <c r="G95" s="52" t="str">
        <f t="shared" si="4"/>
        <v>Box</v>
      </c>
      <c r="H95" s="52">
        <f t="shared" si="8"/>
        <v>2552</v>
      </c>
      <c r="I95" s="247">
        <f t="shared" si="6"/>
        <v>3</v>
      </c>
    </row>
    <row r="96" spans="1:9" ht="15" customHeight="1">
      <c r="A96" s="283" t="s">
        <v>42</v>
      </c>
      <c r="B96" s="247">
        <v>14</v>
      </c>
      <c r="C96" s="250" t="str">
        <f t="shared" si="7"/>
        <v>2025-00714</v>
      </c>
      <c r="D96" s="245">
        <v>45741</v>
      </c>
      <c r="E96" s="246" t="s">
        <v>25</v>
      </c>
      <c r="F96" s="247">
        <v>50</v>
      </c>
      <c r="G96" s="52" t="str">
        <f t="shared" si="4"/>
        <v>Box</v>
      </c>
      <c r="H96" s="52">
        <f t="shared" si="8"/>
        <v>2550</v>
      </c>
      <c r="I96" s="247">
        <f t="shared" si="6"/>
        <v>3</v>
      </c>
    </row>
    <row r="97" spans="1:9" ht="15" customHeight="1">
      <c r="A97" s="283" t="s">
        <v>44</v>
      </c>
      <c r="B97" s="247">
        <v>1</v>
      </c>
      <c r="C97" s="250" t="str">
        <f t="shared" si="7"/>
        <v>2025-0081</v>
      </c>
      <c r="D97" s="245">
        <v>45757</v>
      </c>
      <c r="E97" s="246" t="s">
        <v>45</v>
      </c>
      <c r="F97" s="247">
        <v>500</v>
      </c>
      <c r="G97" s="52" t="str">
        <f t="shared" si="4"/>
        <v>-</v>
      </c>
      <c r="H97" s="52" t="str">
        <f t="shared" si="8"/>
        <v>-</v>
      </c>
      <c r="I97" s="247">
        <f t="shared" si="6"/>
        <v>4</v>
      </c>
    </row>
    <row r="98" spans="1:9" ht="15" customHeight="1">
      <c r="A98" s="283" t="s">
        <v>46</v>
      </c>
      <c r="B98" s="247">
        <v>1</v>
      </c>
      <c r="C98" s="250" t="str">
        <f t="shared" si="7"/>
        <v>2025-0091</v>
      </c>
      <c r="D98" s="245">
        <v>45757</v>
      </c>
      <c r="E98" s="246" t="s">
        <v>10</v>
      </c>
      <c r="F98" s="247">
        <v>100</v>
      </c>
      <c r="G98" s="52" t="str">
        <f t="shared" si="4"/>
        <v>Ream</v>
      </c>
      <c r="H98" s="52">
        <f t="shared" si="8"/>
        <v>2276</v>
      </c>
      <c r="I98" s="247">
        <f t="shared" si="6"/>
        <v>4</v>
      </c>
    </row>
    <row r="99" spans="1:9" ht="15" customHeight="1">
      <c r="A99" s="283" t="s">
        <v>46</v>
      </c>
      <c r="B99" s="247">
        <v>2</v>
      </c>
      <c r="C99" s="250" t="str">
        <f t="shared" si="7"/>
        <v>2025-0092</v>
      </c>
      <c r="D99" s="245">
        <v>45757</v>
      </c>
      <c r="E99" s="246" t="s">
        <v>12</v>
      </c>
      <c r="F99" s="247">
        <v>100</v>
      </c>
      <c r="G99" s="52" t="str">
        <f t="shared" si="4"/>
        <v>Ream</v>
      </c>
      <c r="H99" s="52">
        <f t="shared" si="8"/>
        <v>2067</v>
      </c>
      <c r="I99" s="247">
        <f t="shared" si="6"/>
        <v>4</v>
      </c>
    </row>
    <row r="100" spans="1:9" ht="15" customHeight="1">
      <c r="A100" s="283" t="s">
        <v>46</v>
      </c>
      <c r="B100" s="247">
        <v>3</v>
      </c>
      <c r="C100" s="250" t="str">
        <f t="shared" si="7"/>
        <v>2025-0093</v>
      </c>
      <c r="D100" s="245">
        <v>45757</v>
      </c>
      <c r="E100" s="246" t="s">
        <v>33</v>
      </c>
      <c r="F100" s="247">
        <v>20</v>
      </c>
      <c r="G100" s="52" t="str">
        <f t="shared" si="4"/>
        <v>Ream</v>
      </c>
      <c r="H100" s="52">
        <f t="shared" si="8"/>
        <v>0</v>
      </c>
      <c r="I100" s="247">
        <f t="shared" si="6"/>
        <v>4</v>
      </c>
    </row>
    <row r="101" spans="1:9" ht="15" customHeight="1">
      <c r="A101" s="283" t="s">
        <v>46</v>
      </c>
      <c r="B101" s="247">
        <v>4</v>
      </c>
      <c r="C101" s="250" t="str">
        <f t="shared" si="7"/>
        <v>2025-0094</v>
      </c>
      <c r="D101" s="245">
        <v>45757</v>
      </c>
      <c r="E101" s="246" t="s">
        <v>29</v>
      </c>
      <c r="F101" s="247">
        <v>30</v>
      </c>
      <c r="G101" s="52" t="str">
        <f t="shared" si="4"/>
        <v>Gallon</v>
      </c>
      <c r="H101" s="52">
        <f t="shared" si="8"/>
        <v>2617</v>
      </c>
      <c r="I101" s="247">
        <f t="shared" si="6"/>
        <v>4</v>
      </c>
    </row>
    <row r="102" spans="1:9" ht="15" customHeight="1">
      <c r="A102" s="283" t="s">
        <v>46</v>
      </c>
      <c r="B102" s="247">
        <v>5</v>
      </c>
      <c r="C102" s="250" t="str">
        <f t="shared" si="7"/>
        <v>2025-0095</v>
      </c>
      <c r="D102" s="245">
        <v>45757</v>
      </c>
      <c r="E102" s="246" t="s">
        <v>18</v>
      </c>
      <c r="F102" s="247">
        <v>100</v>
      </c>
      <c r="G102" s="52" t="str">
        <f t="shared" si="4"/>
        <v>Piece</v>
      </c>
      <c r="H102" s="52">
        <f t="shared" si="8"/>
        <v>337</v>
      </c>
      <c r="I102" s="247">
        <f t="shared" si="6"/>
        <v>4</v>
      </c>
    </row>
    <row r="103" spans="1:9" ht="15" customHeight="1">
      <c r="A103" s="283" t="s">
        <v>46</v>
      </c>
      <c r="B103" s="247">
        <v>6</v>
      </c>
      <c r="C103" s="250" t="str">
        <f t="shared" si="7"/>
        <v>2025-0096</v>
      </c>
      <c r="D103" s="245">
        <v>45757</v>
      </c>
      <c r="E103" s="246" t="s">
        <v>13</v>
      </c>
      <c r="F103" s="247">
        <v>50</v>
      </c>
      <c r="G103" s="52" t="str">
        <f t="shared" si="4"/>
        <v>C</v>
      </c>
      <c r="H103" s="52">
        <f t="shared" si="8"/>
        <v>330</v>
      </c>
      <c r="I103" s="247">
        <f t="shared" si="6"/>
        <v>4</v>
      </c>
    </row>
    <row r="104" spans="1:9" ht="15" customHeight="1">
      <c r="A104" s="283" t="s">
        <v>46</v>
      </c>
      <c r="B104" s="247">
        <v>7</v>
      </c>
      <c r="C104" s="250" t="str">
        <f t="shared" si="7"/>
        <v>2025-0097</v>
      </c>
      <c r="D104" s="245">
        <v>45757</v>
      </c>
      <c r="E104" s="246" t="s">
        <v>15</v>
      </c>
      <c r="F104" s="247">
        <v>100</v>
      </c>
      <c r="G104" s="52" t="str">
        <f t="shared" si="4"/>
        <v>Roll</v>
      </c>
      <c r="H104" s="52">
        <f t="shared" si="8"/>
        <v>301</v>
      </c>
      <c r="I104" s="247">
        <f t="shared" si="6"/>
        <v>4</v>
      </c>
    </row>
    <row r="105" spans="1:9" ht="15" customHeight="1">
      <c r="A105" s="283" t="s">
        <v>46</v>
      </c>
      <c r="B105" s="247">
        <v>8</v>
      </c>
      <c r="C105" s="250" t="str">
        <f t="shared" si="7"/>
        <v>2025-0098</v>
      </c>
      <c r="D105" s="245">
        <v>45757</v>
      </c>
      <c r="E105" s="246" t="s">
        <v>21</v>
      </c>
      <c r="F105" s="247">
        <v>100</v>
      </c>
      <c r="G105" s="52" t="str">
        <f t="shared" si="4"/>
        <v>Roll</v>
      </c>
      <c r="H105" s="52">
        <f t="shared" si="8"/>
        <v>2537</v>
      </c>
      <c r="I105" s="247">
        <f t="shared" si="6"/>
        <v>4</v>
      </c>
    </row>
    <row r="106" spans="1:9" ht="15" customHeight="1">
      <c r="A106" s="283" t="s">
        <v>46</v>
      </c>
      <c r="B106" s="247">
        <v>9</v>
      </c>
      <c r="C106" s="250" t="str">
        <f t="shared" si="7"/>
        <v>2025-0099</v>
      </c>
      <c r="D106" s="245">
        <v>45757</v>
      </c>
      <c r="E106" s="246" t="s">
        <v>23</v>
      </c>
      <c r="F106" s="247">
        <v>20</v>
      </c>
      <c r="G106" s="52" t="str">
        <f t="shared" si="4"/>
        <v>Piece</v>
      </c>
      <c r="H106" s="52">
        <f t="shared" si="8"/>
        <v>0</v>
      </c>
      <c r="I106" s="247">
        <f t="shared" si="6"/>
        <v>4</v>
      </c>
    </row>
    <row r="107" spans="1:9" ht="15" customHeight="1">
      <c r="A107" s="283" t="s">
        <v>46</v>
      </c>
      <c r="B107" s="247">
        <v>10</v>
      </c>
      <c r="C107" s="250" t="str">
        <f t="shared" si="7"/>
        <v>2025-00910</v>
      </c>
      <c r="D107" s="245">
        <v>45757</v>
      </c>
      <c r="E107" s="246" t="s">
        <v>17</v>
      </c>
      <c r="F107" s="247">
        <v>10</v>
      </c>
      <c r="G107" s="52" t="str">
        <f t="shared" si="4"/>
        <v>Piece</v>
      </c>
      <c r="H107" s="52">
        <f t="shared" si="8"/>
        <v>336</v>
      </c>
      <c r="I107" s="247">
        <f t="shared" si="6"/>
        <v>4</v>
      </c>
    </row>
    <row r="108" spans="1:9" ht="15" customHeight="1">
      <c r="A108" s="283" t="s">
        <v>46</v>
      </c>
      <c r="B108" s="247">
        <v>11</v>
      </c>
      <c r="C108" s="250" t="str">
        <f t="shared" si="7"/>
        <v>2025-00911</v>
      </c>
      <c r="D108" s="245">
        <v>45757</v>
      </c>
      <c r="E108" s="246" t="s">
        <v>34</v>
      </c>
      <c r="F108" s="247">
        <v>20</v>
      </c>
      <c r="G108" s="52" t="str">
        <f t="shared" si="4"/>
        <v>Ream</v>
      </c>
      <c r="H108" s="52">
        <f t="shared" si="8"/>
        <v>0</v>
      </c>
      <c r="I108" s="247">
        <f t="shared" si="6"/>
        <v>4</v>
      </c>
    </row>
    <row r="109" spans="1:9" ht="15" customHeight="1">
      <c r="A109" s="283" t="s">
        <v>46</v>
      </c>
      <c r="B109" s="247">
        <v>12</v>
      </c>
      <c r="C109" s="250" t="str">
        <f t="shared" si="7"/>
        <v>2025-00912</v>
      </c>
      <c r="D109" s="245">
        <v>45757</v>
      </c>
      <c r="E109" s="246" t="s">
        <v>14</v>
      </c>
      <c r="F109" s="247">
        <v>50</v>
      </c>
      <c r="G109" s="52" t="str">
        <f t="shared" si="4"/>
        <v>C</v>
      </c>
      <c r="H109" s="52">
        <f t="shared" si="8"/>
        <v>46</v>
      </c>
      <c r="I109" s="247">
        <f t="shared" si="6"/>
        <v>4</v>
      </c>
    </row>
    <row r="110" spans="1:9" ht="15" customHeight="1">
      <c r="A110" s="283" t="s">
        <v>46</v>
      </c>
      <c r="B110" s="247">
        <v>13</v>
      </c>
      <c r="C110" s="250" t="str">
        <f t="shared" si="7"/>
        <v>2025-00913</v>
      </c>
      <c r="D110" s="245">
        <v>45757</v>
      </c>
      <c r="E110" s="246" t="s">
        <v>43</v>
      </c>
      <c r="F110" s="247">
        <v>50</v>
      </c>
      <c r="G110" s="52" t="str">
        <f t="shared" si="4"/>
        <v>Box</v>
      </c>
      <c r="H110" s="52">
        <f t="shared" si="8"/>
        <v>2552</v>
      </c>
      <c r="I110" s="247">
        <f t="shared" si="6"/>
        <v>4</v>
      </c>
    </row>
    <row r="111" spans="1:9" ht="15" customHeight="1">
      <c r="A111" s="283" t="s">
        <v>46</v>
      </c>
      <c r="B111" s="247">
        <v>14</v>
      </c>
      <c r="C111" s="250" t="str">
        <f t="shared" si="7"/>
        <v>2025-00914</v>
      </c>
      <c r="D111" s="245">
        <v>45757</v>
      </c>
      <c r="E111" s="246" t="s">
        <v>25</v>
      </c>
      <c r="F111" s="247">
        <v>50</v>
      </c>
      <c r="G111" s="52" t="str">
        <f t="shared" si="4"/>
        <v>Box</v>
      </c>
      <c r="H111" s="52">
        <f t="shared" si="8"/>
        <v>2550</v>
      </c>
      <c r="I111" s="247">
        <f t="shared" si="6"/>
        <v>4</v>
      </c>
    </row>
    <row r="112" spans="1:9" ht="15" customHeight="1">
      <c r="A112" s="283" t="s">
        <v>46</v>
      </c>
      <c r="B112" s="247">
        <v>15</v>
      </c>
      <c r="C112" s="250" t="str">
        <f t="shared" si="7"/>
        <v>2025-00915</v>
      </c>
      <c r="D112" s="245">
        <v>45757</v>
      </c>
      <c r="E112" s="246" t="s">
        <v>37</v>
      </c>
      <c r="F112" s="247">
        <v>20</v>
      </c>
      <c r="G112" s="52" t="str">
        <f t="shared" si="4"/>
        <v>Piece</v>
      </c>
      <c r="H112" s="52">
        <f t="shared" si="8"/>
        <v>0</v>
      </c>
      <c r="I112" s="247">
        <f t="shared" si="6"/>
        <v>4</v>
      </c>
    </row>
    <row r="113" spans="1:9" ht="15" customHeight="1">
      <c r="A113" s="283" t="s">
        <v>46</v>
      </c>
      <c r="B113" s="247">
        <v>16</v>
      </c>
      <c r="C113" s="250" t="str">
        <f t="shared" si="7"/>
        <v>2025-00916</v>
      </c>
      <c r="D113" s="245">
        <v>45757</v>
      </c>
      <c r="E113" s="246" t="s">
        <v>36</v>
      </c>
      <c r="F113" s="247">
        <v>20</v>
      </c>
      <c r="G113" s="52" t="str">
        <f t="shared" si="4"/>
        <v>Ream</v>
      </c>
      <c r="H113" s="52">
        <f t="shared" si="8"/>
        <v>0</v>
      </c>
      <c r="I113" s="247">
        <f t="shared" si="6"/>
        <v>4</v>
      </c>
    </row>
    <row r="114" spans="1:9" ht="15" customHeight="1">
      <c r="A114" s="283" t="s">
        <v>47</v>
      </c>
      <c r="B114" s="247">
        <v>1</v>
      </c>
      <c r="C114" s="250" t="str">
        <f t="shared" si="7"/>
        <v>2025-0101</v>
      </c>
      <c r="D114" s="245">
        <v>45775</v>
      </c>
      <c r="E114" s="246" t="s">
        <v>13</v>
      </c>
      <c r="F114" s="247">
        <v>60</v>
      </c>
      <c r="G114" s="52" t="str">
        <f t="shared" si="4"/>
        <v>C</v>
      </c>
      <c r="H114" s="52">
        <f t="shared" si="8"/>
        <v>330</v>
      </c>
      <c r="I114" s="247">
        <f t="shared" si="6"/>
        <v>4</v>
      </c>
    </row>
    <row r="115" spans="1:9" ht="15" customHeight="1">
      <c r="A115" s="283" t="s">
        <v>48</v>
      </c>
      <c r="B115" s="247">
        <v>1</v>
      </c>
      <c r="C115" s="250" t="str">
        <f t="shared" si="7"/>
        <v>2025-0111</v>
      </c>
      <c r="D115" s="245">
        <v>45757</v>
      </c>
      <c r="E115" s="246" t="s">
        <v>45</v>
      </c>
      <c r="F115" s="247">
        <v>500</v>
      </c>
      <c r="G115" s="52" t="str">
        <f t="shared" si="4"/>
        <v>-</v>
      </c>
      <c r="H115" s="52" t="str">
        <f t="shared" si="8"/>
        <v>-</v>
      </c>
      <c r="I115" s="247">
        <f t="shared" si="6"/>
        <v>4</v>
      </c>
    </row>
    <row r="116" spans="1:9" ht="15" customHeight="1">
      <c r="A116" s="283" t="s">
        <v>49</v>
      </c>
      <c r="B116" s="247">
        <v>1</v>
      </c>
      <c r="C116" s="250" t="str">
        <f t="shared" si="7"/>
        <v>2025-0121</v>
      </c>
      <c r="D116" s="245">
        <v>45779</v>
      </c>
      <c r="E116" s="246" t="s">
        <v>10</v>
      </c>
      <c r="F116" s="247">
        <v>50</v>
      </c>
      <c r="G116" s="52" t="str">
        <f t="shared" si="4"/>
        <v>Ream</v>
      </c>
      <c r="H116" s="52">
        <f t="shared" ref="H116:H152" si="9">IFERROR(VLOOKUP(E116,SUPPLY2,4,0),"-")</f>
        <v>2276</v>
      </c>
      <c r="I116" s="247">
        <f t="shared" si="6"/>
        <v>5</v>
      </c>
    </row>
    <row r="117" spans="1:9" ht="15" customHeight="1">
      <c r="A117" s="283" t="s">
        <v>49</v>
      </c>
      <c r="B117" s="247">
        <v>2</v>
      </c>
      <c r="C117" s="250" t="str">
        <f t="shared" si="7"/>
        <v>2025-0122</v>
      </c>
      <c r="D117" s="245">
        <v>45779</v>
      </c>
      <c r="E117" s="246" t="s">
        <v>12</v>
      </c>
      <c r="F117" s="247">
        <v>50</v>
      </c>
      <c r="G117" s="52" t="str">
        <f t="shared" si="4"/>
        <v>Ream</v>
      </c>
      <c r="H117" s="52">
        <f t="shared" si="9"/>
        <v>2067</v>
      </c>
      <c r="I117" s="247">
        <f t="shared" si="6"/>
        <v>5</v>
      </c>
    </row>
    <row r="118" spans="1:9" ht="15" customHeight="1">
      <c r="A118" s="283" t="s">
        <v>49</v>
      </c>
      <c r="B118" s="247">
        <v>3</v>
      </c>
      <c r="C118" s="250" t="str">
        <f t="shared" si="7"/>
        <v>2025-0123</v>
      </c>
      <c r="D118" s="245">
        <v>45779</v>
      </c>
      <c r="E118" s="246" t="s">
        <v>33</v>
      </c>
      <c r="F118" s="247">
        <v>20</v>
      </c>
      <c r="G118" s="52" t="str">
        <f t="shared" si="4"/>
        <v>Ream</v>
      </c>
      <c r="H118" s="52">
        <f t="shared" si="9"/>
        <v>0</v>
      </c>
      <c r="I118" s="247">
        <f t="shared" si="6"/>
        <v>5</v>
      </c>
    </row>
    <row r="119" spans="1:9" ht="15" customHeight="1">
      <c r="A119" s="283" t="s">
        <v>49</v>
      </c>
      <c r="B119" s="247">
        <v>4</v>
      </c>
      <c r="C119" s="250" t="str">
        <f t="shared" si="7"/>
        <v>2025-0124</v>
      </c>
      <c r="D119" s="245">
        <v>45779</v>
      </c>
      <c r="E119" s="246" t="s">
        <v>29</v>
      </c>
      <c r="F119" s="247">
        <v>30</v>
      </c>
      <c r="G119" s="52" t="str">
        <f t="shared" si="4"/>
        <v>Gallon</v>
      </c>
      <c r="H119" s="52">
        <f t="shared" si="9"/>
        <v>2617</v>
      </c>
      <c r="I119" s="247">
        <f t="shared" si="6"/>
        <v>5</v>
      </c>
    </row>
    <row r="120" spans="1:9" ht="15" customHeight="1">
      <c r="A120" s="283" t="s">
        <v>49</v>
      </c>
      <c r="B120" s="247">
        <v>5</v>
      </c>
      <c r="C120" s="250" t="str">
        <f t="shared" ref="C120:C129" si="10">CONCATENATE(A120,B120)</f>
        <v>2025-0125</v>
      </c>
      <c r="D120" s="245">
        <v>45779</v>
      </c>
      <c r="E120" s="246" t="s">
        <v>18</v>
      </c>
      <c r="F120" s="247">
        <v>100</v>
      </c>
      <c r="G120" s="52" t="str">
        <f t="shared" si="4"/>
        <v>Piece</v>
      </c>
      <c r="H120" s="52">
        <f t="shared" si="9"/>
        <v>337</v>
      </c>
      <c r="I120" s="247">
        <f t="shared" si="6"/>
        <v>5</v>
      </c>
    </row>
    <row r="121" spans="1:9" ht="15" customHeight="1">
      <c r="A121" s="283" t="s">
        <v>49</v>
      </c>
      <c r="B121" s="247">
        <v>6</v>
      </c>
      <c r="C121" s="250" t="str">
        <f t="shared" si="10"/>
        <v>2025-0126</v>
      </c>
      <c r="D121" s="245">
        <v>45779</v>
      </c>
      <c r="E121" s="246" t="s">
        <v>13</v>
      </c>
      <c r="F121" s="247">
        <v>50</v>
      </c>
      <c r="G121" s="52" t="str">
        <f t="shared" si="4"/>
        <v>C</v>
      </c>
      <c r="H121" s="52">
        <f t="shared" si="9"/>
        <v>330</v>
      </c>
      <c r="I121" s="247">
        <f t="shared" si="6"/>
        <v>5</v>
      </c>
    </row>
    <row r="122" spans="1:9" ht="15" customHeight="1">
      <c r="A122" s="283" t="s">
        <v>49</v>
      </c>
      <c r="B122" s="247">
        <v>7</v>
      </c>
      <c r="C122" s="250" t="str">
        <f t="shared" si="10"/>
        <v>2025-0127</v>
      </c>
      <c r="D122" s="245">
        <v>45779</v>
      </c>
      <c r="E122" s="246" t="s">
        <v>15</v>
      </c>
      <c r="F122" s="247">
        <v>100</v>
      </c>
      <c r="G122" s="52" t="str">
        <f t="shared" si="4"/>
        <v>Roll</v>
      </c>
      <c r="H122" s="52">
        <f t="shared" si="9"/>
        <v>301</v>
      </c>
      <c r="I122" s="247">
        <f t="shared" si="6"/>
        <v>5</v>
      </c>
    </row>
    <row r="123" spans="1:9" ht="15" customHeight="1">
      <c r="A123" s="283" t="s">
        <v>49</v>
      </c>
      <c r="B123" s="247">
        <v>8</v>
      </c>
      <c r="C123" s="250" t="str">
        <f t="shared" si="10"/>
        <v>2025-0128</v>
      </c>
      <c r="D123" s="245">
        <v>45779</v>
      </c>
      <c r="E123" s="246" t="s">
        <v>21</v>
      </c>
      <c r="F123" s="247">
        <v>100</v>
      </c>
      <c r="G123" s="52" t="str">
        <f t="shared" si="4"/>
        <v>Roll</v>
      </c>
      <c r="H123" s="52">
        <f t="shared" si="9"/>
        <v>2537</v>
      </c>
      <c r="I123" s="247">
        <f t="shared" si="6"/>
        <v>5</v>
      </c>
    </row>
    <row r="124" spans="1:9" ht="15" customHeight="1">
      <c r="A124" s="283" t="s">
        <v>49</v>
      </c>
      <c r="B124" s="247">
        <v>9</v>
      </c>
      <c r="C124" s="250" t="str">
        <f t="shared" si="10"/>
        <v>2025-0129</v>
      </c>
      <c r="D124" s="245">
        <v>45779</v>
      </c>
      <c r="E124" s="246" t="s">
        <v>23</v>
      </c>
      <c r="F124" s="247">
        <v>20</v>
      </c>
      <c r="G124" s="52" t="str">
        <f t="shared" si="4"/>
        <v>Piece</v>
      </c>
      <c r="H124" s="52">
        <f t="shared" si="9"/>
        <v>0</v>
      </c>
      <c r="I124" s="247">
        <f t="shared" si="6"/>
        <v>5</v>
      </c>
    </row>
    <row r="125" spans="1:9" ht="15" customHeight="1">
      <c r="A125" s="283" t="s">
        <v>49</v>
      </c>
      <c r="B125" s="247">
        <v>10</v>
      </c>
      <c r="C125" s="250" t="str">
        <f t="shared" si="10"/>
        <v>2025-01210</v>
      </c>
      <c r="D125" s="245">
        <v>45779</v>
      </c>
      <c r="E125" s="246" t="s">
        <v>17</v>
      </c>
      <c r="F125" s="247">
        <v>10</v>
      </c>
      <c r="G125" s="52" t="str">
        <f t="shared" si="4"/>
        <v>Piece</v>
      </c>
      <c r="H125" s="52">
        <f t="shared" si="9"/>
        <v>336</v>
      </c>
      <c r="I125" s="247">
        <f t="shared" si="6"/>
        <v>5</v>
      </c>
    </row>
    <row r="126" spans="1:9" ht="15" customHeight="1">
      <c r="A126" s="283" t="s">
        <v>49</v>
      </c>
      <c r="B126" s="247">
        <v>11</v>
      </c>
      <c r="C126" s="250" t="str">
        <f t="shared" si="10"/>
        <v>2025-01211</v>
      </c>
      <c r="D126" s="245">
        <v>45779</v>
      </c>
      <c r="E126" s="246" t="s">
        <v>34</v>
      </c>
      <c r="F126" s="247">
        <v>20</v>
      </c>
      <c r="G126" s="52" t="str">
        <f t="shared" si="4"/>
        <v>Ream</v>
      </c>
      <c r="H126" s="52">
        <f t="shared" si="9"/>
        <v>0</v>
      </c>
      <c r="I126" s="247">
        <f t="shared" si="6"/>
        <v>5</v>
      </c>
    </row>
    <row r="127" spans="1:9" ht="15" customHeight="1">
      <c r="A127" s="283" t="s">
        <v>49</v>
      </c>
      <c r="B127" s="247">
        <v>12</v>
      </c>
      <c r="C127" s="250" t="str">
        <f t="shared" si="10"/>
        <v>2025-01212</v>
      </c>
      <c r="D127" s="245">
        <v>45779</v>
      </c>
      <c r="E127" s="246" t="s">
        <v>14</v>
      </c>
      <c r="F127" s="247">
        <v>50</v>
      </c>
      <c r="G127" s="52" t="str">
        <f t="shared" si="4"/>
        <v>C</v>
      </c>
      <c r="H127" s="52">
        <f t="shared" si="9"/>
        <v>46</v>
      </c>
      <c r="I127" s="247">
        <f t="shared" si="6"/>
        <v>5</v>
      </c>
    </row>
    <row r="128" spans="1:9" ht="15" customHeight="1">
      <c r="A128" s="283" t="s">
        <v>49</v>
      </c>
      <c r="B128" s="247">
        <v>13</v>
      </c>
      <c r="C128" s="250" t="str">
        <f t="shared" si="10"/>
        <v>2025-01213</v>
      </c>
      <c r="D128" s="245">
        <v>45779</v>
      </c>
      <c r="E128" s="246" t="s">
        <v>43</v>
      </c>
      <c r="F128" s="247">
        <v>50</v>
      </c>
      <c r="G128" s="52" t="str">
        <f t="shared" si="4"/>
        <v>Box</v>
      </c>
      <c r="H128" s="52">
        <f t="shared" si="9"/>
        <v>2552</v>
      </c>
      <c r="I128" s="247">
        <f t="shared" si="6"/>
        <v>5</v>
      </c>
    </row>
    <row r="129" spans="1:9" ht="15" customHeight="1">
      <c r="A129" s="283" t="s">
        <v>49</v>
      </c>
      <c r="B129" s="247">
        <v>14</v>
      </c>
      <c r="C129" s="250" t="str">
        <f t="shared" si="10"/>
        <v>2025-01214</v>
      </c>
      <c r="D129" s="245">
        <v>45779</v>
      </c>
      <c r="E129" s="246" t="s">
        <v>25</v>
      </c>
      <c r="F129" s="247">
        <v>50</v>
      </c>
      <c r="G129" s="52" t="str">
        <f t="shared" si="4"/>
        <v>Box</v>
      </c>
      <c r="H129" s="52">
        <f t="shared" si="9"/>
        <v>2550</v>
      </c>
      <c r="I129" s="247">
        <f t="shared" si="6"/>
        <v>5</v>
      </c>
    </row>
    <row r="130" spans="1:9" ht="15" customHeight="1">
      <c r="A130" s="283" t="s">
        <v>49</v>
      </c>
      <c r="B130" s="247">
        <v>15</v>
      </c>
      <c r="C130" s="250" t="str">
        <f t="shared" ref="C130:C132" si="11">CONCATENATE(A130,B130)</f>
        <v>2025-01215</v>
      </c>
      <c r="D130" s="245">
        <v>45779</v>
      </c>
      <c r="E130" s="246" t="s">
        <v>37</v>
      </c>
      <c r="F130" s="247">
        <v>20</v>
      </c>
      <c r="G130" s="52" t="str">
        <f t="shared" ref="G130:G131" si="12">IFERROR(VLOOKUP(E130,SUPPLY2,3,0),"-")</f>
        <v>Piece</v>
      </c>
      <c r="H130" s="52">
        <f t="shared" si="9"/>
        <v>0</v>
      </c>
      <c r="I130" s="247">
        <f t="shared" ref="I130:I193" si="13">IFERROR(VLOOKUP(D130,YEAR2023,2,0),"-")</f>
        <v>5</v>
      </c>
    </row>
    <row r="131" spans="1:9" ht="15" customHeight="1">
      <c r="A131" s="283" t="s">
        <v>49</v>
      </c>
      <c r="B131" s="247">
        <v>16</v>
      </c>
      <c r="C131" s="250" t="str">
        <f t="shared" si="11"/>
        <v>2025-01216</v>
      </c>
      <c r="D131" s="245">
        <v>45779</v>
      </c>
      <c r="E131" s="246" t="s">
        <v>36</v>
      </c>
      <c r="F131" s="247">
        <v>20</v>
      </c>
      <c r="G131" s="52" t="str">
        <f t="shared" si="12"/>
        <v>Ream</v>
      </c>
      <c r="H131" s="52">
        <f t="shared" si="9"/>
        <v>0</v>
      </c>
      <c r="I131" s="247">
        <f t="shared" si="13"/>
        <v>5</v>
      </c>
    </row>
    <row r="132" spans="1:9" ht="15" customHeight="1">
      <c r="A132" s="283" t="s">
        <v>50</v>
      </c>
      <c r="B132" s="247">
        <v>1</v>
      </c>
      <c r="C132" s="250" t="str">
        <f t="shared" si="11"/>
        <v>2025-0131</v>
      </c>
      <c r="D132" s="245">
        <v>45784</v>
      </c>
      <c r="E132" s="246" t="s">
        <v>38</v>
      </c>
      <c r="F132" s="247">
        <v>50</v>
      </c>
      <c r="H132" s="52">
        <f t="shared" si="9"/>
        <v>2521</v>
      </c>
      <c r="I132" s="247">
        <f t="shared" si="13"/>
        <v>5</v>
      </c>
    </row>
    <row r="133" spans="1:9" ht="15" customHeight="1">
      <c r="A133" s="283" t="s">
        <v>50</v>
      </c>
      <c r="B133" s="247">
        <v>2</v>
      </c>
      <c r="C133" s="250" t="str">
        <f t="shared" ref="C133:C137" si="14">CONCATENATE(A133,B133)</f>
        <v>2025-0132</v>
      </c>
      <c r="D133" s="245">
        <v>45784</v>
      </c>
      <c r="E133" s="246" t="s">
        <v>51</v>
      </c>
      <c r="F133" s="247">
        <v>50</v>
      </c>
      <c r="G133" s="52" t="str">
        <f t="shared" ref="G133:G152" si="15">IFERROR(VLOOKUP(E133,SUPPLY2,3,0),"-")</f>
        <v>PCS</v>
      </c>
      <c r="H133" s="52">
        <f t="shared" si="9"/>
        <v>2521</v>
      </c>
      <c r="I133" s="247">
        <f t="shared" si="13"/>
        <v>5</v>
      </c>
    </row>
    <row r="134" spans="1:9" ht="15" customHeight="1">
      <c r="A134" s="283" t="s">
        <v>50</v>
      </c>
      <c r="B134" s="247">
        <v>3</v>
      </c>
      <c r="C134" s="250" t="str">
        <f t="shared" si="14"/>
        <v>2025-0133</v>
      </c>
      <c r="D134" s="245">
        <v>45784</v>
      </c>
      <c r="E134" s="246" t="s">
        <v>39</v>
      </c>
      <c r="F134" s="247">
        <v>50</v>
      </c>
      <c r="G134" s="52" t="str">
        <f t="shared" si="15"/>
        <v>Ream</v>
      </c>
      <c r="H134" s="52">
        <f t="shared" si="9"/>
        <v>2576</v>
      </c>
      <c r="I134" s="247">
        <f t="shared" si="13"/>
        <v>5</v>
      </c>
    </row>
    <row r="135" spans="1:9" ht="15" customHeight="1">
      <c r="A135" s="283" t="s">
        <v>52</v>
      </c>
      <c r="B135" s="247">
        <v>1</v>
      </c>
      <c r="C135" s="250" t="str">
        <f t="shared" si="14"/>
        <v>2025-0141</v>
      </c>
      <c r="D135" s="245">
        <v>45786</v>
      </c>
      <c r="E135" s="246" t="s">
        <v>53</v>
      </c>
      <c r="F135" s="247">
        <v>100</v>
      </c>
      <c r="G135" s="52" t="str">
        <f t="shared" si="15"/>
        <v>Piece</v>
      </c>
      <c r="H135" s="52">
        <f t="shared" si="9"/>
        <v>137</v>
      </c>
      <c r="I135" s="247">
        <f t="shared" si="13"/>
        <v>5</v>
      </c>
    </row>
    <row r="136" spans="1:9" ht="15" customHeight="1">
      <c r="A136" s="283" t="s">
        <v>54</v>
      </c>
      <c r="B136" s="247">
        <v>1</v>
      </c>
      <c r="C136" s="250" t="str">
        <f t="shared" si="14"/>
        <v>2025-0151</v>
      </c>
      <c r="D136" s="245">
        <v>45793</v>
      </c>
      <c r="E136" s="246" t="s">
        <v>10</v>
      </c>
      <c r="F136" s="247">
        <v>50</v>
      </c>
      <c r="G136" s="52" t="str">
        <f t="shared" si="15"/>
        <v>Ream</v>
      </c>
      <c r="H136" s="52">
        <f t="shared" si="9"/>
        <v>2276</v>
      </c>
      <c r="I136" s="247">
        <f t="shared" si="13"/>
        <v>5</v>
      </c>
    </row>
    <row r="137" spans="1:9" ht="15" customHeight="1">
      <c r="A137" s="283" t="s">
        <v>54</v>
      </c>
      <c r="B137" s="247">
        <v>2</v>
      </c>
      <c r="C137" s="250" t="str">
        <f t="shared" si="14"/>
        <v>2025-0152</v>
      </c>
      <c r="D137" s="245">
        <v>45793</v>
      </c>
      <c r="E137" s="246" t="s">
        <v>12</v>
      </c>
      <c r="F137" s="247">
        <v>50</v>
      </c>
      <c r="G137" s="52" t="str">
        <f t="shared" si="15"/>
        <v>Ream</v>
      </c>
      <c r="H137" s="52">
        <f t="shared" si="9"/>
        <v>2067</v>
      </c>
      <c r="I137" s="247">
        <f t="shared" si="13"/>
        <v>5</v>
      </c>
    </row>
    <row r="138" spans="1:9" ht="15" customHeight="1">
      <c r="A138" s="283" t="s">
        <v>54</v>
      </c>
      <c r="B138" s="247">
        <v>3</v>
      </c>
      <c r="C138" s="250" t="str">
        <f t="shared" ref="C138:C140" si="16">CONCATENATE(A138,B138)</f>
        <v>2025-0153</v>
      </c>
      <c r="D138" s="245">
        <v>45793</v>
      </c>
      <c r="E138" s="246" t="s">
        <v>33</v>
      </c>
      <c r="F138" s="247">
        <v>20</v>
      </c>
      <c r="G138" s="52" t="str">
        <f t="shared" si="15"/>
        <v>Ream</v>
      </c>
      <c r="H138" s="52">
        <f t="shared" si="9"/>
        <v>0</v>
      </c>
      <c r="I138" s="247">
        <f t="shared" si="13"/>
        <v>5</v>
      </c>
    </row>
    <row r="139" spans="1:9" ht="15" customHeight="1">
      <c r="A139" s="283" t="s">
        <v>54</v>
      </c>
      <c r="B139" s="247">
        <v>4</v>
      </c>
      <c r="C139" s="250" t="str">
        <f t="shared" si="16"/>
        <v>2025-0154</v>
      </c>
      <c r="D139" s="245">
        <v>45793</v>
      </c>
      <c r="E139" s="246" t="s">
        <v>29</v>
      </c>
      <c r="F139" s="247">
        <v>50</v>
      </c>
      <c r="G139" s="52" t="str">
        <f t="shared" si="15"/>
        <v>Gallon</v>
      </c>
      <c r="H139" s="52">
        <f t="shared" si="9"/>
        <v>2617</v>
      </c>
      <c r="I139" s="247">
        <f t="shared" si="13"/>
        <v>5</v>
      </c>
    </row>
    <row r="140" spans="1:9" ht="15" customHeight="1">
      <c r="A140" s="283" t="s">
        <v>54</v>
      </c>
      <c r="B140" s="247">
        <v>5</v>
      </c>
      <c r="C140" s="250" t="str">
        <f t="shared" si="16"/>
        <v>2025-0155</v>
      </c>
      <c r="D140" s="245">
        <v>45793</v>
      </c>
      <c r="E140" s="246" t="s">
        <v>18</v>
      </c>
      <c r="F140" s="247">
        <v>100</v>
      </c>
      <c r="G140" s="52" t="str">
        <f t="shared" si="15"/>
        <v>Piece</v>
      </c>
      <c r="H140" s="52">
        <f t="shared" si="9"/>
        <v>337</v>
      </c>
      <c r="I140" s="247">
        <f t="shared" si="13"/>
        <v>5</v>
      </c>
    </row>
    <row r="141" spans="1:9" ht="15" customHeight="1">
      <c r="A141" s="283" t="s">
        <v>54</v>
      </c>
      <c r="B141" s="247">
        <v>6</v>
      </c>
      <c r="C141" s="250" t="str">
        <f t="shared" ref="C141:C150" si="17">CONCATENATE(A141,B141)</f>
        <v>2025-0156</v>
      </c>
      <c r="D141" s="245">
        <v>45793</v>
      </c>
      <c r="E141" s="246" t="s">
        <v>13</v>
      </c>
      <c r="F141" s="247">
        <v>50</v>
      </c>
      <c r="G141" s="52" t="str">
        <f t="shared" si="15"/>
        <v>C</v>
      </c>
      <c r="H141" s="52">
        <f t="shared" si="9"/>
        <v>330</v>
      </c>
      <c r="I141" s="247">
        <f t="shared" si="13"/>
        <v>5</v>
      </c>
    </row>
    <row r="142" spans="1:9" ht="15" customHeight="1">
      <c r="A142" s="283" t="s">
        <v>54</v>
      </c>
      <c r="B142" s="247">
        <v>7</v>
      </c>
      <c r="C142" s="250" t="str">
        <f t="shared" si="17"/>
        <v>2025-0157</v>
      </c>
      <c r="D142" s="245">
        <v>45793</v>
      </c>
      <c r="E142" s="246" t="s">
        <v>15</v>
      </c>
      <c r="F142" s="247">
        <v>50</v>
      </c>
      <c r="G142" s="52" t="str">
        <f t="shared" si="15"/>
        <v>Roll</v>
      </c>
      <c r="H142" s="52">
        <f t="shared" si="9"/>
        <v>301</v>
      </c>
      <c r="I142" s="247">
        <f t="shared" si="13"/>
        <v>5</v>
      </c>
    </row>
    <row r="143" spans="1:9" ht="15" customHeight="1">
      <c r="A143" s="283" t="s">
        <v>54</v>
      </c>
      <c r="B143" s="247">
        <v>8</v>
      </c>
      <c r="C143" s="250" t="str">
        <f t="shared" si="17"/>
        <v>2025-0158</v>
      </c>
      <c r="D143" s="245">
        <v>45793</v>
      </c>
      <c r="E143" s="246" t="s">
        <v>21</v>
      </c>
      <c r="F143" s="247">
        <v>50</v>
      </c>
      <c r="G143" s="52" t="str">
        <f t="shared" si="15"/>
        <v>Roll</v>
      </c>
      <c r="H143" s="52">
        <f t="shared" si="9"/>
        <v>2537</v>
      </c>
      <c r="I143" s="247">
        <f t="shared" si="13"/>
        <v>5</v>
      </c>
    </row>
    <row r="144" spans="1:9" ht="15" customHeight="1">
      <c r="A144" s="283" t="s">
        <v>54</v>
      </c>
      <c r="B144" s="247">
        <v>9</v>
      </c>
      <c r="C144" s="250" t="str">
        <f t="shared" si="17"/>
        <v>2025-0159</v>
      </c>
      <c r="D144" s="245">
        <v>45793</v>
      </c>
      <c r="E144" s="246" t="s">
        <v>23</v>
      </c>
      <c r="F144" s="247">
        <v>10</v>
      </c>
      <c r="G144" s="52" t="str">
        <f t="shared" si="15"/>
        <v>Piece</v>
      </c>
      <c r="H144" s="52">
        <f t="shared" si="9"/>
        <v>0</v>
      </c>
      <c r="I144" s="247">
        <f t="shared" si="13"/>
        <v>5</v>
      </c>
    </row>
    <row r="145" spans="1:9" ht="15" customHeight="1">
      <c r="A145" s="283" t="s">
        <v>54</v>
      </c>
      <c r="B145" s="247">
        <v>10</v>
      </c>
      <c r="C145" s="250" t="str">
        <f t="shared" si="17"/>
        <v>2025-01510</v>
      </c>
      <c r="D145" s="245">
        <v>45793</v>
      </c>
      <c r="E145" s="246" t="s">
        <v>17</v>
      </c>
      <c r="F145" s="247">
        <v>10</v>
      </c>
      <c r="G145" s="52" t="str">
        <f t="shared" si="15"/>
        <v>Piece</v>
      </c>
      <c r="H145" s="52">
        <f t="shared" si="9"/>
        <v>336</v>
      </c>
      <c r="I145" s="247">
        <f t="shared" si="13"/>
        <v>5</v>
      </c>
    </row>
    <row r="146" spans="1:9" ht="15" customHeight="1">
      <c r="A146" s="283" t="s">
        <v>54</v>
      </c>
      <c r="B146" s="247">
        <v>11</v>
      </c>
      <c r="C146" s="250" t="str">
        <f t="shared" si="17"/>
        <v>2025-01511</v>
      </c>
      <c r="D146" s="245">
        <v>45793</v>
      </c>
      <c r="E146" s="246" t="s">
        <v>34</v>
      </c>
      <c r="F146" s="247">
        <v>20</v>
      </c>
      <c r="G146" s="52" t="str">
        <f t="shared" si="15"/>
        <v>Ream</v>
      </c>
      <c r="H146" s="52">
        <f t="shared" si="9"/>
        <v>0</v>
      </c>
      <c r="I146" s="247">
        <f t="shared" si="13"/>
        <v>5</v>
      </c>
    </row>
    <row r="147" spans="1:9" ht="15" customHeight="1">
      <c r="A147" s="283" t="s">
        <v>54</v>
      </c>
      <c r="B147" s="247">
        <v>12</v>
      </c>
      <c r="C147" s="250" t="str">
        <f t="shared" si="17"/>
        <v>2025-01512</v>
      </c>
      <c r="D147" s="245">
        <v>45793</v>
      </c>
      <c r="E147" s="246" t="s">
        <v>14</v>
      </c>
      <c r="F147" s="247">
        <v>50</v>
      </c>
      <c r="G147" s="52" t="str">
        <f t="shared" si="15"/>
        <v>C</v>
      </c>
      <c r="H147" s="52">
        <f t="shared" si="9"/>
        <v>46</v>
      </c>
      <c r="I147" s="247">
        <f t="shared" si="13"/>
        <v>5</v>
      </c>
    </row>
    <row r="148" spans="1:9" ht="15" customHeight="1">
      <c r="A148" s="283" t="s">
        <v>54</v>
      </c>
      <c r="B148" s="247">
        <v>13</v>
      </c>
      <c r="C148" s="250" t="str">
        <f t="shared" si="17"/>
        <v>2025-01513</v>
      </c>
      <c r="D148" s="245">
        <v>45793</v>
      </c>
      <c r="E148" s="246" t="s">
        <v>37</v>
      </c>
      <c r="F148" s="247">
        <v>20</v>
      </c>
      <c r="G148" s="52" t="str">
        <f t="shared" si="15"/>
        <v>Piece</v>
      </c>
      <c r="H148" s="52">
        <f t="shared" si="9"/>
        <v>0</v>
      </c>
      <c r="I148" s="247">
        <f t="shared" si="13"/>
        <v>5</v>
      </c>
    </row>
    <row r="149" spans="1:9" ht="15" customHeight="1">
      <c r="A149" s="283" t="s">
        <v>54</v>
      </c>
      <c r="B149" s="247">
        <v>14</v>
      </c>
      <c r="C149" s="250" t="str">
        <f t="shared" si="17"/>
        <v>2025-01514</v>
      </c>
      <c r="D149" s="245">
        <v>45793</v>
      </c>
      <c r="E149" s="246" t="s">
        <v>36</v>
      </c>
      <c r="F149" s="247">
        <v>20</v>
      </c>
      <c r="G149" s="52" t="str">
        <f t="shared" si="15"/>
        <v>Ream</v>
      </c>
      <c r="H149" s="52">
        <f t="shared" si="9"/>
        <v>0</v>
      </c>
      <c r="I149" s="247">
        <f t="shared" si="13"/>
        <v>5</v>
      </c>
    </row>
    <row r="150" spans="1:9" ht="15" customHeight="1">
      <c r="A150" s="283" t="s">
        <v>54</v>
      </c>
      <c r="B150" s="247">
        <v>15</v>
      </c>
      <c r="C150" s="250" t="str">
        <f t="shared" si="17"/>
        <v>2025-01515</v>
      </c>
      <c r="D150" s="245">
        <v>45793</v>
      </c>
      <c r="E150" s="246" t="s">
        <v>38</v>
      </c>
      <c r="F150" s="247">
        <v>50</v>
      </c>
      <c r="G150" s="52" t="str">
        <f t="shared" si="15"/>
        <v>Ream</v>
      </c>
      <c r="H150" s="52">
        <f t="shared" si="9"/>
        <v>2521</v>
      </c>
      <c r="I150" s="247">
        <f t="shared" si="13"/>
        <v>5</v>
      </c>
    </row>
    <row r="151" spans="1:9" ht="15" customHeight="1">
      <c r="A151" s="283" t="s">
        <v>54</v>
      </c>
      <c r="B151" s="247">
        <v>16</v>
      </c>
      <c r="C151" s="250" t="str">
        <f t="shared" ref="C151:C152" si="18">CONCATENATE(A151,B151)</f>
        <v>2025-01516</v>
      </c>
      <c r="D151" s="245">
        <v>45793</v>
      </c>
      <c r="E151" s="246" t="s">
        <v>39</v>
      </c>
      <c r="F151" s="247">
        <v>20</v>
      </c>
      <c r="G151" s="52" t="str">
        <f t="shared" si="15"/>
        <v>Ream</v>
      </c>
      <c r="H151" s="52">
        <f t="shared" si="9"/>
        <v>2576</v>
      </c>
      <c r="I151" s="247">
        <f t="shared" si="13"/>
        <v>5</v>
      </c>
    </row>
    <row r="152" spans="1:9" ht="15" customHeight="1">
      <c r="A152" s="283" t="s">
        <v>55</v>
      </c>
      <c r="B152" s="247">
        <v>1</v>
      </c>
      <c r="C152" s="250" t="str">
        <f t="shared" si="18"/>
        <v>2025-0161</v>
      </c>
      <c r="D152" s="245">
        <v>45811</v>
      </c>
      <c r="E152" s="246" t="s">
        <v>10</v>
      </c>
      <c r="F152" s="247">
        <v>50</v>
      </c>
      <c r="G152" s="52" t="str">
        <f t="shared" si="15"/>
        <v>Ream</v>
      </c>
      <c r="H152" s="52">
        <f t="shared" si="9"/>
        <v>2276</v>
      </c>
      <c r="I152" s="247">
        <f t="shared" si="13"/>
        <v>6</v>
      </c>
    </row>
    <row r="153" spans="1:9" ht="15" customHeight="1">
      <c r="A153" s="283" t="s">
        <v>55</v>
      </c>
      <c r="B153" s="247">
        <v>2</v>
      </c>
      <c r="C153" s="250" t="str">
        <f t="shared" ref="C153:C160" si="19">CONCATENATE(A153,B153)</f>
        <v>2025-0162</v>
      </c>
      <c r="D153" s="245">
        <v>45811</v>
      </c>
      <c r="E153" s="246" t="s">
        <v>12</v>
      </c>
      <c r="F153" s="247">
        <v>50</v>
      </c>
      <c r="G153" s="52" t="str">
        <f t="shared" ref="G153:G200" si="20">IFERROR(VLOOKUP(E153,SUPPLY2,3,0),"-")</f>
        <v>Ream</v>
      </c>
      <c r="H153" s="52">
        <f t="shared" ref="H153:H200" si="21">IFERROR(VLOOKUP(E153,SUPPLY2,4,0),"-")</f>
        <v>2067</v>
      </c>
      <c r="I153" s="247">
        <f t="shared" si="13"/>
        <v>6</v>
      </c>
    </row>
    <row r="154" spans="1:9" ht="15" customHeight="1">
      <c r="A154" s="283" t="s">
        <v>55</v>
      </c>
      <c r="B154" s="247">
        <v>3</v>
      </c>
      <c r="C154" s="250" t="str">
        <f t="shared" si="19"/>
        <v>2025-0163</v>
      </c>
      <c r="D154" s="245">
        <v>45811</v>
      </c>
      <c r="E154" s="246" t="s">
        <v>33</v>
      </c>
      <c r="F154" s="247">
        <v>20</v>
      </c>
      <c r="G154" s="52" t="str">
        <f t="shared" si="20"/>
        <v>Ream</v>
      </c>
      <c r="H154" s="52">
        <f t="shared" si="21"/>
        <v>0</v>
      </c>
      <c r="I154" s="247">
        <f t="shared" si="13"/>
        <v>6</v>
      </c>
    </row>
    <row r="155" spans="1:9" ht="15" customHeight="1">
      <c r="A155" s="283" t="s">
        <v>55</v>
      </c>
      <c r="B155" s="247">
        <v>4</v>
      </c>
      <c r="C155" s="250" t="str">
        <f t="shared" si="19"/>
        <v>2025-0164</v>
      </c>
      <c r="D155" s="245">
        <v>45811</v>
      </c>
      <c r="E155" s="246" t="s">
        <v>29</v>
      </c>
      <c r="F155" s="247">
        <v>20</v>
      </c>
      <c r="G155" s="52" t="str">
        <f t="shared" si="20"/>
        <v>Gallon</v>
      </c>
      <c r="H155" s="52">
        <f t="shared" si="21"/>
        <v>2617</v>
      </c>
      <c r="I155" s="247">
        <f t="shared" si="13"/>
        <v>6</v>
      </c>
    </row>
    <row r="156" spans="1:9" ht="15" customHeight="1">
      <c r="A156" s="283" t="s">
        <v>55</v>
      </c>
      <c r="B156" s="247">
        <v>5</v>
      </c>
      <c r="C156" s="250" t="str">
        <f t="shared" si="19"/>
        <v>2025-0165</v>
      </c>
      <c r="D156" s="245">
        <v>45811</v>
      </c>
      <c r="E156" s="246" t="s">
        <v>18</v>
      </c>
      <c r="F156" s="247">
        <v>500</v>
      </c>
      <c r="G156" s="52" t="str">
        <f t="shared" si="20"/>
        <v>Piece</v>
      </c>
      <c r="H156" s="52">
        <f t="shared" si="21"/>
        <v>337</v>
      </c>
      <c r="I156" s="247">
        <f t="shared" si="13"/>
        <v>6</v>
      </c>
    </row>
    <row r="157" spans="1:9" ht="15" customHeight="1">
      <c r="A157" s="283" t="s">
        <v>55</v>
      </c>
      <c r="B157" s="247">
        <v>6</v>
      </c>
      <c r="C157" s="250" t="str">
        <f t="shared" si="19"/>
        <v>2025-0166</v>
      </c>
      <c r="D157" s="245">
        <v>45811</v>
      </c>
      <c r="E157" s="246" t="s">
        <v>13</v>
      </c>
      <c r="F157" s="247">
        <v>50</v>
      </c>
      <c r="G157" s="52" t="str">
        <f t="shared" si="20"/>
        <v>C</v>
      </c>
      <c r="H157" s="52">
        <f t="shared" si="21"/>
        <v>330</v>
      </c>
      <c r="I157" s="247">
        <f t="shared" si="13"/>
        <v>6</v>
      </c>
    </row>
    <row r="158" spans="1:9" ht="15" customHeight="1">
      <c r="A158" s="283" t="s">
        <v>55</v>
      </c>
      <c r="B158" s="247">
        <v>7</v>
      </c>
      <c r="C158" s="250" t="str">
        <f t="shared" si="19"/>
        <v>2025-0167</v>
      </c>
      <c r="D158" s="245">
        <v>45811</v>
      </c>
      <c r="E158" s="246" t="s">
        <v>15</v>
      </c>
      <c r="F158" s="247">
        <v>50</v>
      </c>
      <c r="G158" s="52" t="str">
        <f t="shared" si="20"/>
        <v>Roll</v>
      </c>
      <c r="H158" s="52">
        <f t="shared" si="21"/>
        <v>301</v>
      </c>
      <c r="I158" s="247">
        <f t="shared" si="13"/>
        <v>6</v>
      </c>
    </row>
    <row r="159" spans="1:9" ht="15" customHeight="1">
      <c r="A159" s="283" t="s">
        <v>55</v>
      </c>
      <c r="B159" s="247">
        <v>8</v>
      </c>
      <c r="C159" s="250" t="str">
        <f t="shared" si="19"/>
        <v>2025-0168</v>
      </c>
      <c r="D159" s="245">
        <v>45811</v>
      </c>
      <c r="E159" s="246" t="s">
        <v>21</v>
      </c>
      <c r="F159" s="247">
        <v>50</v>
      </c>
      <c r="G159" s="52" t="str">
        <f t="shared" si="20"/>
        <v>Roll</v>
      </c>
      <c r="H159" s="52">
        <f t="shared" si="21"/>
        <v>2537</v>
      </c>
      <c r="I159" s="247">
        <f t="shared" si="13"/>
        <v>6</v>
      </c>
    </row>
    <row r="160" spans="1:9" ht="15" customHeight="1">
      <c r="A160" s="283" t="s">
        <v>55</v>
      </c>
      <c r="B160" s="247">
        <v>9</v>
      </c>
      <c r="C160" s="250" t="str">
        <f t="shared" si="19"/>
        <v>2025-0169</v>
      </c>
      <c r="D160" s="245">
        <v>45811</v>
      </c>
      <c r="E160" s="246" t="s">
        <v>23</v>
      </c>
      <c r="F160" s="247">
        <v>20</v>
      </c>
      <c r="G160" s="52" t="str">
        <f t="shared" si="20"/>
        <v>Piece</v>
      </c>
      <c r="H160" s="52">
        <f t="shared" si="21"/>
        <v>0</v>
      </c>
      <c r="I160" s="247">
        <f t="shared" si="13"/>
        <v>6</v>
      </c>
    </row>
    <row r="161" spans="1:9" ht="15" customHeight="1">
      <c r="A161" s="283" t="s">
        <v>55</v>
      </c>
      <c r="B161" s="247">
        <v>10</v>
      </c>
      <c r="C161" s="250" t="str">
        <f t="shared" ref="C161:C167" si="22">CONCATENATE(A161,B161)</f>
        <v>2025-01610</v>
      </c>
      <c r="D161" s="245">
        <v>45811</v>
      </c>
      <c r="E161" s="246" t="s">
        <v>17</v>
      </c>
      <c r="F161" s="247">
        <v>10</v>
      </c>
      <c r="G161" s="52" t="str">
        <f t="shared" si="20"/>
        <v>Piece</v>
      </c>
      <c r="H161" s="52">
        <f t="shared" si="21"/>
        <v>336</v>
      </c>
      <c r="I161" s="247">
        <f t="shared" si="13"/>
        <v>6</v>
      </c>
    </row>
    <row r="162" spans="1:9" ht="15" customHeight="1">
      <c r="A162" s="283" t="s">
        <v>55</v>
      </c>
      <c r="B162" s="247">
        <v>11</v>
      </c>
      <c r="C162" s="250" t="str">
        <f t="shared" si="22"/>
        <v>2025-01611</v>
      </c>
      <c r="D162" s="245">
        <v>45811</v>
      </c>
      <c r="E162" s="246" t="s">
        <v>34</v>
      </c>
      <c r="F162" s="247">
        <v>20</v>
      </c>
      <c r="G162" s="52" t="str">
        <f t="shared" si="20"/>
        <v>Ream</v>
      </c>
      <c r="H162" s="52">
        <f t="shared" si="21"/>
        <v>0</v>
      </c>
      <c r="I162" s="247">
        <f t="shared" si="13"/>
        <v>6</v>
      </c>
    </row>
    <row r="163" spans="1:9" ht="15" customHeight="1">
      <c r="A163" s="283" t="s">
        <v>55</v>
      </c>
      <c r="B163" s="247">
        <v>12</v>
      </c>
      <c r="C163" s="250" t="str">
        <f t="shared" si="22"/>
        <v>2025-01612</v>
      </c>
      <c r="D163" s="245">
        <v>45811</v>
      </c>
      <c r="E163" s="246" t="s">
        <v>14</v>
      </c>
      <c r="F163" s="247">
        <v>50</v>
      </c>
      <c r="G163" s="52" t="str">
        <f t="shared" si="20"/>
        <v>C</v>
      </c>
      <c r="H163" s="52">
        <f t="shared" si="21"/>
        <v>46</v>
      </c>
      <c r="I163" s="247">
        <f t="shared" si="13"/>
        <v>6</v>
      </c>
    </row>
    <row r="164" spans="1:9" ht="15" customHeight="1">
      <c r="A164" s="283" t="s">
        <v>55</v>
      </c>
      <c r="B164" s="247">
        <v>13</v>
      </c>
      <c r="C164" s="250" t="str">
        <f t="shared" si="22"/>
        <v>2025-01613</v>
      </c>
      <c r="D164" s="245">
        <v>45811</v>
      </c>
      <c r="E164" s="246" t="s">
        <v>37</v>
      </c>
      <c r="F164" s="247">
        <v>20</v>
      </c>
      <c r="G164" s="52" t="str">
        <f t="shared" si="20"/>
        <v>Piece</v>
      </c>
      <c r="H164" s="52">
        <f t="shared" si="21"/>
        <v>0</v>
      </c>
      <c r="I164" s="247">
        <f t="shared" si="13"/>
        <v>6</v>
      </c>
    </row>
    <row r="165" spans="1:9" ht="15" customHeight="1">
      <c r="A165" s="283" t="s">
        <v>55</v>
      </c>
      <c r="B165" s="247">
        <v>14</v>
      </c>
      <c r="C165" s="250" t="str">
        <f t="shared" si="22"/>
        <v>2025-01614</v>
      </c>
      <c r="D165" s="245">
        <v>45811</v>
      </c>
      <c r="E165" s="246" t="s">
        <v>36</v>
      </c>
      <c r="F165" s="247">
        <v>20</v>
      </c>
      <c r="G165" s="52" t="str">
        <f t="shared" si="20"/>
        <v>Ream</v>
      </c>
      <c r="H165" s="52">
        <f t="shared" si="21"/>
        <v>0</v>
      </c>
      <c r="I165" s="247">
        <f t="shared" si="13"/>
        <v>6</v>
      </c>
    </row>
    <row r="166" spans="1:9" ht="15" customHeight="1">
      <c r="A166" s="283" t="s">
        <v>55</v>
      </c>
      <c r="B166" s="247">
        <v>15</v>
      </c>
      <c r="C166" s="250" t="str">
        <f t="shared" si="22"/>
        <v>2025-01615</v>
      </c>
      <c r="D166" s="245">
        <v>45811</v>
      </c>
      <c r="E166" s="246" t="s">
        <v>38</v>
      </c>
      <c r="F166" s="247">
        <v>20</v>
      </c>
      <c r="G166" s="52" t="str">
        <f t="shared" si="20"/>
        <v>Ream</v>
      </c>
      <c r="H166" s="52">
        <f t="shared" si="21"/>
        <v>2521</v>
      </c>
      <c r="I166" s="247">
        <f t="shared" si="13"/>
        <v>6</v>
      </c>
    </row>
    <row r="167" spans="1:9" ht="15" customHeight="1">
      <c r="A167" s="283" t="s">
        <v>55</v>
      </c>
      <c r="B167" s="247">
        <v>16</v>
      </c>
      <c r="C167" s="250" t="str">
        <f t="shared" si="22"/>
        <v>2025-01616</v>
      </c>
      <c r="D167" s="245">
        <v>45811</v>
      </c>
      <c r="E167" s="246" t="s">
        <v>39</v>
      </c>
      <c r="F167" s="247">
        <v>20</v>
      </c>
      <c r="G167" s="52" t="str">
        <f t="shared" si="20"/>
        <v>Ream</v>
      </c>
      <c r="H167" s="52">
        <f t="shared" si="21"/>
        <v>2576</v>
      </c>
      <c r="I167" s="247">
        <f t="shared" si="13"/>
        <v>6</v>
      </c>
    </row>
    <row r="168" spans="1:9" ht="15" customHeight="1">
      <c r="A168" s="283" t="s">
        <v>56</v>
      </c>
      <c r="B168" s="247">
        <v>1</v>
      </c>
      <c r="C168" s="250" t="str">
        <f>CONCATENATE(A168,B168)</f>
        <v>2025-0171</v>
      </c>
      <c r="D168" s="245">
        <v>45831</v>
      </c>
      <c r="E168" s="246" t="s">
        <v>10</v>
      </c>
      <c r="F168" s="247">
        <v>50</v>
      </c>
      <c r="G168" s="52" t="str">
        <f t="shared" si="20"/>
        <v>Ream</v>
      </c>
      <c r="H168" s="52">
        <f t="shared" si="21"/>
        <v>2276</v>
      </c>
      <c r="I168" s="247">
        <f t="shared" si="13"/>
        <v>6</v>
      </c>
    </row>
    <row r="169" spans="1:9" ht="15" customHeight="1">
      <c r="A169" s="283" t="s">
        <v>56</v>
      </c>
      <c r="B169" s="247">
        <v>2</v>
      </c>
      <c r="C169" s="250" t="str">
        <f t="shared" ref="C169:C187" si="23">CONCATENATE(A169,B169)</f>
        <v>2025-0172</v>
      </c>
      <c r="D169" s="245">
        <v>45831</v>
      </c>
      <c r="E169" s="246" t="s">
        <v>12</v>
      </c>
      <c r="F169" s="247">
        <v>50</v>
      </c>
      <c r="G169" s="52" t="str">
        <f t="shared" si="20"/>
        <v>Ream</v>
      </c>
      <c r="H169" s="52">
        <f t="shared" si="21"/>
        <v>2067</v>
      </c>
      <c r="I169" s="247">
        <f t="shared" si="13"/>
        <v>6</v>
      </c>
    </row>
    <row r="170" spans="1:9" ht="15" customHeight="1">
      <c r="A170" s="283" t="s">
        <v>56</v>
      </c>
      <c r="B170" s="247">
        <v>3</v>
      </c>
      <c r="C170" s="250" t="str">
        <f t="shared" si="23"/>
        <v>2025-0173</v>
      </c>
      <c r="D170" s="245">
        <v>45831</v>
      </c>
      <c r="E170" s="246" t="s">
        <v>33</v>
      </c>
      <c r="F170" s="247">
        <v>20</v>
      </c>
      <c r="G170" s="52" t="str">
        <f t="shared" si="20"/>
        <v>Ream</v>
      </c>
      <c r="H170" s="52">
        <f t="shared" si="21"/>
        <v>0</v>
      </c>
      <c r="I170" s="247">
        <f t="shared" si="13"/>
        <v>6</v>
      </c>
    </row>
    <row r="171" spans="1:9" ht="15" customHeight="1">
      <c r="A171" s="283" t="s">
        <v>56</v>
      </c>
      <c r="B171" s="247">
        <v>4</v>
      </c>
      <c r="C171" s="250" t="str">
        <f t="shared" si="23"/>
        <v>2025-0174</v>
      </c>
      <c r="D171" s="245">
        <v>45831</v>
      </c>
      <c r="E171" s="246" t="s">
        <v>29</v>
      </c>
      <c r="F171" s="247">
        <v>20</v>
      </c>
      <c r="G171" s="52" t="str">
        <f t="shared" si="20"/>
        <v>Gallon</v>
      </c>
      <c r="H171" s="52">
        <f t="shared" si="21"/>
        <v>2617</v>
      </c>
      <c r="I171" s="247">
        <f t="shared" si="13"/>
        <v>6</v>
      </c>
    </row>
    <row r="172" spans="1:9" ht="15" customHeight="1">
      <c r="A172" s="283" t="s">
        <v>56</v>
      </c>
      <c r="B172" s="247">
        <v>5</v>
      </c>
      <c r="C172" s="250" t="str">
        <f t="shared" si="23"/>
        <v>2025-0175</v>
      </c>
      <c r="D172" s="245">
        <v>45831</v>
      </c>
      <c r="E172" s="246" t="s">
        <v>18</v>
      </c>
      <c r="F172" s="247">
        <v>500</v>
      </c>
      <c r="G172" s="52" t="str">
        <f t="shared" si="20"/>
        <v>Piece</v>
      </c>
      <c r="H172" s="52">
        <f t="shared" si="21"/>
        <v>337</v>
      </c>
      <c r="I172" s="247">
        <f t="shared" si="13"/>
        <v>6</v>
      </c>
    </row>
    <row r="173" spans="1:9" ht="15" customHeight="1">
      <c r="A173" s="283" t="s">
        <v>56</v>
      </c>
      <c r="B173" s="247">
        <v>6</v>
      </c>
      <c r="C173" s="250" t="str">
        <f t="shared" si="23"/>
        <v>2025-0176</v>
      </c>
      <c r="D173" s="245">
        <v>45831</v>
      </c>
      <c r="E173" s="246" t="s">
        <v>13</v>
      </c>
      <c r="F173" s="247">
        <v>50</v>
      </c>
      <c r="G173" s="52" t="str">
        <f t="shared" si="20"/>
        <v>C</v>
      </c>
      <c r="H173" s="52">
        <f t="shared" si="21"/>
        <v>330</v>
      </c>
      <c r="I173" s="247">
        <f t="shared" si="13"/>
        <v>6</v>
      </c>
    </row>
    <row r="174" spans="1:9" ht="15" customHeight="1">
      <c r="A174" s="283" t="s">
        <v>56</v>
      </c>
      <c r="B174" s="247">
        <v>7</v>
      </c>
      <c r="C174" s="250" t="str">
        <f t="shared" si="23"/>
        <v>2025-0177</v>
      </c>
      <c r="D174" s="245">
        <v>45831</v>
      </c>
      <c r="E174" s="246" t="s">
        <v>15</v>
      </c>
      <c r="F174" s="247">
        <v>50</v>
      </c>
      <c r="G174" s="52" t="str">
        <f t="shared" si="20"/>
        <v>Roll</v>
      </c>
      <c r="H174" s="52">
        <f t="shared" si="21"/>
        <v>301</v>
      </c>
      <c r="I174" s="247">
        <f t="shared" si="13"/>
        <v>6</v>
      </c>
    </row>
    <row r="175" spans="1:9" ht="15" customHeight="1">
      <c r="A175" s="283" t="s">
        <v>56</v>
      </c>
      <c r="B175" s="247">
        <v>8</v>
      </c>
      <c r="C175" s="250" t="str">
        <f t="shared" si="23"/>
        <v>2025-0178</v>
      </c>
      <c r="D175" s="245">
        <v>45831</v>
      </c>
      <c r="E175" s="246" t="s">
        <v>21</v>
      </c>
      <c r="F175" s="247">
        <v>50</v>
      </c>
      <c r="G175" s="52" t="str">
        <f t="shared" si="20"/>
        <v>Roll</v>
      </c>
      <c r="H175" s="52">
        <f t="shared" si="21"/>
        <v>2537</v>
      </c>
      <c r="I175" s="247">
        <f t="shared" si="13"/>
        <v>6</v>
      </c>
    </row>
    <row r="176" spans="1:9" ht="15" customHeight="1">
      <c r="A176" s="283" t="s">
        <v>56</v>
      </c>
      <c r="B176" s="247">
        <v>9</v>
      </c>
      <c r="C176" s="250" t="str">
        <f t="shared" si="23"/>
        <v>2025-0179</v>
      </c>
      <c r="D176" s="245">
        <v>45831</v>
      </c>
      <c r="E176" s="246" t="s">
        <v>23</v>
      </c>
      <c r="F176" s="247">
        <v>20</v>
      </c>
      <c r="G176" s="52" t="str">
        <f t="shared" si="20"/>
        <v>Piece</v>
      </c>
      <c r="H176" s="52">
        <f t="shared" si="21"/>
        <v>0</v>
      </c>
      <c r="I176" s="247">
        <f t="shared" si="13"/>
        <v>6</v>
      </c>
    </row>
    <row r="177" spans="1:9" ht="15" customHeight="1">
      <c r="A177" s="283" t="s">
        <v>56</v>
      </c>
      <c r="B177" s="247">
        <v>10</v>
      </c>
      <c r="C177" s="250" t="str">
        <f t="shared" si="23"/>
        <v>2025-01710</v>
      </c>
      <c r="D177" s="245">
        <v>45831</v>
      </c>
      <c r="E177" s="246" t="s">
        <v>17</v>
      </c>
      <c r="F177" s="247">
        <v>10</v>
      </c>
      <c r="G177" s="52" t="str">
        <f t="shared" si="20"/>
        <v>Piece</v>
      </c>
      <c r="H177" s="52">
        <f t="shared" si="21"/>
        <v>336</v>
      </c>
      <c r="I177" s="247">
        <f t="shared" si="13"/>
        <v>6</v>
      </c>
    </row>
    <row r="178" spans="1:9" ht="15" customHeight="1">
      <c r="A178" s="283" t="s">
        <v>56</v>
      </c>
      <c r="B178" s="247">
        <v>11</v>
      </c>
      <c r="C178" s="250" t="str">
        <f t="shared" si="23"/>
        <v>2025-01711</v>
      </c>
      <c r="D178" s="245">
        <v>45831</v>
      </c>
      <c r="E178" s="246" t="s">
        <v>34</v>
      </c>
      <c r="F178" s="247">
        <v>20</v>
      </c>
      <c r="G178" s="52" t="str">
        <f t="shared" si="20"/>
        <v>Ream</v>
      </c>
      <c r="H178" s="52">
        <f t="shared" si="21"/>
        <v>0</v>
      </c>
      <c r="I178" s="247">
        <f t="shared" si="13"/>
        <v>6</v>
      </c>
    </row>
    <row r="179" spans="1:9" ht="15" customHeight="1">
      <c r="A179" s="283" t="s">
        <v>56</v>
      </c>
      <c r="B179" s="247">
        <v>12</v>
      </c>
      <c r="C179" s="250" t="str">
        <f t="shared" si="23"/>
        <v>2025-01712</v>
      </c>
      <c r="D179" s="245">
        <v>45831</v>
      </c>
      <c r="E179" s="246" t="s">
        <v>14</v>
      </c>
      <c r="F179" s="247">
        <v>50</v>
      </c>
      <c r="G179" s="52" t="str">
        <f t="shared" si="20"/>
        <v>C</v>
      </c>
      <c r="H179" s="52">
        <f t="shared" si="21"/>
        <v>46</v>
      </c>
      <c r="I179" s="247">
        <f t="shared" si="13"/>
        <v>6</v>
      </c>
    </row>
    <row r="180" spans="1:9" ht="15" customHeight="1">
      <c r="A180" s="283" t="s">
        <v>56</v>
      </c>
      <c r="B180" s="247">
        <v>13</v>
      </c>
      <c r="C180" s="250" t="str">
        <f t="shared" si="23"/>
        <v>2025-01713</v>
      </c>
      <c r="D180" s="245">
        <v>45831</v>
      </c>
      <c r="E180" s="246" t="s">
        <v>37</v>
      </c>
      <c r="F180" s="247">
        <v>20</v>
      </c>
      <c r="G180" s="52" t="str">
        <f t="shared" si="20"/>
        <v>Piece</v>
      </c>
      <c r="H180" s="52">
        <f t="shared" si="21"/>
        <v>0</v>
      </c>
      <c r="I180" s="247">
        <f t="shared" si="13"/>
        <v>6</v>
      </c>
    </row>
    <row r="181" spans="1:9" ht="15" customHeight="1">
      <c r="A181" s="283" t="s">
        <v>56</v>
      </c>
      <c r="B181" s="247">
        <v>14</v>
      </c>
      <c r="C181" s="250" t="str">
        <f t="shared" si="23"/>
        <v>2025-01714</v>
      </c>
      <c r="D181" s="245">
        <v>45831</v>
      </c>
      <c r="E181" s="246" t="s">
        <v>36</v>
      </c>
      <c r="F181" s="247">
        <v>20</v>
      </c>
      <c r="G181" s="52" t="str">
        <f t="shared" si="20"/>
        <v>Ream</v>
      </c>
      <c r="H181" s="52">
        <f t="shared" si="21"/>
        <v>0</v>
      </c>
      <c r="I181" s="247">
        <f t="shared" si="13"/>
        <v>6</v>
      </c>
    </row>
    <row r="182" spans="1:9" ht="15" customHeight="1">
      <c r="A182" s="283" t="s">
        <v>56</v>
      </c>
      <c r="B182" s="247">
        <v>15</v>
      </c>
      <c r="C182" s="250" t="str">
        <f t="shared" si="23"/>
        <v>2025-01715</v>
      </c>
      <c r="D182" s="245">
        <v>45831</v>
      </c>
      <c r="E182" s="246" t="s">
        <v>38</v>
      </c>
      <c r="F182" s="247">
        <v>20</v>
      </c>
      <c r="G182" s="52" t="str">
        <f t="shared" si="20"/>
        <v>Ream</v>
      </c>
      <c r="H182" s="52">
        <f t="shared" si="21"/>
        <v>2521</v>
      </c>
      <c r="I182" s="247">
        <f t="shared" si="13"/>
        <v>6</v>
      </c>
    </row>
    <row r="183" spans="1:9" ht="15" customHeight="1">
      <c r="A183" s="283" t="s">
        <v>57</v>
      </c>
      <c r="B183" s="247">
        <v>1</v>
      </c>
      <c r="C183" s="250" t="str">
        <f t="shared" si="23"/>
        <v>2025-0181</v>
      </c>
      <c r="D183" s="245">
        <v>45845</v>
      </c>
      <c r="E183" s="246" t="s">
        <v>12</v>
      </c>
      <c r="F183" s="247">
        <v>50</v>
      </c>
      <c r="G183" s="52" t="str">
        <f t="shared" si="20"/>
        <v>Ream</v>
      </c>
      <c r="H183" s="52">
        <f t="shared" si="21"/>
        <v>2067</v>
      </c>
      <c r="I183" s="247">
        <f t="shared" si="13"/>
        <v>7</v>
      </c>
    </row>
    <row r="184" spans="1:9" ht="15" customHeight="1">
      <c r="A184" s="283" t="s">
        <v>57</v>
      </c>
      <c r="B184" s="247">
        <v>2</v>
      </c>
      <c r="C184" s="250" t="str">
        <f t="shared" si="23"/>
        <v>2025-0182</v>
      </c>
      <c r="D184" s="245">
        <v>45845</v>
      </c>
      <c r="E184" s="246" t="s">
        <v>33</v>
      </c>
      <c r="F184" s="247">
        <v>50</v>
      </c>
      <c r="G184" s="52" t="str">
        <f t="shared" si="20"/>
        <v>Ream</v>
      </c>
      <c r="H184" s="52">
        <f t="shared" si="21"/>
        <v>0</v>
      </c>
      <c r="I184" s="247">
        <f t="shared" si="13"/>
        <v>7</v>
      </c>
    </row>
    <row r="185" spans="1:9" ht="15" customHeight="1">
      <c r="A185" s="283" t="s">
        <v>57</v>
      </c>
      <c r="B185" s="247">
        <v>3</v>
      </c>
      <c r="C185" s="250" t="str">
        <f t="shared" si="23"/>
        <v>2025-0183</v>
      </c>
      <c r="D185" s="245">
        <v>45845</v>
      </c>
      <c r="E185" s="246" t="s">
        <v>29</v>
      </c>
      <c r="F185" s="247">
        <v>50</v>
      </c>
      <c r="G185" s="52" t="str">
        <f t="shared" si="20"/>
        <v>Gallon</v>
      </c>
      <c r="H185" s="52">
        <f t="shared" si="21"/>
        <v>2617</v>
      </c>
      <c r="I185" s="247">
        <f t="shared" si="13"/>
        <v>7</v>
      </c>
    </row>
    <row r="186" spans="1:9" ht="15" customHeight="1">
      <c r="A186" s="283" t="s">
        <v>57</v>
      </c>
      <c r="B186" s="247">
        <v>4</v>
      </c>
      <c r="C186" s="250" t="str">
        <f t="shared" si="23"/>
        <v>2025-0184</v>
      </c>
      <c r="D186" s="245">
        <v>45845</v>
      </c>
      <c r="E186" s="246" t="s">
        <v>18</v>
      </c>
      <c r="F186" s="247">
        <v>500</v>
      </c>
      <c r="G186" s="52" t="str">
        <f t="shared" si="20"/>
        <v>Piece</v>
      </c>
      <c r="H186" s="52">
        <f t="shared" si="21"/>
        <v>337</v>
      </c>
      <c r="I186" s="247">
        <f t="shared" si="13"/>
        <v>7</v>
      </c>
    </row>
    <row r="187" spans="1:9" ht="15" customHeight="1">
      <c r="A187" s="283" t="s">
        <v>57</v>
      </c>
      <c r="B187" s="247">
        <v>5</v>
      </c>
      <c r="C187" s="250" t="str">
        <f t="shared" si="23"/>
        <v>2025-0185</v>
      </c>
      <c r="D187" s="245">
        <v>45845</v>
      </c>
      <c r="E187" s="246" t="s">
        <v>13</v>
      </c>
      <c r="F187" s="247">
        <v>50</v>
      </c>
      <c r="G187" s="52" t="str">
        <f t="shared" si="20"/>
        <v>C</v>
      </c>
      <c r="H187" s="52">
        <f t="shared" si="21"/>
        <v>330</v>
      </c>
      <c r="I187" s="247">
        <f t="shared" si="13"/>
        <v>7</v>
      </c>
    </row>
    <row r="188" spans="1:9" ht="15" customHeight="1">
      <c r="A188" s="283" t="s">
        <v>57</v>
      </c>
      <c r="B188" s="247">
        <v>6</v>
      </c>
      <c r="C188" s="250" t="str">
        <f t="shared" ref="C188:C193" si="24">CONCATENATE(A188,B188)</f>
        <v>2025-0186</v>
      </c>
      <c r="D188" s="245">
        <v>45845</v>
      </c>
      <c r="E188" s="246" t="s">
        <v>15</v>
      </c>
      <c r="F188" s="247">
        <v>50</v>
      </c>
      <c r="G188" s="52" t="str">
        <f t="shared" si="20"/>
        <v>Roll</v>
      </c>
      <c r="H188" s="52">
        <f t="shared" si="21"/>
        <v>301</v>
      </c>
      <c r="I188" s="247">
        <f t="shared" si="13"/>
        <v>7</v>
      </c>
    </row>
    <row r="189" spans="1:9" ht="15" customHeight="1">
      <c r="A189" s="283" t="s">
        <v>57</v>
      </c>
      <c r="B189" s="247">
        <v>7</v>
      </c>
      <c r="C189" s="250" t="str">
        <f t="shared" si="24"/>
        <v>2025-0187</v>
      </c>
      <c r="D189" s="245">
        <v>45845</v>
      </c>
      <c r="E189" s="246" t="s">
        <v>21</v>
      </c>
      <c r="F189" s="247">
        <v>50</v>
      </c>
      <c r="G189" s="52" t="str">
        <f t="shared" si="20"/>
        <v>Roll</v>
      </c>
      <c r="H189" s="52">
        <f t="shared" si="21"/>
        <v>2537</v>
      </c>
      <c r="I189" s="247">
        <f t="shared" si="13"/>
        <v>7</v>
      </c>
    </row>
    <row r="190" spans="1:9" ht="15" customHeight="1">
      <c r="A190" s="283" t="s">
        <v>57</v>
      </c>
      <c r="B190" s="247">
        <v>8</v>
      </c>
      <c r="C190" s="250" t="str">
        <f t="shared" si="24"/>
        <v>2025-0188</v>
      </c>
      <c r="D190" s="245">
        <v>45845</v>
      </c>
      <c r="E190" s="246" t="s">
        <v>23</v>
      </c>
      <c r="F190" s="247">
        <v>10</v>
      </c>
      <c r="G190" s="52" t="str">
        <f t="shared" si="20"/>
        <v>Piece</v>
      </c>
      <c r="H190" s="52">
        <f t="shared" si="21"/>
        <v>0</v>
      </c>
      <c r="I190" s="247">
        <f t="shared" si="13"/>
        <v>7</v>
      </c>
    </row>
    <row r="191" spans="1:9" ht="15" customHeight="1">
      <c r="A191" s="283" t="s">
        <v>57</v>
      </c>
      <c r="B191" s="247">
        <v>9</v>
      </c>
      <c r="C191" s="250" t="str">
        <f t="shared" si="24"/>
        <v>2025-0189</v>
      </c>
      <c r="D191" s="245">
        <v>45845</v>
      </c>
      <c r="E191" s="246" t="s">
        <v>17</v>
      </c>
      <c r="F191" s="247">
        <v>10</v>
      </c>
      <c r="G191" s="52" t="str">
        <f t="shared" si="20"/>
        <v>Piece</v>
      </c>
      <c r="H191" s="52">
        <f t="shared" si="21"/>
        <v>336</v>
      </c>
      <c r="I191" s="247">
        <f t="shared" si="13"/>
        <v>7</v>
      </c>
    </row>
    <row r="192" spans="1:9" ht="15" customHeight="1">
      <c r="A192" s="283" t="s">
        <v>57</v>
      </c>
      <c r="B192" s="247">
        <v>10</v>
      </c>
      <c r="C192" s="250" t="str">
        <f t="shared" si="24"/>
        <v>2025-01810</v>
      </c>
      <c r="D192" s="245">
        <v>45845</v>
      </c>
      <c r="E192" s="246" t="s">
        <v>34</v>
      </c>
      <c r="F192" s="247">
        <v>10</v>
      </c>
      <c r="G192" s="52" t="str">
        <f t="shared" si="20"/>
        <v>Ream</v>
      </c>
      <c r="H192" s="52">
        <f t="shared" si="21"/>
        <v>0</v>
      </c>
      <c r="I192" s="247">
        <f t="shared" si="13"/>
        <v>7</v>
      </c>
    </row>
    <row r="193" spans="1:9" ht="15" customHeight="1">
      <c r="A193" s="283" t="s">
        <v>57</v>
      </c>
      <c r="B193" s="247">
        <v>11</v>
      </c>
      <c r="C193" s="250" t="str">
        <f t="shared" si="24"/>
        <v>2025-01811</v>
      </c>
      <c r="D193" s="245">
        <v>45845</v>
      </c>
      <c r="E193" s="246" t="s">
        <v>14</v>
      </c>
      <c r="F193" s="247">
        <v>50</v>
      </c>
      <c r="G193" s="52" t="str">
        <f t="shared" si="20"/>
        <v>C</v>
      </c>
      <c r="H193" s="52">
        <f t="shared" si="21"/>
        <v>46</v>
      </c>
      <c r="I193" s="247">
        <f t="shared" si="13"/>
        <v>7</v>
      </c>
    </row>
    <row r="194" spans="1:9" ht="15" customHeight="1">
      <c r="A194" s="283" t="s">
        <v>57</v>
      </c>
      <c r="B194" s="247">
        <v>12</v>
      </c>
      <c r="C194" s="250" t="str">
        <f t="shared" ref="C194:C195" si="25">CONCATENATE(A194,B194)</f>
        <v>2025-01812</v>
      </c>
      <c r="D194" s="245">
        <v>45845</v>
      </c>
      <c r="E194" s="246" t="s">
        <v>36</v>
      </c>
      <c r="F194" s="247">
        <v>10</v>
      </c>
      <c r="G194" s="52" t="str">
        <f t="shared" si="20"/>
        <v>Ream</v>
      </c>
      <c r="H194" s="52">
        <f t="shared" si="21"/>
        <v>0</v>
      </c>
      <c r="I194" s="247">
        <f t="shared" ref="I194:I257" si="26">IFERROR(VLOOKUP(D194,YEAR2023,2,0),"-")</f>
        <v>7</v>
      </c>
    </row>
    <row r="195" spans="1:9" ht="15" customHeight="1">
      <c r="A195" s="283" t="s">
        <v>57</v>
      </c>
      <c r="B195" s="247">
        <v>13</v>
      </c>
      <c r="C195" s="250" t="str">
        <f t="shared" si="25"/>
        <v>2025-01813</v>
      </c>
      <c r="D195" s="245">
        <v>45845</v>
      </c>
      <c r="E195" s="246" t="s">
        <v>38</v>
      </c>
      <c r="F195" s="247">
        <v>20</v>
      </c>
      <c r="G195" s="52" t="str">
        <f t="shared" si="20"/>
        <v>Ream</v>
      </c>
      <c r="H195" s="52">
        <f t="shared" si="21"/>
        <v>2521</v>
      </c>
      <c r="I195" s="247">
        <f t="shared" si="26"/>
        <v>7</v>
      </c>
    </row>
    <row r="196" spans="1:9" ht="15" customHeight="1">
      <c r="A196" s="283" t="s">
        <v>57</v>
      </c>
      <c r="B196" s="247">
        <v>14</v>
      </c>
      <c r="C196" s="250" t="str">
        <f t="shared" ref="C196:C200" si="27">CONCATENATE(A196,B196)</f>
        <v>2025-01814</v>
      </c>
      <c r="D196" s="245">
        <v>45845</v>
      </c>
      <c r="E196" s="246" t="s">
        <v>30</v>
      </c>
      <c r="F196" s="247">
        <v>50</v>
      </c>
      <c r="G196" s="52" t="str">
        <f t="shared" si="20"/>
        <v>Box</v>
      </c>
      <c r="H196" s="52">
        <f t="shared" si="21"/>
        <v>310</v>
      </c>
      <c r="I196" s="247">
        <f t="shared" si="26"/>
        <v>7</v>
      </c>
    </row>
    <row r="197" spans="1:9" ht="15" customHeight="1">
      <c r="A197" s="283" t="s">
        <v>57</v>
      </c>
      <c r="B197" s="247">
        <v>15</v>
      </c>
      <c r="C197" s="250" t="str">
        <f t="shared" si="27"/>
        <v>2025-01815</v>
      </c>
      <c r="D197" s="245">
        <v>45845</v>
      </c>
      <c r="E197" s="246" t="s">
        <v>25</v>
      </c>
      <c r="F197" s="247">
        <v>50</v>
      </c>
      <c r="G197" s="52" t="str">
        <f t="shared" si="20"/>
        <v>Box</v>
      </c>
      <c r="H197" s="52">
        <f t="shared" si="21"/>
        <v>2550</v>
      </c>
      <c r="I197" s="247">
        <f t="shared" si="26"/>
        <v>7</v>
      </c>
    </row>
    <row r="198" spans="1:9" ht="15" customHeight="1">
      <c r="A198" s="283" t="s">
        <v>57</v>
      </c>
      <c r="B198" s="247">
        <v>16</v>
      </c>
      <c r="C198" s="250" t="str">
        <f t="shared" si="27"/>
        <v>2025-01816</v>
      </c>
      <c r="D198" s="245">
        <v>45845</v>
      </c>
      <c r="E198" s="246" t="s">
        <v>58</v>
      </c>
      <c r="F198" s="247">
        <v>20</v>
      </c>
      <c r="G198" s="52" t="str">
        <f t="shared" si="20"/>
        <v>Box</v>
      </c>
      <c r="H198" s="52">
        <f t="shared" si="21"/>
        <v>306</v>
      </c>
      <c r="I198" s="247">
        <f t="shared" si="26"/>
        <v>7</v>
      </c>
    </row>
    <row r="199" spans="1:9" ht="15" customHeight="1">
      <c r="A199" s="283" t="s">
        <v>59</v>
      </c>
      <c r="B199" s="247">
        <v>1</v>
      </c>
      <c r="C199" s="250" t="str">
        <f t="shared" si="27"/>
        <v>2025-0191</v>
      </c>
      <c r="D199" s="245">
        <v>45862</v>
      </c>
      <c r="E199" s="246" t="s">
        <v>10</v>
      </c>
      <c r="F199" s="247">
        <v>50</v>
      </c>
      <c r="G199" s="52" t="str">
        <f t="shared" si="20"/>
        <v>Ream</v>
      </c>
      <c r="H199" s="52">
        <f t="shared" si="21"/>
        <v>2276</v>
      </c>
      <c r="I199" s="247">
        <f t="shared" si="26"/>
        <v>7</v>
      </c>
    </row>
    <row r="200" spans="1:9" ht="15" customHeight="1">
      <c r="A200" s="283" t="s">
        <v>59</v>
      </c>
      <c r="B200" s="247">
        <v>2</v>
      </c>
      <c r="C200" s="250" t="str">
        <f t="shared" si="27"/>
        <v>2025-0192</v>
      </c>
      <c r="D200" s="245">
        <v>45862</v>
      </c>
      <c r="E200" s="246" t="s">
        <v>12</v>
      </c>
      <c r="F200" s="247">
        <v>50</v>
      </c>
      <c r="G200" s="52" t="str">
        <f t="shared" si="20"/>
        <v>Ream</v>
      </c>
      <c r="H200" s="52">
        <f t="shared" si="21"/>
        <v>2067</v>
      </c>
      <c r="I200" s="247">
        <f t="shared" si="26"/>
        <v>7</v>
      </c>
    </row>
    <row r="201" spans="1:9" ht="15" customHeight="1">
      <c r="A201" s="283" t="s">
        <v>59</v>
      </c>
      <c r="B201" s="247">
        <v>3</v>
      </c>
      <c r="C201" s="250" t="str">
        <f t="shared" ref="C201:C213" si="28">CONCATENATE(A201,B201)</f>
        <v>2025-0193</v>
      </c>
      <c r="D201" s="245">
        <v>45862</v>
      </c>
      <c r="E201" s="246" t="s">
        <v>30</v>
      </c>
      <c r="F201" s="247">
        <v>50</v>
      </c>
      <c r="G201" s="52" t="str">
        <f>IFERROR(VLOOKUP(E201,SUPPLY2,3,0),"-")</f>
        <v>Box</v>
      </c>
      <c r="H201" s="52">
        <f>IFERROR(VLOOKUP(E201,SUPPLY2,4,0),"-")</f>
        <v>310</v>
      </c>
      <c r="I201" s="247">
        <f t="shared" si="26"/>
        <v>7</v>
      </c>
    </row>
    <row r="202" spans="1:9" ht="15" customHeight="1">
      <c r="A202" s="283" t="s">
        <v>59</v>
      </c>
      <c r="B202" s="247">
        <v>4</v>
      </c>
      <c r="C202" s="250" t="str">
        <f t="shared" si="28"/>
        <v>2025-0194</v>
      </c>
      <c r="D202" s="245">
        <v>45862</v>
      </c>
      <c r="E202" s="246" t="s">
        <v>25</v>
      </c>
      <c r="F202" s="247">
        <v>20</v>
      </c>
      <c r="G202" s="52" t="str">
        <f>IFERROR(VLOOKUP(E202,SUPPLY2,3,0),"-")</f>
        <v>Box</v>
      </c>
      <c r="H202" s="52">
        <f>IFERROR(VLOOKUP(E202,SUPPLY2,4,0),"-")</f>
        <v>2550</v>
      </c>
      <c r="I202" s="247">
        <f t="shared" si="26"/>
        <v>7</v>
      </c>
    </row>
    <row r="203" spans="1:9" ht="15" customHeight="1">
      <c r="A203" s="283" t="s">
        <v>59</v>
      </c>
      <c r="B203" s="247">
        <v>5</v>
      </c>
      <c r="C203" s="250" t="str">
        <f t="shared" si="28"/>
        <v>2025-0195</v>
      </c>
      <c r="D203" s="245">
        <v>45862</v>
      </c>
      <c r="E203" s="246" t="s">
        <v>15</v>
      </c>
      <c r="F203" s="247">
        <v>20</v>
      </c>
      <c r="G203" s="52" t="str">
        <f>IFERROR(VLOOKUP(E203,SUPPLY2,3,0),"-")</f>
        <v>Roll</v>
      </c>
      <c r="H203" s="52">
        <f>IFERROR(VLOOKUP(E203,SUPPLY2,4,0),"-")</f>
        <v>301</v>
      </c>
      <c r="I203" s="247">
        <f t="shared" si="26"/>
        <v>7</v>
      </c>
    </row>
    <row r="204" spans="1:9" ht="15" customHeight="1">
      <c r="A204" s="283" t="s">
        <v>59</v>
      </c>
      <c r="B204" s="247">
        <v>6</v>
      </c>
      <c r="C204" s="250" t="str">
        <f t="shared" si="28"/>
        <v>2025-0196</v>
      </c>
      <c r="D204" s="245">
        <v>45862</v>
      </c>
      <c r="E204" s="246" t="s">
        <v>19</v>
      </c>
      <c r="F204" s="247">
        <v>20</v>
      </c>
      <c r="G204" s="52" t="str">
        <f t="shared" ref="G204:G205" si="29">IFERROR(VLOOKUP(E204,SUPPLY2,3,0),"-")</f>
        <v>Roll</v>
      </c>
      <c r="H204" s="52">
        <f t="shared" ref="H204:H205" si="30">IFERROR(VLOOKUP(E204,SUPPLY2,4,0),"-")</f>
        <v>300</v>
      </c>
      <c r="I204" s="247">
        <f t="shared" si="26"/>
        <v>7</v>
      </c>
    </row>
    <row r="205" spans="1:9" ht="15" customHeight="1">
      <c r="A205" s="283" t="s">
        <v>59</v>
      </c>
      <c r="B205" s="247">
        <v>7</v>
      </c>
      <c r="C205" s="250" t="str">
        <f t="shared" si="28"/>
        <v>2025-0197</v>
      </c>
      <c r="D205" s="245">
        <v>45862</v>
      </c>
      <c r="E205" s="246" t="s">
        <v>38</v>
      </c>
      <c r="F205" s="247">
        <v>20</v>
      </c>
      <c r="G205" s="52" t="str">
        <f t="shared" si="29"/>
        <v>Ream</v>
      </c>
      <c r="H205" s="52">
        <f t="shared" si="30"/>
        <v>2521</v>
      </c>
      <c r="I205" s="247">
        <f t="shared" si="26"/>
        <v>7</v>
      </c>
    </row>
    <row r="206" spans="1:9" ht="15" customHeight="1">
      <c r="A206" s="283" t="s">
        <v>59</v>
      </c>
      <c r="B206" s="247">
        <v>8</v>
      </c>
      <c r="C206" s="250" t="str">
        <f t="shared" si="28"/>
        <v>2025-0198</v>
      </c>
      <c r="D206" s="245">
        <v>45862</v>
      </c>
      <c r="E206" s="246" t="s">
        <v>17</v>
      </c>
      <c r="F206" s="247">
        <v>10</v>
      </c>
      <c r="G206" s="52" t="str">
        <f>IFERROR(VLOOKUP(E206,SUPPLY2,3,0),"-")</f>
        <v>Piece</v>
      </c>
      <c r="H206" s="52">
        <f>IFERROR(VLOOKUP(E206,SUPPLY2,4,0),"-")</f>
        <v>336</v>
      </c>
      <c r="I206" s="247">
        <f t="shared" si="26"/>
        <v>7</v>
      </c>
    </row>
    <row r="207" spans="1:9" ht="15" customHeight="1">
      <c r="A207" s="283" t="s">
        <v>59</v>
      </c>
      <c r="B207" s="247">
        <v>9</v>
      </c>
      <c r="C207" s="250" t="str">
        <f t="shared" si="28"/>
        <v>2025-0199</v>
      </c>
      <c r="D207" s="245">
        <v>45862</v>
      </c>
      <c r="E207" s="246" t="s">
        <v>34</v>
      </c>
      <c r="F207" s="247">
        <v>10</v>
      </c>
      <c r="G207" s="52" t="str">
        <f>IFERROR(VLOOKUP(E207,SUPPLY2,3,0),"-")</f>
        <v>Ream</v>
      </c>
      <c r="H207" s="52">
        <f>IFERROR(VLOOKUP(E207,SUPPLY2,4,0),"-")</f>
        <v>0</v>
      </c>
      <c r="I207" s="247">
        <f t="shared" si="26"/>
        <v>7</v>
      </c>
    </row>
    <row r="208" spans="1:9" ht="15" customHeight="1">
      <c r="A208" s="283" t="s">
        <v>59</v>
      </c>
      <c r="B208" s="247">
        <v>10</v>
      </c>
      <c r="C208" s="250" t="str">
        <f t="shared" si="28"/>
        <v>2025-01910</v>
      </c>
      <c r="D208" s="245">
        <v>45862</v>
      </c>
      <c r="E208" s="246" t="s">
        <v>14</v>
      </c>
      <c r="F208" s="247">
        <v>50</v>
      </c>
      <c r="G208" s="52" t="str">
        <f>IFERROR(VLOOKUP(E208,SUPPLY2,3,0),"-")</f>
        <v>C</v>
      </c>
      <c r="H208" s="52">
        <f>IFERROR(VLOOKUP(E208,SUPPLY2,4,0),"-")</f>
        <v>46</v>
      </c>
      <c r="I208" s="247">
        <f t="shared" si="26"/>
        <v>7</v>
      </c>
    </row>
    <row r="209" spans="1:9" ht="15" customHeight="1">
      <c r="A209" s="283" t="s">
        <v>59</v>
      </c>
      <c r="B209" s="247">
        <v>11</v>
      </c>
      <c r="C209" s="250" t="str">
        <f t="shared" si="28"/>
        <v>2025-01911</v>
      </c>
      <c r="D209" s="245">
        <v>45862</v>
      </c>
      <c r="E209" s="246" t="s">
        <v>36</v>
      </c>
      <c r="F209" s="247">
        <v>10</v>
      </c>
      <c r="G209" s="52" t="str">
        <f>IFERROR(VLOOKUP(E209,SUPPLY2,3,0),"-")</f>
        <v>Ream</v>
      </c>
      <c r="H209" s="52">
        <f>IFERROR(VLOOKUP(E209,SUPPLY2,4,0),"-")</f>
        <v>0</v>
      </c>
      <c r="I209" s="247">
        <f t="shared" si="26"/>
        <v>7</v>
      </c>
    </row>
    <row r="210" spans="1:9" ht="15" customHeight="1">
      <c r="A210" s="283" t="s">
        <v>59</v>
      </c>
      <c r="B210" s="247">
        <v>12</v>
      </c>
      <c r="C210" s="250" t="str">
        <f t="shared" si="28"/>
        <v>2025-01912</v>
      </c>
      <c r="D210" s="245">
        <v>45862</v>
      </c>
      <c r="E210" s="246" t="s">
        <v>18</v>
      </c>
      <c r="F210" s="247">
        <v>200</v>
      </c>
      <c r="G210" s="52" t="str">
        <f t="shared" ref="G210" si="31">IFERROR(VLOOKUP(E210,SUPPLY2,3,0),"-")</f>
        <v>Piece</v>
      </c>
      <c r="H210" s="52">
        <f t="shared" ref="H210" si="32">IFERROR(VLOOKUP(E210,SUPPLY2,4,0),"-")</f>
        <v>337</v>
      </c>
      <c r="I210" s="247">
        <f t="shared" si="26"/>
        <v>7</v>
      </c>
    </row>
    <row r="211" spans="1:9" ht="15" customHeight="1">
      <c r="A211" s="283" t="s">
        <v>59</v>
      </c>
      <c r="B211" s="247">
        <v>13</v>
      </c>
      <c r="C211" s="250" t="str">
        <f t="shared" si="28"/>
        <v>2025-01913</v>
      </c>
      <c r="D211" s="245">
        <v>45862</v>
      </c>
      <c r="E211" s="246" t="s">
        <v>35</v>
      </c>
      <c r="F211" s="247">
        <v>5</v>
      </c>
      <c r="G211" s="52" t="str">
        <f>IFERROR(VLOOKUP(E211,SUPPLY2,3,0),"-")</f>
        <v>Ream</v>
      </c>
      <c r="H211" s="52">
        <f>IFERROR(VLOOKUP(E211,SUPPLY2,4,0),"-")</f>
        <v>0</v>
      </c>
      <c r="I211" s="247">
        <f t="shared" si="26"/>
        <v>7</v>
      </c>
    </row>
    <row r="212" spans="1:9" ht="15" customHeight="1">
      <c r="A212" s="283" t="s">
        <v>59</v>
      </c>
      <c r="B212" s="247">
        <v>14</v>
      </c>
      <c r="C212" s="250" t="str">
        <f t="shared" si="28"/>
        <v>2025-01914</v>
      </c>
      <c r="D212" s="245">
        <v>45862</v>
      </c>
      <c r="E212" s="246" t="s">
        <v>33</v>
      </c>
      <c r="F212" s="247">
        <v>20</v>
      </c>
      <c r="G212" s="52" t="str">
        <f>IFERROR(VLOOKUP(E212,SUPPLY2,3,0),"-")</f>
        <v>Ream</v>
      </c>
      <c r="H212" s="52">
        <f>IFERROR(VLOOKUP(E212,SUPPLY2,4,0),"-")</f>
        <v>0</v>
      </c>
      <c r="I212" s="247">
        <f t="shared" si="26"/>
        <v>7</v>
      </c>
    </row>
    <row r="213" spans="1:9" ht="15" customHeight="1">
      <c r="A213" s="283" t="s">
        <v>59</v>
      </c>
      <c r="B213" s="247">
        <v>15</v>
      </c>
      <c r="C213" s="250" t="str">
        <f t="shared" si="28"/>
        <v>2025-01915</v>
      </c>
      <c r="D213" s="245">
        <v>45862</v>
      </c>
      <c r="E213" s="246" t="s">
        <v>60</v>
      </c>
      <c r="F213" s="247">
        <v>10</v>
      </c>
      <c r="G213" s="52" t="str">
        <f>IFERROR(VLOOKUP(E213,SUPPLY2,3,0),"-")</f>
        <v>Ream</v>
      </c>
      <c r="H213" s="52">
        <f>IFERROR(VLOOKUP(E213,SUPPLY2,4,0),"-")</f>
        <v>1976</v>
      </c>
      <c r="I213" s="247">
        <f t="shared" si="26"/>
        <v>7</v>
      </c>
    </row>
    <row r="214" spans="1:9" ht="15" customHeight="1">
      <c r="A214" s="283" t="s">
        <v>59</v>
      </c>
      <c r="B214" s="247">
        <v>16</v>
      </c>
      <c r="C214" s="250" t="str">
        <f t="shared" ref="C214:C222" si="33">CONCATENATE(A214,B214)</f>
        <v>2025-01916</v>
      </c>
      <c r="D214" s="245">
        <v>45862</v>
      </c>
      <c r="E214" s="246" t="s">
        <v>53</v>
      </c>
      <c r="F214" s="247">
        <v>20</v>
      </c>
      <c r="G214" s="52" t="str">
        <f>IFERROR(VLOOKUP(E204,SUPPLY2,3,0),"-")</f>
        <v>Roll</v>
      </c>
      <c r="H214" s="52">
        <f>IFERROR(VLOOKUP(E204,SUPPLY2,4,0),"-")</f>
        <v>300</v>
      </c>
      <c r="I214" s="247">
        <f t="shared" si="26"/>
        <v>7</v>
      </c>
    </row>
    <row r="215" spans="1:9" ht="15" customHeight="1">
      <c r="A215" s="283" t="s">
        <v>59</v>
      </c>
      <c r="B215" s="247">
        <v>17</v>
      </c>
      <c r="C215" s="250" t="str">
        <f t="shared" si="33"/>
        <v>2025-01917</v>
      </c>
      <c r="D215" s="245">
        <v>45862</v>
      </c>
      <c r="E215" s="246" t="s">
        <v>13</v>
      </c>
      <c r="F215" s="247">
        <v>50</v>
      </c>
      <c r="G215" s="52" t="str">
        <f>IFERROR(VLOOKUP(E215,SUPPLY2,3,0),"-")</f>
        <v>C</v>
      </c>
      <c r="H215" s="52">
        <f t="shared" ref="H215:H246" si="34">IFERROR(VLOOKUP(E215,SUPPLY2,4,0),"-")</f>
        <v>330</v>
      </c>
      <c r="I215" s="247">
        <f t="shared" si="26"/>
        <v>7</v>
      </c>
    </row>
    <row r="216" spans="1:9" ht="15" customHeight="1">
      <c r="A216" s="283" t="s">
        <v>59</v>
      </c>
      <c r="B216" s="247">
        <v>18</v>
      </c>
      <c r="C216" s="250" t="str">
        <f t="shared" si="33"/>
        <v>2025-01918</v>
      </c>
      <c r="D216" s="245">
        <v>45862</v>
      </c>
      <c r="E216" s="246" t="s">
        <v>61</v>
      </c>
      <c r="F216" s="247">
        <v>50</v>
      </c>
      <c r="G216" s="52" t="str">
        <f t="shared" ref="G216" si="35">IFERROR(VLOOKUP(E216,SUPPLY2,3,0),"-")</f>
        <v>-</v>
      </c>
      <c r="H216" s="52" t="str">
        <f t="shared" si="34"/>
        <v>-</v>
      </c>
      <c r="I216" s="247">
        <f t="shared" si="26"/>
        <v>7</v>
      </c>
    </row>
    <row r="217" spans="1:9" ht="15" customHeight="1">
      <c r="A217" s="283" t="s">
        <v>62</v>
      </c>
      <c r="B217" s="247">
        <v>1</v>
      </c>
      <c r="C217" s="250" t="str">
        <f t="shared" si="33"/>
        <v>2025-0201</v>
      </c>
      <c r="D217" s="245">
        <v>45866</v>
      </c>
      <c r="E217" s="246" t="s">
        <v>63</v>
      </c>
      <c r="F217" s="247">
        <v>50</v>
      </c>
      <c r="G217" s="52" t="str">
        <f t="shared" ref="G217:G248" si="36">IFERROR(VLOOKUP(E217,SUPPLY2,3,0),"-")</f>
        <v>Bottle</v>
      </c>
      <c r="H217" s="52">
        <f t="shared" si="34"/>
        <v>2618</v>
      </c>
      <c r="I217" s="247">
        <f t="shared" si="26"/>
        <v>7</v>
      </c>
    </row>
    <row r="218" spans="1:9" ht="15" customHeight="1">
      <c r="A218" s="283" t="s">
        <v>64</v>
      </c>
      <c r="B218" s="247">
        <v>1</v>
      </c>
      <c r="C218" s="250" t="str">
        <f t="shared" si="33"/>
        <v>2025-0211</v>
      </c>
      <c r="D218" s="245">
        <v>45916</v>
      </c>
      <c r="E218" s="246" t="s">
        <v>10</v>
      </c>
      <c r="F218" s="247">
        <v>50</v>
      </c>
      <c r="G218" s="52" t="str">
        <f t="shared" si="36"/>
        <v>Ream</v>
      </c>
      <c r="H218" s="52">
        <f t="shared" si="34"/>
        <v>2276</v>
      </c>
      <c r="I218" s="247">
        <f t="shared" si="26"/>
        <v>9</v>
      </c>
    </row>
    <row r="219" spans="1:9" ht="15" customHeight="1">
      <c r="A219" s="283" t="s">
        <v>64</v>
      </c>
      <c r="B219" s="247">
        <v>2</v>
      </c>
      <c r="C219" s="250" t="str">
        <f t="shared" si="33"/>
        <v>2025-0212</v>
      </c>
      <c r="D219" s="245">
        <v>45916</v>
      </c>
      <c r="E219" s="246" t="s">
        <v>12</v>
      </c>
      <c r="F219" s="247">
        <v>50</v>
      </c>
      <c r="G219" s="52" t="str">
        <f t="shared" si="36"/>
        <v>Ream</v>
      </c>
      <c r="H219" s="52">
        <f t="shared" si="34"/>
        <v>2067</v>
      </c>
      <c r="I219" s="247">
        <f t="shared" si="26"/>
        <v>9</v>
      </c>
    </row>
    <row r="220" spans="1:9" ht="15" customHeight="1">
      <c r="A220" s="283" t="s">
        <v>64</v>
      </c>
      <c r="B220" s="247">
        <v>3</v>
      </c>
      <c r="C220" s="250" t="str">
        <f t="shared" si="33"/>
        <v>2025-0213</v>
      </c>
      <c r="D220" s="245">
        <v>45916</v>
      </c>
      <c r="E220" s="246" t="s">
        <v>30</v>
      </c>
      <c r="F220" s="247">
        <v>50</v>
      </c>
      <c r="G220" s="52" t="str">
        <f t="shared" si="36"/>
        <v>Box</v>
      </c>
      <c r="H220" s="52">
        <f t="shared" si="34"/>
        <v>310</v>
      </c>
      <c r="I220" s="247">
        <f t="shared" si="26"/>
        <v>9</v>
      </c>
    </row>
    <row r="221" spans="1:9" ht="15" customHeight="1">
      <c r="A221" s="283" t="s">
        <v>64</v>
      </c>
      <c r="B221" s="247">
        <v>4</v>
      </c>
      <c r="C221" s="250" t="str">
        <f t="shared" si="33"/>
        <v>2025-0214</v>
      </c>
      <c r="D221" s="245">
        <v>45916</v>
      </c>
      <c r="E221" s="246" t="s">
        <v>25</v>
      </c>
      <c r="F221" s="247">
        <v>20</v>
      </c>
      <c r="G221" s="52" t="str">
        <f t="shared" si="36"/>
        <v>Box</v>
      </c>
      <c r="H221" s="52">
        <f t="shared" si="34"/>
        <v>2550</v>
      </c>
      <c r="I221" s="247">
        <f t="shared" si="26"/>
        <v>9</v>
      </c>
    </row>
    <row r="222" spans="1:9" ht="15" customHeight="1">
      <c r="A222" s="283" t="s">
        <v>64</v>
      </c>
      <c r="B222" s="247">
        <v>5</v>
      </c>
      <c r="C222" s="250" t="str">
        <f t="shared" si="33"/>
        <v>2025-0215</v>
      </c>
      <c r="D222" s="245">
        <v>45916</v>
      </c>
      <c r="E222" s="246" t="s">
        <v>15</v>
      </c>
      <c r="F222" s="247">
        <v>20</v>
      </c>
      <c r="G222" s="52" t="str">
        <f t="shared" si="36"/>
        <v>Roll</v>
      </c>
      <c r="H222" s="52">
        <f t="shared" si="34"/>
        <v>301</v>
      </c>
      <c r="I222" s="247">
        <f t="shared" si="26"/>
        <v>9</v>
      </c>
    </row>
    <row r="223" spans="1:9" ht="15" customHeight="1">
      <c r="A223" s="283" t="s">
        <v>64</v>
      </c>
      <c r="B223" s="247">
        <v>6</v>
      </c>
      <c r="C223" s="250" t="str">
        <f t="shared" ref="C223:C230" si="37">CONCATENATE(A223,B223)</f>
        <v>2025-0216</v>
      </c>
      <c r="D223" s="245">
        <v>45916</v>
      </c>
      <c r="E223" s="246" t="s">
        <v>19</v>
      </c>
      <c r="F223" s="247">
        <v>20</v>
      </c>
      <c r="G223" s="52" t="str">
        <f t="shared" si="36"/>
        <v>Roll</v>
      </c>
      <c r="H223" s="52">
        <f t="shared" si="34"/>
        <v>300</v>
      </c>
      <c r="I223" s="247">
        <f t="shared" si="26"/>
        <v>9</v>
      </c>
    </row>
    <row r="224" spans="1:9" ht="15" customHeight="1">
      <c r="A224" s="283" t="s">
        <v>64</v>
      </c>
      <c r="B224" s="247">
        <v>7</v>
      </c>
      <c r="C224" s="250" t="str">
        <f t="shared" si="37"/>
        <v>2025-0217</v>
      </c>
      <c r="D224" s="245">
        <v>45916</v>
      </c>
      <c r="E224" s="246" t="s">
        <v>38</v>
      </c>
      <c r="F224" s="247">
        <v>20</v>
      </c>
      <c r="G224" s="52" t="str">
        <f t="shared" si="36"/>
        <v>Ream</v>
      </c>
      <c r="H224" s="52">
        <f t="shared" si="34"/>
        <v>2521</v>
      </c>
      <c r="I224" s="247">
        <f t="shared" si="26"/>
        <v>9</v>
      </c>
    </row>
    <row r="225" spans="1:9" ht="15" customHeight="1">
      <c r="A225" s="283" t="s">
        <v>64</v>
      </c>
      <c r="B225" s="247">
        <v>8</v>
      </c>
      <c r="C225" s="250" t="str">
        <f t="shared" si="37"/>
        <v>2025-0218</v>
      </c>
      <c r="D225" s="245">
        <v>45916</v>
      </c>
      <c r="E225" s="246" t="s">
        <v>17</v>
      </c>
      <c r="F225" s="247">
        <v>10</v>
      </c>
      <c r="G225" s="52" t="str">
        <f t="shared" si="36"/>
        <v>Piece</v>
      </c>
      <c r="H225" s="52">
        <f t="shared" si="34"/>
        <v>336</v>
      </c>
      <c r="I225" s="247">
        <f t="shared" si="26"/>
        <v>9</v>
      </c>
    </row>
    <row r="226" spans="1:9" ht="15" customHeight="1">
      <c r="A226" s="283" t="s">
        <v>64</v>
      </c>
      <c r="B226" s="247">
        <v>9</v>
      </c>
      <c r="C226" s="250" t="str">
        <f t="shared" si="37"/>
        <v>2025-0219</v>
      </c>
      <c r="D226" s="245">
        <v>45916</v>
      </c>
      <c r="E226" s="246" t="s">
        <v>34</v>
      </c>
      <c r="F226" s="247">
        <v>10</v>
      </c>
      <c r="G226" s="52" t="str">
        <f t="shared" si="36"/>
        <v>Ream</v>
      </c>
      <c r="H226" s="52">
        <f t="shared" si="34"/>
        <v>0</v>
      </c>
      <c r="I226" s="247">
        <f t="shared" si="26"/>
        <v>9</v>
      </c>
    </row>
    <row r="227" spans="1:9" ht="15" customHeight="1">
      <c r="A227" s="283" t="s">
        <v>64</v>
      </c>
      <c r="B227" s="247">
        <v>10</v>
      </c>
      <c r="C227" s="250" t="str">
        <f t="shared" si="37"/>
        <v>2025-02110</v>
      </c>
      <c r="D227" s="245">
        <v>45916</v>
      </c>
      <c r="E227" s="246" t="s">
        <v>14</v>
      </c>
      <c r="F227" s="247">
        <v>50</v>
      </c>
      <c r="G227" s="52" t="str">
        <f t="shared" si="36"/>
        <v>C</v>
      </c>
      <c r="H227" s="52">
        <f t="shared" si="34"/>
        <v>46</v>
      </c>
      <c r="I227" s="247">
        <f t="shared" si="26"/>
        <v>9</v>
      </c>
    </row>
    <row r="228" spans="1:9" ht="15" customHeight="1">
      <c r="A228" s="283" t="s">
        <v>64</v>
      </c>
      <c r="B228" s="247">
        <v>11</v>
      </c>
      <c r="C228" s="250" t="str">
        <f t="shared" si="37"/>
        <v>2025-02111</v>
      </c>
      <c r="D228" s="245">
        <v>45916</v>
      </c>
      <c r="E228" s="246" t="s">
        <v>36</v>
      </c>
      <c r="F228" s="247">
        <v>15</v>
      </c>
      <c r="G228" s="52" t="str">
        <f t="shared" si="36"/>
        <v>Ream</v>
      </c>
      <c r="H228" s="52">
        <f t="shared" si="34"/>
        <v>0</v>
      </c>
      <c r="I228" s="247">
        <f t="shared" si="26"/>
        <v>9</v>
      </c>
    </row>
    <row r="229" spans="1:9" ht="15" customHeight="1">
      <c r="A229" s="283" t="s">
        <v>64</v>
      </c>
      <c r="B229" s="247">
        <v>12</v>
      </c>
      <c r="C229" s="250" t="str">
        <f t="shared" si="37"/>
        <v>2025-02112</v>
      </c>
      <c r="D229" s="245">
        <v>45916</v>
      </c>
      <c r="E229" s="246" t="s">
        <v>18</v>
      </c>
      <c r="F229" s="247">
        <v>200</v>
      </c>
      <c r="G229" s="52" t="str">
        <f t="shared" si="36"/>
        <v>Piece</v>
      </c>
      <c r="H229" s="52">
        <f t="shared" si="34"/>
        <v>337</v>
      </c>
      <c r="I229" s="247">
        <f t="shared" si="26"/>
        <v>9</v>
      </c>
    </row>
    <row r="230" spans="1:9" ht="15" customHeight="1">
      <c r="A230" s="283" t="s">
        <v>64</v>
      </c>
      <c r="B230" s="247">
        <v>13</v>
      </c>
      <c r="C230" s="250" t="str">
        <f t="shared" si="37"/>
        <v>2025-02113</v>
      </c>
      <c r="D230" s="245">
        <v>45916</v>
      </c>
      <c r="E230" s="246" t="s">
        <v>35</v>
      </c>
      <c r="F230" s="247">
        <v>5</v>
      </c>
      <c r="G230" s="52" t="str">
        <f t="shared" si="36"/>
        <v>Ream</v>
      </c>
      <c r="H230" s="52">
        <f t="shared" si="34"/>
        <v>0</v>
      </c>
      <c r="I230" s="247">
        <f t="shared" si="26"/>
        <v>9</v>
      </c>
    </row>
    <row r="231" spans="1:9" ht="15" customHeight="1">
      <c r="A231" s="283" t="s">
        <v>64</v>
      </c>
      <c r="B231" s="247">
        <v>14</v>
      </c>
      <c r="C231" s="250" t="str">
        <f t="shared" ref="C231:C236" si="38">CONCATENATE(A231,B231)</f>
        <v>2025-02114</v>
      </c>
      <c r="D231" s="245">
        <v>45916</v>
      </c>
      <c r="E231" s="246" t="s">
        <v>33</v>
      </c>
      <c r="F231" s="247">
        <v>20</v>
      </c>
      <c r="G231" s="52" t="str">
        <f t="shared" si="36"/>
        <v>Ream</v>
      </c>
      <c r="H231" s="52">
        <f t="shared" si="34"/>
        <v>0</v>
      </c>
      <c r="I231" s="247">
        <f t="shared" si="26"/>
        <v>9</v>
      </c>
    </row>
    <row r="232" spans="1:9" ht="15" customHeight="1">
      <c r="A232" s="283" t="s">
        <v>64</v>
      </c>
      <c r="B232" s="247">
        <v>15</v>
      </c>
      <c r="C232" s="250" t="str">
        <f t="shared" si="38"/>
        <v>2025-02115</v>
      </c>
      <c r="D232" s="245">
        <v>45916</v>
      </c>
      <c r="E232" s="246" t="s">
        <v>60</v>
      </c>
      <c r="F232" s="247">
        <v>20</v>
      </c>
      <c r="G232" s="52" t="str">
        <f t="shared" si="36"/>
        <v>Ream</v>
      </c>
      <c r="H232" s="52">
        <f t="shared" si="34"/>
        <v>1976</v>
      </c>
      <c r="I232" s="247">
        <f t="shared" si="26"/>
        <v>9</v>
      </c>
    </row>
    <row r="233" spans="1:9" ht="15" customHeight="1">
      <c r="A233" s="283" t="s">
        <v>64</v>
      </c>
      <c r="B233" s="247">
        <v>16</v>
      </c>
      <c r="C233" s="250" t="str">
        <f t="shared" si="38"/>
        <v>2025-02116</v>
      </c>
      <c r="D233" s="245">
        <v>45916</v>
      </c>
      <c r="E233" s="246" t="s">
        <v>53</v>
      </c>
      <c r="F233" s="247">
        <v>20</v>
      </c>
      <c r="G233" s="52" t="str">
        <f t="shared" si="36"/>
        <v>Piece</v>
      </c>
      <c r="H233" s="52">
        <f t="shared" si="34"/>
        <v>137</v>
      </c>
      <c r="I233" s="247">
        <f t="shared" si="26"/>
        <v>9</v>
      </c>
    </row>
    <row r="234" spans="1:9" ht="15" customHeight="1">
      <c r="A234" s="283" t="s">
        <v>64</v>
      </c>
      <c r="B234" s="247">
        <v>17</v>
      </c>
      <c r="C234" s="250" t="str">
        <f t="shared" si="38"/>
        <v>2025-02117</v>
      </c>
      <c r="D234" s="245">
        <v>45916</v>
      </c>
      <c r="E234" s="246" t="s">
        <v>13</v>
      </c>
      <c r="F234" s="247">
        <v>50</v>
      </c>
      <c r="G234" s="52" t="str">
        <f t="shared" si="36"/>
        <v>C</v>
      </c>
      <c r="H234" s="52">
        <f t="shared" si="34"/>
        <v>330</v>
      </c>
      <c r="I234" s="247">
        <f t="shared" si="26"/>
        <v>9</v>
      </c>
    </row>
    <row r="235" spans="1:9" ht="15" customHeight="1">
      <c r="A235" s="283" t="s">
        <v>64</v>
      </c>
      <c r="B235" s="247">
        <v>18</v>
      </c>
      <c r="C235" s="250" t="str">
        <f t="shared" si="38"/>
        <v>2025-02118</v>
      </c>
      <c r="D235" s="245">
        <v>45916</v>
      </c>
      <c r="E235" s="246" t="s">
        <v>61</v>
      </c>
      <c r="F235" s="247">
        <v>200</v>
      </c>
      <c r="G235" s="52" t="str">
        <f t="shared" si="36"/>
        <v>-</v>
      </c>
      <c r="H235" s="52" t="str">
        <f t="shared" si="34"/>
        <v>-</v>
      </c>
      <c r="I235" s="247">
        <f t="shared" si="26"/>
        <v>9</v>
      </c>
    </row>
    <row r="236" spans="1:9" ht="15" customHeight="1">
      <c r="A236" s="283" t="s">
        <v>64</v>
      </c>
      <c r="B236" s="247">
        <v>19</v>
      </c>
      <c r="C236" s="250" t="str">
        <f t="shared" si="38"/>
        <v>2025-02119</v>
      </c>
      <c r="D236" s="245">
        <v>45916</v>
      </c>
      <c r="E236" s="246" t="s">
        <v>63</v>
      </c>
      <c r="F236" s="247">
        <v>50</v>
      </c>
      <c r="G236" s="52" t="str">
        <f t="shared" si="36"/>
        <v>Bottle</v>
      </c>
      <c r="H236" s="52">
        <f t="shared" si="34"/>
        <v>2618</v>
      </c>
      <c r="I236" s="247">
        <f t="shared" si="26"/>
        <v>9</v>
      </c>
    </row>
    <row r="237" spans="1:9" ht="15" customHeight="1">
      <c r="A237" s="283" t="s">
        <v>64</v>
      </c>
      <c r="B237" s="247">
        <v>20</v>
      </c>
      <c r="C237" s="250" t="str">
        <f t="shared" ref="C237:C245" si="39">CONCATENATE(A237,B237)</f>
        <v>2025-02120</v>
      </c>
      <c r="D237" s="245">
        <v>45916</v>
      </c>
      <c r="E237" s="246" t="s">
        <v>65</v>
      </c>
      <c r="F237" s="247">
        <v>20</v>
      </c>
      <c r="G237" s="52" t="str">
        <f t="shared" si="36"/>
        <v>Box</v>
      </c>
      <c r="H237" s="52">
        <f t="shared" si="34"/>
        <v>2538</v>
      </c>
      <c r="I237" s="247">
        <f t="shared" si="26"/>
        <v>9</v>
      </c>
    </row>
    <row r="238" spans="1:9" ht="15" customHeight="1">
      <c r="A238" s="283" t="s">
        <v>64</v>
      </c>
      <c r="B238" s="247">
        <v>21</v>
      </c>
      <c r="C238" s="250" t="str">
        <f t="shared" si="39"/>
        <v>2025-02121</v>
      </c>
      <c r="D238" s="245">
        <v>45916</v>
      </c>
      <c r="E238" s="246" t="s">
        <v>58</v>
      </c>
      <c r="F238" s="247">
        <v>20</v>
      </c>
      <c r="G238" s="52" t="str">
        <f t="shared" si="36"/>
        <v>Box</v>
      </c>
      <c r="H238" s="52">
        <f t="shared" si="34"/>
        <v>306</v>
      </c>
      <c r="I238" s="247">
        <f t="shared" si="26"/>
        <v>9</v>
      </c>
    </row>
    <row r="239" spans="1:9" ht="15" customHeight="1">
      <c r="A239" s="283" t="s">
        <v>64</v>
      </c>
      <c r="B239" s="247">
        <v>22</v>
      </c>
      <c r="C239" s="250" t="str">
        <f t="shared" si="39"/>
        <v>2025-02122</v>
      </c>
      <c r="D239" s="245">
        <v>45916</v>
      </c>
      <c r="E239" s="246" t="s">
        <v>20</v>
      </c>
      <c r="F239" s="247">
        <v>20</v>
      </c>
      <c r="G239" s="52" t="str">
        <f t="shared" si="36"/>
        <v>Piece</v>
      </c>
      <c r="H239" s="52">
        <f t="shared" si="34"/>
        <v>1960</v>
      </c>
      <c r="I239" s="247">
        <f t="shared" si="26"/>
        <v>9</v>
      </c>
    </row>
    <row r="240" spans="1:9" ht="15" customHeight="1">
      <c r="A240" s="283" t="s">
        <v>64</v>
      </c>
      <c r="B240" s="247">
        <v>23</v>
      </c>
      <c r="C240" s="250" t="str">
        <f t="shared" si="39"/>
        <v>2025-02123</v>
      </c>
      <c r="D240" s="245">
        <v>45916</v>
      </c>
      <c r="E240" s="246" t="s">
        <v>17</v>
      </c>
      <c r="F240" s="247">
        <v>10</v>
      </c>
      <c r="G240" s="52" t="str">
        <f t="shared" si="36"/>
        <v>Piece</v>
      </c>
      <c r="H240" s="52">
        <f t="shared" si="34"/>
        <v>336</v>
      </c>
      <c r="I240" s="247">
        <f t="shared" si="26"/>
        <v>9</v>
      </c>
    </row>
    <row r="241" spans="1:9" ht="15" customHeight="1">
      <c r="A241" s="283" t="s">
        <v>64</v>
      </c>
      <c r="B241" s="247">
        <v>24</v>
      </c>
      <c r="C241" s="250" t="str">
        <f t="shared" si="39"/>
        <v>2025-02124</v>
      </c>
      <c r="D241" s="245">
        <v>45916</v>
      </c>
      <c r="E241" s="246" t="s">
        <v>66</v>
      </c>
      <c r="F241" s="247">
        <v>20</v>
      </c>
      <c r="G241" s="52" t="str">
        <f t="shared" si="36"/>
        <v>Box</v>
      </c>
      <c r="H241" s="52">
        <f t="shared" si="34"/>
        <v>2546</v>
      </c>
      <c r="I241" s="247">
        <f t="shared" si="26"/>
        <v>9</v>
      </c>
    </row>
    <row r="242" spans="1:9" ht="15" customHeight="1">
      <c r="A242" s="283" t="s">
        <v>64</v>
      </c>
      <c r="B242" s="247">
        <v>25</v>
      </c>
      <c r="C242" s="250" t="str">
        <f t="shared" si="39"/>
        <v>2025-02125</v>
      </c>
      <c r="D242" s="245">
        <v>45916</v>
      </c>
      <c r="E242" s="246" t="s">
        <v>43</v>
      </c>
      <c r="F242" s="247">
        <v>20</v>
      </c>
      <c r="G242" s="52" t="str">
        <f t="shared" si="36"/>
        <v>Box</v>
      </c>
      <c r="H242" s="52">
        <f t="shared" si="34"/>
        <v>2552</v>
      </c>
      <c r="I242" s="247">
        <f t="shared" si="26"/>
        <v>9</v>
      </c>
    </row>
    <row r="243" spans="1:9" ht="15" customHeight="1">
      <c r="A243" s="283" t="s">
        <v>67</v>
      </c>
      <c r="B243" s="247">
        <v>1</v>
      </c>
      <c r="C243" s="250" t="str">
        <f t="shared" si="39"/>
        <v>2025-0221</v>
      </c>
      <c r="D243" s="245">
        <v>45940</v>
      </c>
      <c r="E243" s="246" t="s">
        <v>10</v>
      </c>
      <c r="F243" s="247">
        <v>20</v>
      </c>
      <c r="G243" s="52" t="str">
        <f t="shared" si="36"/>
        <v>Ream</v>
      </c>
      <c r="H243" s="52">
        <f t="shared" si="34"/>
        <v>2276</v>
      </c>
      <c r="I243" s="247">
        <f t="shared" si="26"/>
        <v>10</v>
      </c>
    </row>
    <row r="244" spans="1:9" ht="15" customHeight="1">
      <c r="A244" s="283" t="s">
        <v>67</v>
      </c>
      <c r="B244" s="247">
        <v>2</v>
      </c>
      <c r="C244" s="250" t="str">
        <f t="shared" si="39"/>
        <v>2025-0222</v>
      </c>
      <c r="D244" s="245">
        <v>45940</v>
      </c>
      <c r="E244" s="246" t="s">
        <v>12</v>
      </c>
      <c r="F244" s="247">
        <v>20</v>
      </c>
      <c r="G244" s="52" t="str">
        <f t="shared" si="36"/>
        <v>Ream</v>
      </c>
      <c r="H244" s="52">
        <f t="shared" si="34"/>
        <v>2067</v>
      </c>
      <c r="I244" s="247">
        <f t="shared" si="26"/>
        <v>10</v>
      </c>
    </row>
    <row r="245" spans="1:9" ht="15" customHeight="1">
      <c r="A245" s="283" t="s">
        <v>67</v>
      </c>
      <c r="B245" s="247">
        <v>3</v>
      </c>
      <c r="C245" s="250" t="str">
        <f t="shared" si="39"/>
        <v>2025-0223</v>
      </c>
      <c r="D245" s="245">
        <v>45940</v>
      </c>
      <c r="E245" s="246" t="s">
        <v>30</v>
      </c>
      <c r="F245" s="247">
        <v>40</v>
      </c>
      <c r="G245" s="52" t="str">
        <f t="shared" si="36"/>
        <v>Box</v>
      </c>
      <c r="H245" s="52">
        <f t="shared" si="34"/>
        <v>310</v>
      </c>
      <c r="I245" s="247">
        <f t="shared" si="26"/>
        <v>10</v>
      </c>
    </row>
    <row r="246" spans="1:9" ht="15" customHeight="1">
      <c r="A246" s="283" t="s">
        <v>67</v>
      </c>
      <c r="B246" s="247">
        <v>4</v>
      </c>
      <c r="C246" s="250" t="str">
        <f t="shared" ref="C246:C257" si="40">CONCATENATE(A246,B246)</f>
        <v>2025-0224</v>
      </c>
      <c r="D246" s="245">
        <v>45940</v>
      </c>
      <c r="E246" s="246" t="s">
        <v>25</v>
      </c>
      <c r="F246" s="247">
        <v>20</v>
      </c>
      <c r="G246" s="52" t="str">
        <f t="shared" si="36"/>
        <v>Box</v>
      </c>
      <c r="H246" s="52">
        <f t="shared" si="34"/>
        <v>2550</v>
      </c>
      <c r="I246" s="247">
        <f t="shared" si="26"/>
        <v>10</v>
      </c>
    </row>
    <row r="247" spans="1:9" ht="15" customHeight="1">
      <c r="A247" s="283" t="s">
        <v>67</v>
      </c>
      <c r="B247" s="247">
        <v>5</v>
      </c>
      <c r="C247" s="250" t="str">
        <f t="shared" si="40"/>
        <v>2025-0225</v>
      </c>
      <c r="D247" s="245">
        <v>45940</v>
      </c>
      <c r="E247" s="246" t="s">
        <v>15</v>
      </c>
      <c r="F247" s="247">
        <v>20</v>
      </c>
      <c r="G247" s="52" t="str">
        <f t="shared" si="36"/>
        <v>Roll</v>
      </c>
      <c r="H247" s="52">
        <f t="shared" ref="H247:H268" si="41">IFERROR(VLOOKUP(E247,SUPPLY2,4,0),"-")</f>
        <v>301</v>
      </c>
      <c r="I247" s="247">
        <f t="shared" si="26"/>
        <v>10</v>
      </c>
    </row>
    <row r="248" spans="1:9" ht="15" customHeight="1">
      <c r="A248" s="283" t="s">
        <v>67</v>
      </c>
      <c r="B248" s="247">
        <v>6</v>
      </c>
      <c r="C248" s="250" t="str">
        <f t="shared" si="40"/>
        <v>2025-0226</v>
      </c>
      <c r="D248" s="245">
        <v>45940</v>
      </c>
      <c r="E248" s="246" t="s">
        <v>19</v>
      </c>
      <c r="F248" s="247">
        <v>20</v>
      </c>
      <c r="G248" s="52" t="str">
        <f t="shared" si="36"/>
        <v>Roll</v>
      </c>
      <c r="H248" s="52">
        <f t="shared" si="41"/>
        <v>300</v>
      </c>
      <c r="I248" s="247">
        <f t="shared" si="26"/>
        <v>10</v>
      </c>
    </row>
    <row r="249" spans="1:9" ht="15" customHeight="1">
      <c r="A249" s="283" t="s">
        <v>67</v>
      </c>
      <c r="B249" s="247">
        <v>7</v>
      </c>
      <c r="C249" s="250" t="str">
        <f t="shared" si="40"/>
        <v>2025-0227</v>
      </c>
      <c r="D249" s="245">
        <v>45940</v>
      </c>
      <c r="E249" s="246" t="s">
        <v>38</v>
      </c>
      <c r="F249" s="247">
        <v>10</v>
      </c>
      <c r="G249" s="52" t="str">
        <f t="shared" ref="G249:G268" si="42">IFERROR(VLOOKUP(E249,SUPPLY2,3,0),"-")</f>
        <v>Ream</v>
      </c>
      <c r="H249" s="52">
        <f t="shared" si="41"/>
        <v>2521</v>
      </c>
      <c r="I249" s="247">
        <f t="shared" si="26"/>
        <v>10</v>
      </c>
    </row>
    <row r="250" spans="1:9" ht="15" customHeight="1">
      <c r="A250" s="283" t="s">
        <v>67</v>
      </c>
      <c r="B250" s="247">
        <v>8</v>
      </c>
      <c r="C250" s="250" t="str">
        <f t="shared" si="40"/>
        <v>2025-0228</v>
      </c>
      <c r="D250" s="245">
        <v>45940</v>
      </c>
      <c r="E250" s="246" t="s">
        <v>17</v>
      </c>
      <c r="F250" s="247">
        <v>10</v>
      </c>
      <c r="G250" s="52" t="str">
        <f t="shared" si="42"/>
        <v>Piece</v>
      </c>
      <c r="H250" s="52">
        <f t="shared" si="41"/>
        <v>336</v>
      </c>
      <c r="I250" s="247">
        <f t="shared" si="26"/>
        <v>10</v>
      </c>
    </row>
    <row r="251" spans="1:9" ht="15" customHeight="1">
      <c r="A251" s="283" t="s">
        <v>67</v>
      </c>
      <c r="B251" s="247">
        <v>9</v>
      </c>
      <c r="C251" s="250" t="str">
        <f t="shared" si="40"/>
        <v>2025-0229</v>
      </c>
      <c r="D251" s="245">
        <v>45940</v>
      </c>
      <c r="E251" s="246" t="s">
        <v>34</v>
      </c>
      <c r="F251" s="247">
        <v>10</v>
      </c>
      <c r="G251" s="52" t="str">
        <f t="shared" si="42"/>
        <v>Ream</v>
      </c>
      <c r="H251" s="52">
        <f t="shared" si="41"/>
        <v>0</v>
      </c>
      <c r="I251" s="247">
        <f t="shared" si="26"/>
        <v>10</v>
      </c>
    </row>
    <row r="252" spans="1:9" ht="15" customHeight="1">
      <c r="A252" s="283" t="s">
        <v>67</v>
      </c>
      <c r="B252" s="247">
        <v>10</v>
      </c>
      <c r="C252" s="250" t="str">
        <f t="shared" si="40"/>
        <v>2025-02210</v>
      </c>
      <c r="D252" s="245">
        <v>45940</v>
      </c>
      <c r="E252" s="246" t="s">
        <v>14</v>
      </c>
      <c r="F252" s="247">
        <v>50</v>
      </c>
      <c r="G252" s="52" t="str">
        <f t="shared" si="42"/>
        <v>C</v>
      </c>
      <c r="H252" s="52">
        <f t="shared" si="41"/>
        <v>46</v>
      </c>
      <c r="I252" s="247">
        <f t="shared" si="26"/>
        <v>10</v>
      </c>
    </row>
    <row r="253" spans="1:9" ht="15" customHeight="1">
      <c r="A253" s="283" t="s">
        <v>67</v>
      </c>
      <c r="B253" s="247">
        <v>11</v>
      </c>
      <c r="C253" s="250" t="str">
        <f t="shared" si="40"/>
        <v>2025-02211</v>
      </c>
      <c r="D253" s="245">
        <v>45940</v>
      </c>
      <c r="E253" s="246" t="s">
        <v>36</v>
      </c>
      <c r="F253" s="247">
        <v>10</v>
      </c>
      <c r="G253" s="52" t="str">
        <f t="shared" si="42"/>
        <v>Ream</v>
      </c>
      <c r="H253" s="52">
        <f t="shared" si="41"/>
        <v>0</v>
      </c>
      <c r="I253" s="247">
        <f t="shared" si="26"/>
        <v>10</v>
      </c>
    </row>
    <row r="254" spans="1:9" ht="15" customHeight="1">
      <c r="A254" s="283" t="s">
        <v>67</v>
      </c>
      <c r="B254" s="247">
        <v>12</v>
      </c>
      <c r="C254" s="250" t="str">
        <f t="shared" si="40"/>
        <v>2025-02212</v>
      </c>
      <c r="D254" s="245">
        <v>45940</v>
      </c>
      <c r="E254" s="246" t="s">
        <v>18</v>
      </c>
      <c r="F254" s="247">
        <v>100</v>
      </c>
      <c r="G254" s="52" t="str">
        <f t="shared" si="42"/>
        <v>Piece</v>
      </c>
      <c r="H254" s="52">
        <f t="shared" si="41"/>
        <v>337</v>
      </c>
      <c r="I254" s="247">
        <f t="shared" si="26"/>
        <v>10</v>
      </c>
    </row>
    <row r="255" spans="1:9" ht="15" customHeight="1">
      <c r="A255" s="283" t="s">
        <v>67</v>
      </c>
      <c r="B255" s="247">
        <v>13</v>
      </c>
      <c r="C255" s="250" t="str">
        <f t="shared" si="40"/>
        <v>2025-02213</v>
      </c>
      <c r="D255" s="245">
        <v>45940</v>
      </c>
      <c r="E255" s="246" t="s">
        <v>35</v>
      </c>
      <c r="F255" s="247">
        <v>5</v>
      </c>
      <c r="G255" s="52" t="str">
        <f t="shared" si="42"/>
        <v>Ream</v>
      </c>
      <c r="H255" s="52">
        <f t="shared" si="41"/>
        <v>0</v>
      </c>
      <c r="I255" s="247">
        <f t="shared" si="26"/>
        <v>10</v>
      </c>
    </row>
    <row r="256" spans="1:9" ht="15" customHeight="1">
      <c r="A256" s="283" t="s">
        <v>67</v>
      </c>
      <c r="B256" s="247">
        <v>14</v>
      </c>
      <c r="C256" s="250" t="str">
        <f t="shared" si="40"/>
        <v>2025-02214</v>
      </c>
      <c r="D256" s="245">
        <v>45940</v>
      </c>
      <c r="E256" s="246" t="s">
        <v>33</v>
      </c>
      <c r="F256" s="247">
        <v>50</v>
      </c>
      <c r="G256" s="52" t="str">
        <f t="shared" si="42"/>
        <v>Ream</v>
      </c>
      <c r="H256" s="52">
        <f t="shared" si="41"/>
        <v>0</v>
      </c>
      <c r="I256" s="247">
        <f t="shared" si="26"/>
        <v>10</v>
      </c>
    </row>
    <row r="257" spans="1:9" ht="15" customHeight="1">
      <c r="A257" s="283" t="s">
        <v>67</v>
      </c>
      <c r="B257" s="247">
        <v>15</v>
      </c>
      <c r="C257" s="250" t="str">
        <f t="shared" si="40"/>
        <v>2025-02215</v>
      </c>
      <c r="D257" s="245">
        <v>45940</v>
      </c>
      <c r="E257" s="246" t="s">
        <v>60</v>
      </c>
      <c r="F257" s="247">
        <v>10</v>
      </c>
      <c r="G257" s="52" t="str">
        <f t="shared" si="42"/>
        <v>Ream</v>
      </c>
      <c r="H257" s="52">
        <f t="shared" si="41"/>
        <v>1976</v>
      </c>
      <c r="I257" s="247">
        <f t="shared" si="26"/>
        <v>10</v>
      </c>
    </row>
    <row r="258" spans="1:9" ht="15" customHeight="1">
      <c r="A258" s="283" t="s">
        <v>67</v>
      </c>
      <c r="B258" s="247">
        <v>16</v>
      </c>
      <c r="C258" s="250" t="str">
        <f t="shared" ref="C258:C266" si="43">CONCATENATE(A258,B258)</f>
        <v>2025-02216</v>
      </c>
      <c r="D258" s="245">
        <v>45940</v>
      </c>
      <c r="E258" s="246" t="s">
        <v>53</v>
      </c>
      <c r="F258" s="247">
        <v>20</v>
      </c>
      <c r="G258" s="52" t="str">
        <f t="shared" si="42"/>
        <v>Piece</v>
      </c>
      <c r="H258" s="52">
        <f t="shared" si="41"/>
        <v>137</v>
      </c>
      <c r="I258" s="247">
        <f t="shared" ref="I258:I268" si="44">IFERROR(VLOOKUP(D258,YEAR2023,2,0),"-")</f>
        <v>10</v>
      </c>
    </row>
    <row r="259" spans="1:9" ht="15" customHeight="1">
      <c r="A259" s="283" t="s">
        <v>67</v>
      </c>
      <c r="B259" s="247">
        <v>17</v>
      </c>
      <c r="C259" s="250" t="str">
        <f t="shared" si="43"/>
        <v>2025-02217</v>
      </c>
      <c r="D259" s="245">
        <v>45940</v>
      </c>
      <c r="E259" s="246" t="s">
        <v>13</v>
      </c>
      <c r="F259" s="247">
        <v>50</v>
      </c>
      <c r="G259" s="52" t="str">
        <f t="shared" si="42"/>
        <v>C</v>
      </c>
      <c r="H259" s="52">
        <f t="shared" si="41"/>
        <v>330</v>
      </c>
      <c r="I259" s="247">
        <f t="shared" si="44"/>
        <v>10</v>
      </c>
    </row>
    <row r="260" spans="1:9" ht="15" customHeight="1">
      <c r="A260" s="283" t="s">
        <v>67</v>
      </c>
      <c r="B260" s="247">
        <v>18</v>
      </c>
      <c r="C260" s="250" t="str">
        <f t="shared" si="43"/>
        <v>2025-02218</v>
      </c>
      <c r="D260" s="245">
        <v>45940</v>
      </c>
      <c r="E260" s="246" t="s">
        <v>61</v>
      </c>
      <c r="F260" s="247">
        <v>100</v>
      </c>
      <c r="G260" s="52" t="str">
        <f t="shared" si="42"/>
        <v>-</v>
      </c>
      <c r="H260" s="52" t="str">
        <f t="shared" si="41"/>
        <v>-</v>
      </c>
      <c r="I260" s="247">
        <f t="shared" si="44"/>
        <v>10</v>
      </c>
    </row>
    <row r="261" spans="1:9" ht="15" customHeight="1">
      <c r="A261" s="283" t="s">
        <v>67</v>
      </c>
      <c r="B261" s="247">
        <v>19</v>
      </c>
      <c r="C261" s="250" t="str">
        <f t="shared" si="43"/>
        <v>2025-02219</v>
      </c>
      <c r="D261" s="245">
        <v>45940</v>
      </c>
      <c r="E261" s="246" t="s">
        <v>63</v>
      </c>
      <c r="F261" s="247">
        <v>50</v>
      </c>
      <c r="G261" s="52" t="str">
        <f t="shared" si="42"/>
        <v>Bottle</v>
      </c>
      <c r="H261" s="52">
        <f t="shared" si="41"/>
        <v>2618</v>
      </c>
      <c r="I261" s="247">
        <f t="shared" si="44"/>
        <v>10</v>
      </c>
    </row>
    <row r="262" spans="1:9" ht="15" customHeight="1">
      <c r="A262" s="283" t="s">
        <v>67</v>
      </c>
      <c r="B262" s="247">
        <v>20</v>
      </c>
      <c r="C262" s="250" t="str">
        <f t="shared" si="43"/>
        <v>2025-02220</v>
      </c>
      <c r="D262" s="245">
        <v>45940</v>
      </c>
      <c r="E262" s="246" t="s">
        <v>65</v>
      </c>
      <c r="F262" s="247">
        <v>20</v>
      </c>
      <c r="G262" s="52" t="str">
        <f t="shared" si="42"/>
        <v>Box</v>
      </c>
      <c r="H262" s="52">
        <f t="shared" si="41"/>
        <v>2538</v>
      </c>
      <c r="I262" s="247">
        <f t="shared" si="44"/>
        <v>10</v>
      </c>
    </row>
    <row r="263" spans="1:9" ht="15" customHeight="1">
      <c r="A263" s="283" t="s">
        <v>67</v>
      </c>
      <c r="B263" s="247">
        <v>21</v>
      </c>
      <c r="C263" s="250" t="str">
        <f t="shared" si="43"/>
        <v>2025-02221</v>
      </c>
      <c r="D263" s="245">
        <v>45940</v>
      </c>
      <c r="E263" s="246" t="s">
        <v>58</v>
      </c>
      <c r="F263" s="247">
        <v>20</v>
      </c>
      <c r="G263" s="52" t="str">
        <f t="shared" si="42"/>
        <v>Box</v>
      </c>
      <c r="H263" s="52">
        <f t="shared" si="41"/>
        <v>306</v>
      </c>
      <c r="I263" s="247">
        <f t="shared" si="44"/>
        <v>10</v>
      </c>
    </row>
    <row r="264" spans="1:9" ht="15" customHeight="1">
      <c r="A264" s="283" t="s">
        <v>67</v>
      </c>
      <c r="B264" s="247">
        <v>22</v>
      </c>
      <c r="C264" s="250" t="str">
        <f t="shared" si="43"/>
        <v>2025-02222</v>
      </c>
      <c r="D264" s="245">
        <v>45940</v>
      </c>
      <c r="E264" s="246" t="s">
        <v>20</v>
      </c>
      <c r="F264" s="247">
        <v>20</v>
      </c>
      <c r="G264" s="52" t="str">
        <f t="shared" si="42"/>
        <v>Piece</v>
      </c>
      <c r="H264" s="52">
        <f t="shared" si="41"/>
        <v>1960</v>
      </c>
      <c r="I264" s="247">
        <f t="shared" si="44"/>
        <v>10</v>
      </c>
    </row>
    <row r="265" spans="1:9" ht="15" customHeight="1">
      <c r="A265" s="283" t="s">
        <v>67</v>
      </c>
      <c r="B265" s="247">
        <v>23</v>
      </c>
      <c r="C265" s="250" t="str">
        <f t="shared" si="43"/>
        <v>2025-02223</v>
      </c>
      <c r="D265" s="245">
        <v>45940</v>
      </c>
      <c r="E265" s="246" t="s">
        <v>66</v>
      </c>
      <c r="F265" s="247">
        <v>20</v>
      </c>
      <c r="G265" s="52" t="str">
        <f t="shared" si="42"/>
        <v>Box</v>
      </c>
      <c r="H265" s="52">
        <f t="shared" si="41"/>
        <v>2546</v>
      </c>
      <c r="I265" s="247">
        <f t="shared" si="44"/>
        <v>10</v>
      </c>
    </row>
    <row r="266" spans="1:9" ht="15" customHeight="1">
      <c r="A266" s="283" t="s">
        <v>67</v>
      </c>
      <c r="B266" s="247">
        <v>24</v>
      </c>
      <c r="C266" s="250" t="str">
        <f t="shared" si="43"/>
        <v>2025-02224</v>
      </c>
      <c r="D266" s="245">
        <v>45940</v>
      </c>
      <c r="E266" s="246" t="s">
        <v>43</v>
      </c>
      <c r="F266" s="247">
        <v>20</v>
      </c>
      <c r="G266" s="52" t="str">
        <f t="shared" si="42"/>
        <v>Box</v>
      </c>
      <c r="H266" s="52">
        <f t="shared" si="41"/>
        <v>2552</v>
      </c>
      <c r="I266" s="247">
        <f t="shared" si="44"/>
        <v>10</v>
      </c>
    </row>
    <row r="267" spans="1:9" ht="15" customHeight="1">
      <c r="A267" s="283" t="s">
        <v>67</v>
      </c>
      <c r="B267" s="247">
        <v>25</v>
      </c>
      <c r="C267" s="250" t="str">
        <f t="shared" ref="C267:C268" si="45">CONCATENATE(A267,B267)</f>
        <v>2025-02225</v>
      </c>
      <c r="D267" s="245">
        <v>45940</v>
      </c>
      <c r="E267" s="246" t="s">
        <v>68</v>
      </c>
      <c r="F267" s="247">
        <v>10</v>
      </c>
      <c r="G267" s="52" t="str">
        <f t="shared" si="42"/>
        <v>Piece</v>
      </c>
      <c r="H267" s="52">
        <f t="shared" si="41"/>
        <v>0</v>
      </c>
      <c r="I267" s="247">
        <f t="shared" si="44"/>
        <v>10</v>
      </c>
    </row>
    <row r="268" spans="1:9" ht="15" customHeight="1">
      <c r="A268" s="283" t="s">
        <v>69</v>
      </c>
      <c r="B268" s="247">
        <v>1</v>
      </c>
      <c r="C268" s="250" t="str">
        <f t="shared" si="45"/>
        <v>2025-0231</v>
      </c>
      <c r="D268" s="245">
        <v>45944</v>
      </c>
      <c r="E268" s="246" t="s">
        <v>70</v>
      </c>
      <c r="F268" s="247">
        <v>50</v>
      </c>
      <c r="G268" s="52" t="str">
        <f t="shared" si="42"/>
        <v>Roll</v>
      </c>
      <c r="H268" s="52">
        <f t="shared" si="41"/>
        <v>2629</v>
      </c>
      <c r="I268" s="247">
        <f t="shared" si="44"/>
        <v>10</v>
      </c>
    </row>
    <row r="269" spans="1:9" ht="15" customHeight="1">
      <c r="A269" s="283" t="s">
        <v>71</v>
      </c>
      <c r="B269" s="247">
        <v>1</v>
      </c>
      <c r="C269" s="250" t="str">
        <f t="shared" ref="C269:C293" si="46">CONCATENATE(A269,B269)</f>
        <v>2025-0241</v>
      </c>
      <c r="D269" s="245">
        <v>45968</v>
      </c>
      <c r="E269" s="246" t="s">
        <v>10</v>
      </c>
      <c r="F269" s="247">
        <v>50</v>
      </c>
      <c r="G269" s="52" t="str">
        <f t="shared" ref="G269:G300" si="47">IFERROR(VLOOKUP(E269,SUPPLY2,3,0),"-")</f>
        <v>Ream</v>
      </c>
      <c r="H269" s="52">
        <f t="shared" ref="H269:H300" si="48">IFERROR(VLOOKUP(E269,SUPPLY2,4,0),"-")</f>
        <v>2276</v>
      </c>
      <c r="I269" s="247">
        <f t="shared" ref="I269:I300" si="49">IFERROR(VLOOKUP(D269,YEAR2023,2,0),"-")</f>
        <v>11</v>
      </c>
    </row>
    <row r="270" spans="1:9" ht="15" customHeight="1">
      <c r="A270" s="283" t="s">
        <v>71</v>
      </c>
      <c r="B270" s="247">
        <v>2</v>
      </c>
      <c r="C270" s="250" t="str">
        <f t="shared" si="46"/>
        <v>2025-0242</v>
      </c>
      <c r="D270" s="245">
        <v>45968</v>
      </c>
      <c r="E270" s="246" t="s">
        <v>30</v>
      </c>
      <c r="F270" s="247">
        <v>50</v>
      </c>
      <c r="G270" s="52" t="str">
        <f t="shared" si="47"/>
        <v>Box</v>
      </c>
      <c r="H270" s="52">
        <f t="shared" si="48"/>
        <v>310</v>
      </c>
      <c r="I270" s="247">
        <f t="shared" si="49"/>
        <v>11</v>
      </c>
    </row>
    <row r="271" spans="1:9" ht="15" customHeight="1">
      <c r="A271" s="283" t="s">
        <v>71</v>
      </c>
      <c r="B271" s="247">
        <v>3</v>
      </c>
      <c r="C271" s="250" t="str">
        <f t="shared" si="46"/>
        <v>2025-0243</v>
      </c>
      <c r="D271" s="245">
        <v>45968</v>
      </c>
      <c r="E271" s="246" t="s">
        <v>25</v>
      </c>
      <c r="F271" s="247">
        <v>20</v>
      </c>
      <c r="G271" s="52" t="str">
        <f t="shared" si="47"/>
        <v>Box</v>
      </c>
      <c r="H271" s="52">
        <f t="shared" si="48"/>
        <v>2550</v>
      </c>
      <c r="I271" s="247">
        <f t="shared" si="49"/>
        <v>11</v>
      </c>
    </row>
    <row r="272" spans="1:9" ht="15" customHeight="1">
      <c r="A272" s="283" t="s">
        <v>71</v>
      </c>
      <c r="B272" s="247">
        <v>4</v>
      </c>
      <c r="C272" s="250" t="str">
        <f t="shared" si="46"/>
        <v>2025-0244</v>
      </c>
      <c r="D272" s="245">
        <v>45968</v>
      </c>
      <c r="E272" s="246" t="s">
        <v>15</v>
      </c>
      <c r="F272" s="247">
        <v>20</v>
      </c>
      <c r="G272" s="52" t="str">
        <f t="shared" si="47"/>
        <v>Roll</v>
      </c>
      <c r="H272" s="52">
        <f t="shared" si="48"/>
        <v>301</v>
      </c>
      <c r="I272" s="247">
        <f t="shared" si="49"/>
        <v>11</v>
      </c>
    </row>
    <row r="273" spans="1:9" ht="15" customHeight="1">
      <c r="A273" s="283" t="s">
        <v>71</v>
      </c>
      <c r="B273" s="247">
        <v>5</v>
      </c>
      <c r="C273" s="250" t="str">
        <f t="shared" si="46"/>
        <v>2025-0245</v>
      </c>
      <c r="D273" s="245">
        <v>45968</v>
      </c>
      <c r="E273" s="246" t="s">
        <v>19</v>
      </c>
      <c r="F273" s="247">
        <v>20</v>
      </c>
      <c r="G273" s="52" t="str">
        <f t="shared" si="47"/>
        <v>Roll</v>
      </c>
      <c r="H273" s="52">
        <f t="shared" si="48"/>
        <v>300</v>
      </c>
      <c r="I273" s="247">
        <f t="shared" si="49"/>
        <v>11</v>
      </c>
    </row>
    <row r="274" spans="1:9" ht="15" customHeight="1">
      <c r="A274" s="283" t="s">
        <v>71</v>
      </c>
      <c r="B274" s="247">
        <v>6</v>
      </c>
      <c r="C274" s="250" t="str">
        <f t="shared" si="46"/>
        <v>2025-0246</v>
      </c>
      <c r="D274" s="245">
        <v>45968</v>
      </c>
      <c r="E274" s="246" t="s">
        <v>38</v>
      </c>
      <c r="F274" s="247">
        <v>50</v>
      </c>
      <c r="G274" s="52" t="str">
        <f t="shared" si="47"/>
        <v>Ream</v>
      </c>
      <c r="H274" s="52">
        <f t="shared" si="48"/>
        <v>2521</v>
      </c>
      <c r="I274" s="247">
        <f t="shared" si="49"/>
        <v>11</v>
      </c>
    </row>
    <row r="275" spans="1:9" ht="15" customHeight="1">
      <c r="A275" s="283" t="s">
        <v>71</v>
      </c>
      <c r="B275" s="247">
        <v>7</v>
      </c>
      <c r="C275" s="250" t="str">
        <f t="shared" si="46"/>
        <v>2025-0247</v>
      </c>
      <c r="D275" s="245">
        <v>45968</v>
      </c>
      <c r="E275" s="246" t="s">
        <v>17</v>
      </c>
      <c r="F275" s="247">
        <v>10</v>
      </c>
      <c r="G275" s="52" t="str">
        <f t="shared" si="47"/>
        <v>Piece</v>
      </c>
      <c r="H275" s="52">
        <f t="shared" si="48"/>
        <v>336</v>
      </c>
      <c r="I275" s="247">
        <f t="shared" si="49"/>
        <v>11</v>
      </c>
    </row>
    <row r="276" spans="1:9" ht="15" customHeight="1">
      <c r="A276" s="283" t="s">
        <v>71</v>
      </c>
      <c r="B276" s="247">
        <v>8</v>
      </c>
      <c r="C276" s="250" t="str">
        <f t="shared" si="46"/>
        <v>2025-0248</v>
      </c>
      <c r="D276" s="245">
        <v>45968</v>
      </c>
      <c r="E276" s="246" t="s">
        <v>34</v>
      </c>
      <c r="F276" s="247">
        <v>10</v>
      </c>
      <c r="G276" s="52" t="str">
        <f t="shared" si="47"/>
        <v>Ream</v>
      </c>
      <c r="H276" s="52">
        <f t="shared" si="48"/>
        <v>0</v>
      </c>
      <c r="I276" s="247">
        <f t="shared" si="49"/>
        <v>11</v>
      </c>
    </row>
    <row r="277" spans="1:9" ht="15" customHeight="1">
      <c r="A277" s="283" t="s">
        <v>71</v>
      </c>
      <c r="B277" s="247">
        <v>9</v>
      </c>
      <c r="C277" s="250" t="str">
        <f t="shared" si="46"/>
        <v>2025-0249</v>
      </c>
      <c r="D277" s="245">
        <v>45968</v>
      </c>
      <c r="E277" s="246" t="s">
        <v>14</v>
      </c>
      <c r="F277" s="247">
        <v>50</v>
      </c>
      <c r="G277" s="52" t="str">
        <f t="shared" si="47"/>
        <v>C</v>
      </c>
      <c r="H277" s="52">
        <f t="shared" si="48"/>
        <v>46</v>
      </c>
      <c r="I277" s="247">
        <f t="shared" si="49"/>
        <v>11</v>
      </c>
    </row>
    <row r="278" spans="1:9" ht="15" customHeight="1">
      <c r="A278" s="283" t="s">
        <v>71</v>
      </c>
      <c r="B278" s="247">
        <v>10</v>
      </c>
      <c r="C278" s="250" t="str">
        <f t="shared" si="46"/>
        <v>2025-02410</v>
      </c>
      <c r="D278" s="245">
        <v>45968</v>
      </c>
      <c r="E278" s="246" t="s">
        <v>36</v>
      </c>
      <c r="F278" s="247">
        <v>10</v>
      </c>
      <c r="G278" s="52" t="str">
        <f t="shared" si="47"/>
        <v>Ream</v>
      </c>
      <c r="H278" s="52">
        <f t="shared" si="48"/>
        <v>0</v>
      </c>
      <c r="I278" s="247">
        <f t="shared" si="49"/>
        <v>11</v>
      </c>
    </row>
    <row r="279" spans="1:9" ht="15" customHeight="1">
      <c r="A279" s="283" t="s">
        <v>71</v>
      </c>
      <c r="B279" s="247">
        <v>11</v>
      </c>
      <c r="C279" s="250" t="str">
        <f t="shared" si="46"/>
        <v>2025-02411</v>
      </c>
      <c r="D279" s="245">
        <v>45968</v>
      </c>
      <c r="E279" s="246" t="s">
        <v>72</v>
      </c>
      <c r="F279" s="247">
        <v>100</v>
      </c>
      <c r="G279" s="52" t="str">
        <f t="shared" si="47"/>
        <v>-</v>
      </c>
      <c r="H279" s="52" t="str">
        <f t="shared" si="48"/>
        <v>-</v>
      </c>
      <c r="I279" s="247">
        <f t="shared" si="49"/>
        <v>11</v>
      </c>
    </row>
    <row r="280" spans="1:9" ht="15" customHeight="1">
      <c r="A280" s="283" t="s">
        <v>71</v>
      </c>
      <c r="B280" s="247">
        <v>12</v>
      </c>
      <c r="C280" s="250" t="str">
        <f t="shared" si="46"/>
        <v>2025-02412</v>
      </c>
      <c r="D280" s="245">
        <v>45968</v>
      </c>
      <c r="E280" s="246" t="s">
        <v>35</v>
      </c>
      <c r="F280" s="247">
        <v>5</v>
      </c>
      <c r="G280" s="52" t="str">
        <f t="shared" si="47"/>
        <v>Ream</v>
      </c>
      <c r="H280" s="52">
        <f t="shared" si="48"/>
        <v>0</v>
      </c>
      <c r="I280" s="247">
        <f t="shared" si="49"/>
        <v>11</v>
      </c>
    </row>
    <row r="281" spans="1:9" ht="15" customHeight="1">
      <c r="A281" s="283" t="s">
        <v>71</v>
      </c>
      <c r="B281" s="247">
        <v>13</v>
      </c>
      <c r="C281" s="250" t="str">
        <f t="shared" si="46"/>
        <v>2025-02413</v>
      </c>
      <c r="D281" s="245">
        <v>45968</v>
      </c>
      <c r="E281" s="246" t="s">
        <v>33</v>
      </c>
      <c r="F281" s="247">
        <v>50</v>
      </c>
      <c r="G281" s="52" t="str">
        <f t="shared" si="47"/>
        <v>Ream</v>
      </c>
      <c r="H281" s="52">
        <f t="shared" si="48"/>
        <v>0</v>
      </c>
      <c r="I281" s="247">
        <f t="shared" si="49"/>
        <v>11</v>
      </c>
    </row>
    <row r="282" spans="1:9" ht="15" customHeight="1">
      <c r="A282" s="283" t="s">
        <v>71</v>
      </c>
      <c r="B282" s="247">
        <v>14</v>
      </c>
      <c r="C282" s="250" t="str">
        <f t="shared" si="46"/>
        <v>2025-02414</v>
      </c>
      <c r="D282" s="245">
        <v>45968</v>
      </c>
      <c r="E282" s="246" t="s">
        <v>60</v>
      </c>
      <c r="F282" s="247">
        <v>10</v>
      </c>
      <c r="G282" s="52" t="str">
        <f t="shared" si="47"/>
        <v>Ream</v>
      </c>
      <c r="H282" s="52">
        <f t="shared" si="48"/>
        <v>1976</v>
      </c>
      <c r="I282" s="247">
        <f t="shared" si="49"/>
        <v>11</v>
      </c>
    </row>
    <row r="283" spans="1:9" ht="15" customHeight="1">
      <c r="A283" s="283" t="s">
        <v>71</v>
      </c>
      <c r="B283" s="247">
        <v>15</v>
      </c>
      <c r="C283" s="250" t="str">
        <f t="shared" si="46"/>
        <v>2025-02415</v>
      </c>
      <c r="D283" s="245">
        <v>45968</v>
      </c>
      <c r="E283" s="246" t="s">
        <v>53</v>
      </c>
      <c r="F283" s="247">
        <v>20</v>
      </c>
      <c r="G283" s="52" t="str">
        <f t="shared" si="47"/>
        <v>Piece</v>
      </c>
      <c r="H283" s="52">
        <f t="shared" si="48"/>
        <v>137</v>
      </c>
      <c r="I283" s="247">
        <f t="shared" si="49"/>
        <v>11</v>
      </c>
    </row>
    <row r="284" spans="1:9" ht="15" customHeight="1">
      <c r="A284" s="283" t="s">
        <v>71</v>
      </c>
      <c r="B284" s="247">
        <v>16</v>
      </c>
      <c r="C284" s="250" t="str">
        <f t="shared" si="46"/>
        <v>2025-02416</v>
      </c>
      <c r="D284" s="245">
        <v>45968</v>
      </c>
      <c r="E284" s="246" t="s">
        <v>13</v>
      </c>
      <c r="F284" s="247">
        <v>50</v>
      </c>
      <c r="G284" s="52" t="str">
        <f t="shared" si="47"/>
        <v>C</v>
      </c>
      <c r="H284" s="52">
        <f t="shared" si="48"/>
        <v>330</v>
      </c>
      <c r="I284" s="247">
        <f t="shared" si="49"/>
        <v>11</v>
      </c>
    </row>
    <row r="285" spans="1:9" ht="15" customHeight="1">
      <c r="A285" s="283" t="s">
        <v>71</v>
      </c>
      <c r="B285" s="247">
        <v>17</v>
      </c>
      <c r="C285" s="250" t="str">
        <f t="shared" si="46"/>
        <v>2025-02417</v>
      </c>
      <c r="D285" s="245">
        <v>45968</v>
      </c>
      <c r="E285" s="246" t="s">
        <v>61</v>
      </c>
      <c r="F285" s="247">
        <v>100</v>
      </c>
      <c r="G285" s="52" t="str">
        <f t="shared" si="47"/>
        <v>-</v>
      </c>
      <c r="H285" s="52" t="str">
        <f t="shared" si="48"/>
        <v>-</v>
      </c>
      <c r="I285" s="247">
        <f t="shared" si="49"/>
        <v>11</v>
      </c>
    </row>
    <row r="286" spans="1:9" ht="15" customHeight="1">
      <c r="A286" s="283" t="s">
        <v>71</v>
      </c>
      <c r="B286" s="247">
        <v>18</v>
      </c>
      <c r="C286" s="250" t="str">
        <f t="shared" si="46"/>
        <v>2025-02418</v>
      </c>
      <c r="D286" s="245">
        <v>45968</v>
      </c>
      <c r="E286" s="246" t="s">
        <v>63</v>
      </c>
      <c r="F286" s="247">
        <v>50</v>
      </c>
      <c r="G286" s="52" t="str">
        <f t="shared" si="47"/>
        <v>Bottle</v>
      </c>
      <c r="H286" s="52">
        <f t="shared" si="48"/>
        <v>2618</v>
      </c>
      <c r="I286" s="247">
        <f t="shared" si="49"/>
        <v>11</v>
      </c>
    </row>
    <row r="287" spans="1:9" ht="15" customHeight="1">
      <c r="A287" s="283" t="s">
        <v>71</v>
      </c>
      <c r="B287" s="247">
        <v>19</v>
      </c>
      <c r="C287" s="250" t="str">
        <f t="shared" si="46"/>
        <v>2025-02419</v>
      </c>
      <c r="D287" s="245">
        <v>45968</v>
      </c>
      <c r="E287" s="246" t="s">
        <v>65</v>
      </c>
      <c r="F287" s="247">
        <v>20</v>
      </c>
      <c r="G287" s="52" t="str">
        <f t="shared" si="47"/>
        <v>Box</v>
      </c>
      <c r="H287" s="52">
        <f t="shared" si="48"/>
        <v>2538</v>
      </c>
      <c r="I287" s="247">
        <f t="shared" si="49"/>
        <v>11</v>
      </c>
    </row>
    <row r="288" spans="1:9" ht="15" customHeight="1">
      <c r="A288" s="283" t="s">
        <v>71</v>
      </c>
      <c r="B288" s="247">
        <v>20</v>
      </c>
      <c r="C288" s="250" t="str">
        <f t="shared" si="46"/>
        <v>2025-02420</v>
      </c>
      <c r="D288" s="245">
        <v>45968</v>
      </c>
      <c r="E288" s="246" t="s">
        <v>58</v>
      </c>
      <c r="F288" s="247">
        <v>20</v>
      </c>
      <c r="G288" s="52" t="str">
        <f t="shared" si="47"/>
        <v>Box</v>
      </c>
      <c r="H288" s="52">
        <f t="shared" si="48"/>
        <v>306</v>
      </c>
      <c r="I288" s="247">
        <f t="shared" si="49"/>
        <v>11</v>
      </c>
    </row>
    <row r="289" spans="1:9" ht="15" customHeight="1">
      <c r="A289" s="283" t="s">
        <v>71</v>
      </c>
      <c r="B289" s="247">
        <v>21</v>
      </c>
      <c r="C289" s="250" t="str">
        <f t="shared" si="46"/>
        <v>2025-02421</v>
      </c>
      <c r="D289" s="245">
        <v>45968</v>
      </c>
      <c r="E289" s="246" t="s">
        <v>20</v>
      </c>
      <c r="F289" s="247">
        <v>20</v>
      </c>
      <c r="G289" s="52" t="str">
        <f t="shared" si="47"/>
        <v>Piece</v>
      </c>
      <c r="H289" s="52">
        <f t="shared" si="48"/>
        <v>1960</v>
      </c>
      <c r="I289" s="247">
        <f t="shared" si="49"/>
        <v>11</v>
      </c>
    </row>
    <row r="290" spans="1:9" ht="15" customHeight="1">
      <c r="A290" s="283" t="s">
        <v>71</v>
      </c>
      <c r="B290" s="247">
        <v>22</v>
      </c>
      <c r="C290" s="250" t="str">
        <f t="shared" si="46"/>
        <v>2025-02422</v>
      </c>
      <c r="D290" s="245">
        <v>45968</v>
      </c>
      <c r="E290" s="246" t="s">
        <v>66</v>
      </c>
      <c r="F290" s="247">
        <v>10</v>
      </c>
      <c r="G290" s="52" t="str">
        <f t="shared" si="47"/>
        <v>Box</v>
      </c>
      <c r="H290" s="52">
        <f t="shared" si="48"/>
        <v>2546</v>
      </c>
      <c r="I290" s="247">
        <f t="shared" si="49"/>
        <v>11</v>
      </c>
    </row>
    <row r="291" spans="1:9" ht="15" customHeight="1">
      <c r="A291" s="283" t="s">
        <v>71</v>
      </c>
      <c r="B291" s="247">
        <v>23</v>
      </c>
      <c r="C291" s="250" t="str">
        <f t="shared" si="46"/>
        <v>2025-02423</v>
      </c>
      <c r="D291" s="245">
        <v>45968</v>
      </c>
      <c r="E291" s="246" t="s">
        <v>43</v>
      </c>
      <c r="F291" s="247">
        <v>10</v>
      </c>
      <c r="G291" s="52" t="str">
        <f t="shared" si="47"/>
        <v>Box</v>
      </c>
      <c r="H291" s="52">
        <f t="shared" si="48"/>
        <v>2552</v>
      </c>
      <c r="I291" s="247">
        <f t="shared" si="49"/>
        <v>11</v>
      </c>
    </row>
    <row r="292" spans="1:9" ht="15" customHeight="1">
      <c r="A292" s="283" t="s">
        <v>71</v>
      </c>
      <c r="B292" s="247">
        <v>24</v>
      </c>
      <c r="C292" s="250" t="str">
        <f t="shared" si="46"/>
        <v>2025-02424</v>
      </c>
      <c r="D292" s="245">
        <v>45968</v>
      </c>
      <c r="E292" s="246" t="s">
        <v>68</v>
      </c>
      <c r="F292" s="247">
        <v>20</v>
      </c>
      <c r="G292" s="52" t="str">
        <f t="shared" si="47"/>
        <v>Piece</v>
      </c>
      <c r="H292" s="52">
        <f t="shared" si="48"/>
        <v>0</v>
      </c>
      <c r="I292" s="247">
        <f t="shared" si="49"/>
        <v>11</v>
      </c>
    </row>
    <row r="293" spans="1:9" ht="15" customHeight="1">
      <c r="A293" s="283" t="s">
        <v>71</v>
      </c>
      <c r="B293" s="247">
        <v>25</v>
      </c>
      <c r="C293" s="250" t="str">
        <f t="shared" si="46"/>
        <v>2025-02425</v>
      </c>
      <c r="D293" s="245">
        <v>45968</v>
      </c>
      <c r="E293" s="246" t="s">
        <v>70</v>
      </c>
      <c r="F293" s="247">
        <v>50</v>
      </c>
      <c r="G293" s="52" t="str">
        <f t="shared" si="47"/>
        <v>Roll</v>
      </c>
      <c r="H293" s="52">
        <f t="shared" si="48"/>
        <v>2629</v>
      </c>
      <c r="I293" s="247">
        <f t="shared" si="49"/>
        <v>11</v>
      </c>
    </row>
    <row r="294" spans="1:9" ht="15" customHeight="1">
      <c r="A294" s="283" t="s">
        <v>71</v>
      </c>
      <c r="B294" s="247">
        <v>26</v>
      </c>
      <c r="C294" s="250" t="str">
        <f>CONCATENATE(A294,B294)</f>
        <v>2025-02426</v>
      </c>
      <c r="D294" s="245">
        <v>45968</v>
      </c>
      <c r="E294" s="246" t="s">
        <v>73</v>
      </c>
      <c r="F294" s="247">
        <v>50</v>
      </c>
      <c r="G294" s="52" t="str">
        <f t="shared" si="47"/>
        <v>-</v>
      </c>
      <c r="H294" s="52" t="str">
        <f t="shared" si="48"/>
        <v>-</v>
      </c>
      <c r="I294" s="247">
        <f t="shared" si="49"/>
        <v>11</v>
      </c>
    </row>
    <row r="295" spans="1:9" ht="15" customHeight="1">
      <c r="A295" s="283" t="s">
        <v>74</v>
      </c>
      <c r="B295" s="247">
        <v>1</v>
      </c>
      <c r="C295" s="250" t="str">
        <f t="shared" ref="C295:C296" si="50">CONCATENATE(A295,B295)</f>
        <v>8-1451161</v>
      </c>
      <c r="D295" s="245">
        <v>45968</v>
      </c>
      <c r="E295" s="246" t="s">
        <v>10</v>
      </c>
      <c r="F295" s="247">
        <v>50</v>
      </c>
      <c r="G295" s="52" t="str">
        <f t="shared" si="47"/>
        <v>Ream</v>
      </c>
      <c r="H295" s="52">
        <f t="shared" si="48"/>
        <v>2276</v>
      </c>
      <c r="I295" s="247">
        <f t="shared" si="49"/>
        <v>11</v>
      </c>
    </row>
    <row r="296" spans="1:9" ht="15" customHeight="1">
      <c r="A296" s="283" t="s">
        <v>74</v>
      </c>
      <c r="B296" s="247">
        <v>2</v>
      </c>
      <c r="C296" s="250" t="str">
        <f t="shared" si="50"/>
        <v>8-1451162</v>
      </c>
      <c r="D296" s="245">
        <v>45968</v>
      </c>
      <c r="E296" s="246" t="s">
        <v>12</v>
      </c>
      <c r="F296" s="247">
        <v>50</v>
      </c>
      <c r="G296" s="52" t="str">
        <f t="shared" si="47"/>
        <v>Ream</v>
      </c>
      <c r="H296" s="52">
        <f t="shared" si="48"/>
        <v>2067</v>
      </c>
      <c r="I296" s="247">
        <f t="shared" si="49"/>
        <v>11</v>
      </c>
    </row>
    <row r="297" spans="1:9" ht="15" customHeight="1">
      <c r="A297" s="283" t="s">
        <v>75</v>
      </c>
      <c r="B297" s="247">
        <v>1</v>
      </c>
      <c r="C297" s="250" t="str">
        <f>CONCATENATE(A297,B297)</f>
        <v>2026-0011</v>
      </c>
      <c r="D297" s="245">
        <v>46037</v>
      </c>
      <c r="E297" s="246" t="s">
        <v>10</v>
      </c>
      <c r="F297" s="247">
        <v>50</v>
      </c>
      <c r="G297" s="52" t="str">
        <f t="shared" si="47"/>
        <v>Ream</v>
      </c>
      <c r="H297" s="52">
        <f t="shared" si="48"/>
        <v>2276</v>
      </c>
      <c r="I297" s="247">
        <f t="shared" si="49"/>
        <v>0</v>
      </c>
    </row>
    <row r="298" spans="1:9" ht="15" customHeight="1">
      <c r="A298" s="283" t="s">
        <v>75</v>
      </c>
      <c r="B298" s="247">
        <v>2</v>
      </c>
      <c r="C298" s="250" t="str">
        <f>CONCATENATE(A298,B298)</f>
        <v>2026-0012</v>
      </c>
      <c r="D298" s="245">
        <v>46037</v>
      </c>
      <c r="E298" s="246" t="s">
        <v>30</v>
      </c>
      <c r="F298" s="247">
        <v>50</v>
      </c>
      <c r="G298" s="52" t="str">
        <f t="shared" si="47"/>
        <v>Box</v>
      </c>
      <c r="H298" s="52">
        <f t="shared" si="48"/>
        <v>310</v>
      </c>
      <c r="I298" s="247">
        <f t="shared" si="49"/>
        <v>0</v>
      </c>
    </row>
    <row r="299" spans="1:9" ht="15" customHeight="1">
      <c r="A299" s="283" t="s">
        <v>75</v>
      </c>
      <c r="B299" s="247">
        <v>3</v>
      </c>
      <c r="C299" s="250" t="str">
        <f>CONCATENATE(A299,B299)</f>
        <v>2026-0013</v>
      </c>
      <c r="D299" s="245">
        <v>46037</v>
      </c>
      <c r="E299" s="246" t="s">
        <v>25</v>
      </c>
      <c r="F299" s="247">
        <v>20</v>
      </c>
      <c r="G299" s="52" t="str">
        <f t="shared" si="47"/>
        <v>Box</v>
      </c>
      <c r="H299" s="52">
        <f t="shared" si="48"/>
        <v>2550</v>
      </c>
      <c r="I299" s="247">
        <f t="shared" si="49"/>
        <v>0</v>
      </c>
    </row>
    <row r="300" spans="1:9" ht="15" customHeight="1">
      <c r="A300" s="283" t="s">
        <v>75</v>
      </c>
      <c r="B300" s="247">
        <v>4</v>
      </c>
      <c r="C300" s="250" t="str">
        <f t="shared" ref="C300:C320" si="51">CONCATENATE(A300,B300)</f>
        <v>2026-0014</v>
      </c>
      <c r="D300" s="245">
        <v>46037</v>
      </c>
      <c r="E300" s="246" t="s">
        <v>15</v>
      </c>
      <c r="F300" s="247">
        <v>20</v>
      </c>
      <c r="G300" s="52" t="str">
        <f t="shared" si="47"/>
        <v>Roll</v>
      </c>
      <c r="H300" s="52">
        <f t="shared" si="48"/>
        <v>301</v>
      </c>
      <c r="I300" s="247">
        <f t="shared" si="49"/>
        <v>0</v>
      </c>
    </row>
    <row r="301" spans="1:9" ht="15" customHeight="1">
      <c r="A301" s="283" t="s">
        <v>75</v>
      </c>
      <c r="B301" s="247">
        <v>5</v>
      </c>
      <c r="C301" s="250" t="str">
        <f t="shared" si="51"/>
        <v>2026-0015</v>
      </c>
      <c r="D301" s="245">
        <v>46037</v>
      </c>
      <c r="E301" s="246" t="s">
        <v>19</v>
      </c>
      <c r="F301" s="247">
        <v>20</v>
      </c>
      <c r="G301" s="52" t="str">
        <f t="shared" ref="G301:G332" si="52">IFERROR(VLOOKUP(E301,SUPPLY2,3,0),"-")</f>
        <v>Roll</v>
      </c>
      <c r="H301" s="52">
        <f t="shared" ref="H301:H332" si="53">IFERROR(VLOOKUP(E301,SUPPLY2,4,0),"-")</f>
        <v>300</v>
      </c>
      <c r="I301" s="247">
        <f t="shared" ref="I301:I332" si="54">IFERROR(VLOOKUP(D301,YEAR2023,2,0),"-")</f>
        <v>0</v>
      </c>
    </row>
    <row r="302" spans="1:9" ht="15" customHeight="1">
      <c r="A302" s="283" t="s">
        <v>75</v>
      </c>
      <c r="B302" s="247">
        <v>6</v>
      </c>
      <c r="C302" s="250" t="str">
        <f t="shared" si="51"/>
        <v>2026-0016</v>
      </c>
      <c r="D302" s="245">
        <v>46037</v>
      </c>
      <c r="E302" s="246" t="s">
        <v>38</v>
      </c>
      <c r="F302" s="247">
        <v>50</v>
      </c>
      <c r="G302" s="52" t="str">
        <f t="shared" si="52"/>
        <v>Ream</v>
      </c>
      <c r="H302" s="52">
        <f t="shared" si="53"/>
        <v>2521</v>
      </c>
      <c r="I302" s="247">
        <f t="shared" si="54"/>
        <v>0</v>
      </c>
    </row>
    <row r="303" spans="1:9" ht="15" customHeight="1">
      <c r="A303" s="283" t="s">
        <v>75</v>
      </c>
      <c r="B303" s="247">
        <v>7</v>
      </c>
      <c r="C303" s="250" t="str">
        <f t="shared" si="51"/>
        <v>2026-0017</v>
      </c>
      <c r="D303" s="245">
        <v>46037</v>
      </c>
      <c r="E303" s="246" t="s">
        <v>17</v>
      </c>
      <c r="F303" s="247">
        <v>10</v>
      </c>
      <c r="G303" s="52" t="str">
        <f t="shared" si="52"/>
        <v>Piece</v>
      </c>
      <c r="H303" s="52">
        <f t="shared" si="53"/>
        <v>336</v>
      </c>
      <c r="I303" s="247">
        <f t="shared" si="54"/>
        <v>0</v>
      </c>
    </row>
    <row r="304" spans="1:9" ht="15" customHeight="1">
      <c r="A304" s="283" t="s">
        <v>75</v>
      </c>
      <c r="B304" s="247">
        <v>8</v>
      </c>
      <c r="C304" s="250" t="str">
        <f t="shared" si="51"/>
        <v>2026-0018</v>
      </c>
      <c r="D304" s="245">
        <v>46037</v>
      </c>
      <c r="E304" s="246" t="s">
        <v>34</v>
      </c>
      <c r="F304" s="247">
        <v>50</v>
      </c>
      <c r="G304" s="52" t="str">
        <f t="shared" si="52"/>
        <v>Ream</v>
      </c>
      <c r="H304" s="52">
        <f t="shared" si="53"/>
        <v>0</v>
      </c>
      <c r="I304" s="247">
        <f t="shared" si="54"/>
        <v>0</v>
      </c>
    </row>
    <row r="305" spans="1:9" ht="15" customHeight="1">
      <c r="A305" s="283" t="s">
        <v>75</v>
      </c>
      <c r="B305" s="247">
        <v>9</v>
      </c>
      <c r="C305" s="250" t="str">
        <f t="shared" si="51"/>
        <v>2026-0019</v>
      </c>
      <c r="D305" s="245">
        <v>46037</v>
      </c>
      <c r="E305" s="246" t="s">
        <v>14</v>
      </c>
      <c r="F305" s="247">
        <v>50</v>
      </c>
      <c r="G305" s="52" t="str">
        <f t="shared" si="52"/>
        <v>C</v>
      </c>
      <c r="H305" s="52">
        <f t="shared" si="53"/>
        <v>46</v>
      </c>
      <c r="I305" s="247">
        <f t="shared" si="54"/>
        <v>0</v>
      </c>
    </row>
    <row r="306" spans="1:9" ht="15" customHeight="1">
      <c r="A306" s="283" t="s">
        <v>75</v>
      </c>
      <c r="B306" s="247">
        <v>10</v>
      </c>
      <c r="C306" s="250" t="str">
        <f t="shared" si="51"/>
        <v>2026-00110</v>
      </c>
      <c r="D306" s="245">
        <v>46037</v>
      </c>
      <c r="E306" s="246" t="s">
        <v>18</v>
      </c>
      <c r="F306" s="247">
        <v>200</v>
      </c>
      <c r="G306" s="52" t="str">
        <f t="shared" si="52"/>
        <v>Piece</v>
      </c>
      <c r="H306" s="52">
        <f t="shared" si="53"/>
        <v>337</v>
      </c>
      <c r="I306" s="247">
        <f t="shared" si="54"/>
        <v>0</v>
      </c>
    </row>
    <row r="307" spans="1:9" ht="15" customHeight="1">
      <c r="A307" s="283" t="s">
        <v>75</v>
      </c>
      <c r="B307" s="247">
        <v>11</v>
      </c>
      <c r="C307" s="250" t="str">
        <f t="shared" si="51"/>
        <v>2026-00111</v>
      </c>
      <c r="D307" s="245">
        <v>46037</v>
      </c>
      <c r="E307" s="246" t="s">
        <v>33</v>
      </c>
      <c r="F307" s="247">
        <v>50</v>
      </c>
      <c r="G307" s="52" t="str">
        <f t="shared" si="52"/>
        <v>Ream</v>
      </c>
      <c r="H307" s="52">
        <f t="shared" si="53"/>
        <v>0</v>
      </c>
      <c r="I307" s="247">
        <f t="shared" si="54"/>
        <v>0</v>
      </c>
    </row>
    <row r="308" spans="1:9" ht="15" customHeight="1">
      <c r="A308" s="283" t="s">
        <v>75</v>
      </c>
      <c r="B308" s="247">
        <v>12</v>
      </c>
      <c r="C308" s="250" t="str">
        <f t="shared" si="51"/>
        <v>2026-00112</v>
      </c>
      <c r="D308" s="245">
        <v>46037</v>
      </c>
      <c r="E308" s="246" t="s">
        <v>60</v>
      </c>
      <c r="F308" s="247">
        <v>10</v>
      </c>
      <c r="G308" s="52" t="str">
        <f t="shared" si="52"/>
        <v>Ream</v>
      </c>
      <c r="H308" s="52">
        <f t="shared" si="53"/>
        <v>1976</v>
      </c>
      <c r="I308" s="247">
        <f t="shared" si="54"/>
        <v>0</v>
      </c>
    </row>
    <row r="309" spans="1:9" ht="15" customHeight="1">
      <c r="A309" s="283" t="s">
        <v>75</v>
      </c>
      <c r="B309" s="247">
        <v>13</v>
      </c>
      <c r="C309" s="250" t="str">
        <f t="shared" si="51"/>
        <v>2026-00113</v>
      </c>
      <c r="D309" s="245">
        <v>46037</v>
      </c>
      <c r="E309" s="246" t="s">
        <v>53</v>
      </c>
      <c r="F309" s="247">
        <v>20</v>
      </c>
      <c r="G309" s="52" t="str">
        <f t="shared" si="52"/>
        <v>Piece</v>
      </c>
      <c r="H309" s="52">
        <f t="shared" si="53"/>
        <v>137</v>
      </c>
      <c r="I309" s="247">
        <f t="shared" si="54"/>
        <v>0</v>
      </c>
    </row>
    <row r="310" spans="1:9" ht="15" customHeight="1">
      <c r="A310" s="283" t="s">
        <v>75</v>
      </c>
      <c r="B310" s="247">
        <v>14</v>
      </c>
      <c r="C310" s="250" t="str">
        <f t="shared" si="51"/>
        <v>2026-00114</v>
      </c>
      <c r="D310" s="245">
        <v>46037</v>
      </c>
      <c r="E310" s="246" t="s">
        <v>13</v>
      </c>
      <c r="F310" s="247">
        <v>50</v>
      </c>
      <c r="G310" s="52" t="str">
        <f t="shared" si="52"/>
        <v>C</v>
      </c>
      <c r="H310" s="52">
        <f t="shared" si="53"/>
        <v>330</v>
      </c>
      <c r="I310" s="247">
        <f t="shared" si="54"/>
        <v>0</v>
      </c>
    </row>
    <row r="311" spans="1:9" ht="15" customHeight="1">
      <c r="A311" s="283" t="s">
        <v>75</v>
      </c>
      <c r="B311" s="247">
        <v>15</v>
      </c>
      <c r="C311" s="250" t="str">
        <f t="shared" si="51"/>
        <v>2026-00115</v>
      </c>
      <c r="D311" s="245">
        <v>46037</v>
      </c>
      <c r="E311" s="246" t="s">
        <v>61</v>
      </c>
      <c r="F311" s="247">
        <v>100</v>
      </c>
      <c r="G311" s="52" t="str">
        <f t="shared" si="52"/>
        <v>-</v>
      </c>
      <c r="H311" s="52" t="str">
        <f t="shared" si="53"/>
        <v>-</v>
      </c>
      <c r="I311" s="247">
        <f t="shared" si="54"/>
        <v>0</v>
      </c>
    </row>
    <row r="312" spans="1:9" ht="15" customHeight="1">
      <c r="A312" s="283" t="s">
        <v>75</v>
      </c>
      <c r="B312" s="247">
        <v>16</v>
      </c>
      <c r="C312" s="250" t="str">
        <f t="shared" si="51"/>
        <v>2026-00116</v>
      </c>
      <c r="D312" s="245">
        <v>46037</v>
      </c>
      <c r="E312" s="246" t="s">
        <v>63</v>
      </c>
      <c r="F312" s="247">
        <v>50</v>
      </c>
      <c r="G312" s="52" t="str">
        <f t="shared" si="52"/>
        <v>Bottle</v>
      </c>
      <c r="H312" s="52">
        <f t="shared" si="53"/>
        <v>2618</v>
      </c>
      <c r="I312" s="247">
        <f t="shared" si="54"/>
        <v>0</v>
      </c>
    </row>
    <row r="313" spans="1:9" ht="15" customHeight="1">
      <c r="A313" s="283" t="s">
        <v>75</v>
      </c>
      <c r="B313" s="247">
        <v>17</v>
      </c>
      <c r="C313" s="250" t="str">
        <f t="shared" si="51"/>
        <v>2026-00117</v>
      </c>
      <c r="D313" s="245">
        <v>46037</v>
      </c>
      <c r="E313" s="246" t="s">
        <v>65</v>
      </c>
      <c r="F313" s="247">
        <v>20</v>
      </c>
      <c r="G313" s="52" t="str">
        <f t="shared" si="52"/>
        <v>Box</v>
      </c>
      <c r="H313" s="52">
        <f t="shared" si="53"/>
        <v>2538</v>
      </c>
      <c r="I313" s="247">
        <f t="shared" si="54"/>
        <v>0</v>
      </c>
    </row>
    <row r="314" spans="1:9" ht="15" customHeight="1">
      <c r="A314" s="283" t="s">
        <v>75</v>
      </c>
      <c r="B314" s="247">
        <v>18</v>
      </c>
      <c r="C314" s="250" t="str">
        <f t="shared" si="51"/>
        <v>2026-00118</v>
      </c>
      <c r="D314" s="245">
        <v>46037</v>
      </c>
      <c r="E314" s="246" t="s">
        <v>58</v>
      </c>
      <c r="F314" s="247">
        <v>20</v>
      </c>
      <c r="G314" s="52" t="str">
        <f t="shared" si="52"/>
        <v>Box</v>
      </c>
      <c r="H314" s="52">
        <f t="shared" si="53"/>
        <v>306</v>
      </c>
      <c r="I314" s="247">
        <f t="shared" si="54"/>
        <v>0</v>
      </c>
    </row>
    <row r="315" spans="1:9" ht="15" customHeight="1">
      <c r="A315" s="283" t="s">
        <v>75</v>
      </c>
      <c r="B315" s="247">
        <v>19</v>
      </c>
      <c r="C315" s="250" t="str">
        <f t="shared" si="51"/>
        <v>2026-00119</v>
      </c>
      <c r="D315" s="245">
        <v>46037</v>
      </c>
      <c r="E315" s="246" t="s">
        <v>20</v>
      </c>
      <c r="F315" s="247">
        <v>20</v>
      </c>
      <c r="G315" s="52" t="str">
        <f t="shared" si="52"/>
        <v>Piece</v>
      </c>
      <c r="H315" s="52">
        <f t="shared" si="53"/>
        <v>1960</v>
      </c>
      <c r="I315" s="247">
        <f t="shared" si="54"/>
        <v>0</v>
      </c>
    </row>
    <row r="316" spans="1:9" ht="15" customHeight="1">
      <c r="A316" s="283" t="s">
        <v>75</v>
      </c>
      <c r="B316" s="247">
        <v>20</v>
      </c>
      <c r="C316" s="250" t="str">
        <f t="shared" si="51"/>
        <v>2026-00120</v>
      </c>
      <c r="D316" s="245">
        <v>46037</v>
      </c>
      <c r="E316" s="246" t="s">
        <v>66</v>
      </c>
      <c r="F316" s="247">
        <v>10</v>
      </c>
      <c r="G316" s="52" t="str">
        <f t="shared" si="52"/>
        <v>Box</v>
      </c>
      <c r="H316" s="52">
        <f t="shared" si="53"/>
        <v>2546</v>
      </c>
      <c r="I316" s="247">
        <f t="shared" si="54"/>
        <v>0</v>
      </c>
    </row>
    <row r="317" spans="1:9" ht="15" customHeight="1">
      <c r="A317" s="283" t="s">
        <v>75</v>
      </c>
      <c r="B317" s="247">
        <v>21</v>
      </c>
      <c r="C317" s="250" t="str">
        <f t="shared" si="51"/>
        <v>2026-00121</v>
      </c>
      <c r="D317" s="245">
        <v>46037</v>
      </c>
      <c r="E317" s="246" t="s">
        <v>43</v>
      </c>
      <c r="F317" s="247">
        <v>10</v>
      </c>
      <c r="G317" s="52" t="str">
        <f t="shared" si="52"/>
        <v>Box</v>
      </c>
      <c r="H317" s="52">
        <f t="shared" si="53"/>
        <v>2552</v>
      </c>
      <c r="I317" s="247">
        <f t="shared" si="54"/>
        <v>0</v>
      </c>
    </row>
    <row r="318" spans="1:9" ht="15" customHeight="1">
      <c r="A318" s="283" t="s">
        <v>75</v>
      </c>
      <c r="B318" s="247">
        <v>22</v>
      </c>
      <c r="C318" s="250" t="str">
        <f t="shared" si="51"/>
        <v>2026-00122</v>
      </c>
      <c r="D318" s="245">
        <v>46037</v>
      </c>
      <c r="E318" s="246" t="s">
        <v>68</v>
      </c>
      <c r="F318" s="247">
        <v>10</v>
      </c>
      <c r="G318" s="52" t="str">
        <f t="shared" si="52"/>
        <v>Piece</v>
      </c>
      <c r="H318" s="52">
        <f t="shared" si="53"/>
        <v>0</v>
      </c>
      <c r="I318" s="247">
        <f t="shared" si="54"/>
        <v>0</v>
      </c>
    </row>
    <row r="319" spans="1:9" ht="15" customHeight="1">
      <c r="A319" s="283" t="s">
        <v>75</v>
      </c>
      <c r="B319" s="247">
        <v>23</v>
      </c>
      <c r="C319" s="250" t="str">
        <f t="shared" si="51"/>
        <v>2026-00123</v>
      </c>
      <c r="D319" s="245">
        <v>46037</v>
      </c>
      <c r="E319" s="246" t="s">
        <v>70</v>
      </c>
      <c r="F319" s="247">
        <v>50</v>
      </c>
      <c r="G319" s="52" t="str">
        <f t="shared" si="52"/>
        <v>Roll</v>
      </c>
      <c r="H319" s="52">
        <f t="shared" si="53"/>
        <v>2629</v>
      </c>
      <c r="I319" s="247">
        <f t="shared" si="54"/>
        <v>0</v>
      </c>
    </row>
    <row r="320" spans="1:9" ht="15" customHeight="1">
      <c r="A320" s="283" t="s">
        <v>75</v>
      </c>
      <c r="B320" s="247">
        <v>24</v>
      </c>
      <c r="C320" s="250" t="str">
        <f t="shared" si="51"/>
        <v>2026-00124</v>
      </c>
      <c r="D320" s="245">
        <v>46037</v>
      </c>
      <c r="E320" s="246" t="s">
        <v>73</v>
      </c>
      <c r="F320" s="247">
        <v>50</v>
      </c>
      <c r="G320" s="52" t="str">
        <f t="shared" si="52"/>
        <v>-</v>
      </c>
      <c r="H320" s="52" t="str">
        <f t="shared" si="53"/>
        <v>-</v>
      </c>
      <c r="I320" s="247">
        <f t="shared" si="54"/>
        <v>0</v>
      </c>
    </row>
    <row r="321" spans="1:9" ht="15" customHeight="1">
      <c r="A321" s="283" t="s">
        <v>76</v>
      </c>
      <c r="B321" s="247">
        <v>1</v>
      </c>
      <c r="C321" s="250" t="str">
        <f>CONCATENATE(A321,B321)</f>
        <v>2026-0021</v>
      </c>
      <c r="D321" s="245">
        <v>46072</v>
      </c>
      <c r="E321" s="246" t="s">
        <v>10</v>
      </c>
      <c r="F321" s="247">
        <v>50</v>
      </c>
      <c r="G321" s="52" t="str">
        <f t="shared" si="52"/>
        <v>Ream</v>
      </c>
      <c r="H321" s="52">
        <f t="shared" si="53"/>
        <v>2276</v>
      </c>
      <c r="I321" s="247">
        <f t="shared" si="54"/>
        <v>0</v>
      </c>
    </row>
    <row r="322" spans="1:9" ht="15" customHeight="1">
      <c r="A322" s="283" t="s">
        <v>76</v>
      </c>
      <c r="B322" s="247">
        <v>2</v>
      </c>
      <c r="C322" s="250" t="str">
        <f t="shared" ref="C322:C335" si="55">CONCATENATE(A322,B322)</f>
        <v>2026-0022</v>
      </c>
      <c r="D322" s="245">
        <v>46072</v>
      </c>
      <c r="E322" s="246" t="s">
        <v>30</v>
      </c>
      <c r="F322" s="247">
        <v>100</v>
      </c>
      <c r="G322" s="52" t="str">
        <f t="shared" si="52"/>
        <v>Box</v>
      </c>
      <c r="H322" s="52">
        <f t="shared" si="53"/>
        <v>310</v>
      </c>
      <c r="I322" s="247">
        <f t="shared" si="54"/>
        <v>0</v>
      </c>
    </row>
    <row r="323" spans="1:9" ht="15" customHeight="1">
      <c r="A323" s="283" t="s">
        <v>76</v>
      </c>
      <c r="B323" s="247">
        <v>3</v>
      </c>
      <c r="C323" s="250" t="str">
        <f t="shared" si="55"/>
        <v>2026-0023</v>
      </c>
      <c r="D323" s="245">
        <v>46072</v>
      </c>
      <c r="E323" s="246" t="s">
        <v>25</v>
      </c>
      <c r="F323" s="247">
        <v>20</v>
      </c>
      <c r="G323" s="52" t="str">
        <f t="shared" si="52"/>
        <v>Box</v>
      </c>
      <c r="H323" s="52">
        <f t="shared" si="53"/>
        <v>2550</v>
      </c>
      <c r="I323" s="247">
        <f t="shared" si="54"/>
        <v>0</v>
      </c>
    </row>
    <row r="324" spans="1:9" ht="15" customHeight="1">
      <c r="A324" s="283" t="s">
        <v>76</v>
      </c>
      <c r="B324" s="247">
        <v>4</v>
      </c>
      <c r="C324" s="250" t="str">
        <f t="shared" si="55"/>
        <v>2026-0024</v>
      </c>
      <c r="D324" s="245">
        <v>46072</v>
      </c>
      <c r="E324" s="246" t="s">
        <v>15</v>
      </c>
      <c r="F324" s="247">
        <v>20</v>
      </c>
      <c r="G324" s="52" t="str">
        <f t="shared" si="52"/>
        <v>Roll</v>
      </c>
      <c r="H324" s="52">
        <f t="shared" si="53"/>
        <v>301</v>
      </c>
      <c r="I324" s="247">
        <f t="shared" si="54"/>
        <v>0</v>
      </c>
    </row>
    <row r="325" spans="1:9" ht="15" customHeight="1">
      <c r="A325" s="283" t="s">
        <v>76</v>
      </c>
      <c r="B325" s="247">
        <v>5</v>
      </c>
      <c r="C325" s="250" t="str">
        <f t="shared" si="55"/>
        <v>2026-0025</v>
      </c>
      <c r="D325" s="245">
        <v>46072</v>
      </c>
      <c r="E325" s="246" t="s">
        <v>19</v>
      </c>
      <c r="F325" s="247">
        <v>20</v>
      </c>
      <c r="G325" s="52" t="str">
        <f t="shared" si="52"/>
        <v>Roll</v>
      </c>
      <c r="H325" s="52">
        <f t="shared" si="53"/>
        <v>300</v>
      </c>
      <c r="I325" s="247">
        <f t="shared" si="54"/>
        <v>0</v>
      </c>
    </row>
    <row r="326" spans="1:9" ht="15" customHeight="1">
      <c r="A326" s="283" t="s">
        <v>76</v>
      </c>
      <c r="B326" s="247">
        <v>6</v>
      </c>
      <c r="C326" s="250" t="str">
        <f t="shared" si="55"/>
        <v>2026-0026</v>
      </c>
      <c r="D326" s="245">
        <v>46072</v>
      </c>
      <c r="E326" s="246" t="s">
        <v>38</v>
      </c>
      <c r="F326" s="247">
        <v>50</v>
      </c>
      <c r="G326" s="52" t="str">
        <f t="shared" si="52"/>
        <v>Ream</v>
      </c>
      <c r="H326" s="52">
        <f t="shared" si="53"/>
        <v>2521</v>
      </c>
      <c r="I326" s="247">
        <f t="shared" si="54"/>
        <v>0</v>
      </c>
    </row>
    <row r="327" spans="1:9" ht="15" customHeight="1">
      <c r="A327" s="283" t="s">
        <v>76</v>
      </c>
      <c r="B327" s="247">
        <v>7</v>
      </c>
      <c r="C327" s="250" t="str">
        <f t="shared" si="55"/>
        <v>2026-0027</v>
      </c>
      <c r="D327" s="245">
        <v>46072</v>
      </c>
      <c r="E327" s="246" t="s">
        <v>17</v>
      </c>
      <c r="F327" s="247">
        <v>10</v>
      </c>
      <c r="G327" s="52" t="str">
        <f t="shared" si="52"/>
        <v>Piece</v>
      </c>
      <c r="H327" s="52">
        <f t="shared" si="53"/>
        <v>336</v>
      </c>
      <c r="I327" s="247">
        <f t="shared" si="54"/>
        <v>0</v>
      </c>
    </row>
    <row r="328" spans="1:9" ht="15" customHeight="1">
      <c r="A328" s="283" t="s">
        <v>76</v>
      </c>
      <c r="B328" s="247">
        <v>8</v>
      </c>
      <c r="C328" s="250" t="str">
        <f t="shared" si="55"/>
        <v>2026-0028</v>
      </c>
      <c r="D328" s="245">
        <v>46072</v>
      </c>
      <c r="E328" s="246" t="s">
        <v>34</v>
      </c>
      <c r="F328" s="247">
        <v>30</v>
      </c>
      <c r="G328" s="52" t="str">
        <f t="shared" si="52"/>
        <v>Ream</v>
      </c>
      <c r="H328" s="52">
        <f t="shared" si="53"/>
        <v>0</v>
      </c>
      <c r="I328" s="247">
        <f t="shared" si="54"/>
        <v>0</v>
      </c>
    </row>
    <row r="329" spans="1:9" ht="15" customHeight="1">
      <c r="A329" s="283" t="s">
        <v>76</v>
      </c>
      <c r="B329" s="247">
        <v>9</v>
      </c>
      <c r="C329" s="250" t="str">
        <f t="shared" si="55"/>
        <v>2026-0029</v>
      </c>
      <c r="D329" s="245">
        <v>46072</v>
      </c>
      <c r="E329" s="246" t="s">
        <v>14</v>
      </c>
      <c r="F329" s="247">
        <v>50</v>
      </c>
      <c r="G329" s="52" t="str">
        <f t="shared" si="52"/>
        <v>C</v>
      </c>
      <c r="H329" s="52">
        <f t="shared" si="53"/>
        <v>46</v>
      </c>
      <c r="I329" s="247">
        <f t="shared" si="54"/>
        <v>0</v>
      </c>
    </row>
    <row r="330" spans="1:9" ht="15" customHeight="1">
      <c r="A330" s="283" t="s">
        <v>76</v>
      </c>
      <c r="B330" s="247">
        <v>10</v>
      </c>
      <c r="C330" s="250" t="str">
        <f t="shared" si="55"/>
        <v>2026-00210</v>
      </c>
      <c r="D330" s="245">
        <v>46072</v>
      </c>
      <c r="E330" s="246" t="s">
        <v>18</v>
      </c>
      <c r="F330" s="247">
        <v>200</v>
      </c>
      <c r="G330" s="52" t="str">
        <f t="shared" si="52"/>
        <v>Piece</v>
      </c>
      <c r="H330" s="52">
        <f t="shared" si="53"/>
        <v>337</v>
      </c>
      <c r="I330" s="247">
        <f t="shared" si="54"/>
        <v>0</v>
      </c>
    </row>
    <row r="331" spans="1:9" ht="15" customHeight="1">
      <c r="A331" s="283" t="s">
        <v>76</v>
      </c>
      <c r="B331" s="247">
        <v>11</v>
      </c>
      <c r="C331" s="250" t="str">
        <f t="shared" si="55"/>
        <v>2026-00211</v>
      </c>
      <c r="D331" s="245">
        <v>46072</v>
      </c>
      <c r="E331" s="246" t="s">
        <v>33</v>
      </c>
      <c r="F331" s="247">
        <v>50</v>
      </c>
      <c r="G331" s="52" t="str">
        <f t="shared" si="52"/>
        <v>Ream</v>
      </c>
      <c r="H331" s="52">
        <f t="shared" si="53"/>
        <v>0</v>
      </c>
      <c r="I331" s="247">
        <f t="shared" si="54"/>
        <v>0</v>
      </c>
    </row>
    <row r="332" spans="1:9" ht="15" customHeight="1">
      <c r="A332" s="283" t="s">
        <v>76</v>
      </c>
      <c r="B332" s="247">
        <v>12</v>
      </c>
      <c r="C332" s="250" t="str">
        <f t="shared" si="55"/>
        <v>2026-00212</v>
      </c>
      <c r="D332" s="245">
        <v>46072</v>
      </c>
      <c r="E332" s="246" t="s">
        <v>60</v>
      </c>
      <c r="F332" s="247">
        <v>10</v>
      </c>
      <c r="G332" s="52" t="str">
        <f t="shared" si="52"/>
        <v>Ream</v>
      </c>
      <c r="H332" s="52">
        <f t="shared" si="53"/>
        <v>1976</v>
      </c>
      <c r="I332" s="247">
        <f t="shared" si="54"/>
        <v>0</v>
      </c>
    </row>
    <row r="333" spans="1:9" ht="15" customHeight="1">
      <c r="A333" s="283" t="s">
        <v>76</v>
      </c>
      <c r="B333" s="247">
        <v>13</v>
      </c>
      <c r="C333" s="250" t="str">
        <f t="shared" si="55"/>
        <v>2026-00213</v>
      </c>
      <c r="D333" s="245">
        <v>46072</v>
      </c>
      <c r="E333" s="246" t="s">
        <v>53</v>
      </c>
      <c r="F333" s="247">
        <v>10</v>
      </c>
      <c r="G333" s="52" t="str">
        <f t="shared" ref="G333:G364" si="56">IFERROR(VLOOKUP(E333,SUPPLY2,3,0),"-")</f>
        <v>Piece</v>
      </c>
      <c r="H333" s="52">
        <f t="shared" ref="H333:H364" si="57">IFERROR(VLOOKUP(E333,SUPPLY2,4,0),"-")</f>
        <v>137</v>
      </c>
      <c r="I333" s="247">
        <f t="shared" ref="I333:I364" si="58">IFERROR(VLOOKUP(D333,YEAR2023,2,0),"-")</f>
        <v>0</v>
      </c>
    </row>
    <row r="334" spans="1:9" ht="15" customHeight="1">
      <c r="A334" s="283" t="s">
        <v>76</v>
      </c>
      <c r="B334" s="247">
        <v>14</v>
      </c>
      <c r="C334" s="250" t="str">
        <f t="shared" si="55"/>
        <v>2026-00214</v>
      </c>
      <c r="D334" s="245">
        <v>46072</v>
      </c>
      <c r="E334" s="246" t="s">
        <v>13</v>
      </c>
      <c r="F334" s="247">
        <v>50</v>
      </c>
      <c r="G334" s="52" t="str">
        <f t="shared" si="56"/>
        <v>C</v>
      </c>
      <c r="H334" s="52">
        <f t="shared" si="57"/>
        <v>330</v>
      </c>
      <c r="I334" s="247">
        <f t="shared" si="58"/>
        <v>0</v>
      </c>
    </row>
    <row r="335" spans="1:9" ht="15" customHeight="1">
      <c r="A335" s="283" t="s">
        <v>76</v>
      </c>
      <c r="B335" s="247">
        <v>15</v>
      </c>
      <c r="C335" s="250" t="str">
        <f t="shared" si="55"/>
        <v>2026-00215</v>
      </c>
      <c r="D335" s="245">
        <v>46072</v>
      </c>
      <c r="E335" s="246" t="s">
        <v>61</v>
      </c>
      <c r="F335" s="247">
        <v>100</v>
      </c>
      <c r="G335" s="52" t="str">
        <f t="shared" si="56"/>
        <v>-</v>
      </c>
      <c r="H335" s="52" t="str">
        <f t="shared" si="57"/>
        <v>-</v>
      </c>
      <c r="I335" s="247">
        <f t="shared" si="58"/>
        <v>0</v>
      </c>
    </row>
    <row r="336" spans="1:9" ht="15" customHeight="1">
      <c r="A336" s="283" t="s">
        <v>76</v>
      </c>
      <c r="B336" s="247">
        <v>16</v>
      </c>
      <c r="C336" s="250" t="str">
        <f t="shared" ref="C336:C344" si="59">CONCATENATE(A336,B336)</f>
        <v>2026-00216</v>
      </c>
      <c r="D336" s="245">
        <v>46072</v>
      </c>
      <c r="E336" s="246" t="s">
        <v>63</v>
      </c>
      <c r="F336" s="247">
        <v>50</v>
      </c>
      <c r="G336" s="52" t="str">
        <f t="shared" si="56"/>
        <v>Bottle</v>
      </c>
      <c r="H336" s="52">
        <f t="shared" si="57"/>
        <v>2618</v>
      </c>
      <c r="I336" s="247">
        <f t="shared" si="58"/>
        <v>0</v>
      </c>
    </row>
    <row r="337" spans="1:9" ht="15" customHeight="1">
      <c r="A337" s="283" t="s">
        <v>76</v>
      </c>
      <c r="B337" s="247">
        <v>17</v>
      </c>
      <c r="C337" s="250" t="str">
        <f t="shared" si="59"/>
        <v>2026-00217</v>
      </c>
      <c r="D337" s="245">
        <v>46072</v>
      </c>
      <c r="E337" s="246" t="s">
        <v>65</v>
      </c>
      <c r="F337" s="247">
        <v>20</v>
      </c>
      <c r="G337" s="52" t="str">
        <f t="shared" si="56"/>
        <v>Box</v>
      </c>
      <c r="H337" s="52">
        <f t="shared" si="57"/>
        <v>2538</v>
      </c>
      <c r="I337" s="247">
        <f t="shared" si="58"/>
        <v>0</v>
      </c>
    </row>
    <row r="338" spans="1:9" ht="15" customHeight="1">
      <c r="A338" s="283" t="s">
        <v>76</v>
      </c>
      <c r="B338" s="247">
        <v>18</v>
      </c>
      <c r="C338" s="250" t="str">
        <f t="shared" si="59"/>
        <v>2026-00218</v>
      </c>
      <c r="D338" s="245">
        <v>46072</v>
      </c>
      <c r="E338" s="246" t="s">
        <v>58</v>
      </c>
      <c r="F338" s="247">
        <v>20</v>
      </c>
      <c r="G338" s="52" t="str">
        <f t="shared" si="56"/>
        <v>Box</v>
      </c>
      <c r="H338" s="52">
        <f t="shared" si="57"/>
        <v>306</v>
      </c>
      <c r="I338" s="247">
        <f t="shared" si="58"/>
        <v>0</v>
      </c>
    </row>
    <row r="339" spans="1:9" ht="15" customHeight="1">
      <c r="A339" s="283" t="s">
        <v>76</v>
      </c>
      <c r="B339" s="247">
        <v>19</v>
      </c>
      <c r="C339" s="250" t="str">
        <f t="shared" si="59"/>
        <v>2026-00219</v>
      </c>
      <c r="D339" s="245">
        <v>46072</v>
      </c>
      <c r="E339" s="246" t="s">
        <v>20</v>
      </c>
      <c r="F339" s="247">
        <v>20</v>
      </c>
      <c r="G339" s="52" t="str">
        <f t="shared" si="56"/>
        <v>Piece</v>
      </c>
      <c r="H339" s="52">
        <f t="shared" si="57"/>
        <v>1960</v>
      </c>
      <c r="I339" s="247">
        <f t="shared" si="58"/>
        <v>0</v>
      </c>
    </row>
    <row r="340" spans="1:9" ht="15" customHeight="1">
      <c r="A340" s="283" t="s">
        <v>76</v>
      </c>
      <c r="B340" s="247">
        <v>20</v>
      </c>
      <c r="C340" s="250" t="str">
        <f t="shared" si="59"/>
        <v>2026-00220</v>
      </c>
      <c r="D340" s="245">
        <v>46072</v>
      </c>
      <c r="E340" s="246" t="s">
        <v>66</v>
      </c>
      <c r="F340" s="247">
        <v>10</v>
      </c>
      <c r="G340" s="52" t="str">
        <f t="shared" si="56"/>
        <v>Box</v>
      </c>
      <c r="H340" s="52">
        <f t="shared" si="57"/>
        <v>2546</v>
      </c>
      <c r="I340" s="247">
        <f t="shared" si="58"/>
        <v>0</v>
      </c>
    </row>
    <row r="341" spans="1:9" ht="15" customHeight="1">
      <c r="A341" s="283" t="s">
        <v>76</v>
      </c>
      <c r="B341" s="247">
        <v>21</v>
      </c>
      <c r="C341" s="250" t="str">
        <f t="shared" si="59"/>
        <v>2026-00221</v>
      </c>
      <c r="D341" s="245">
        <v>46072</v>
      </c>
      <c r="E341" s="246" t="s">
        <v>43</v>
      </c>
      <c r="F341" s="247">
        <v>10</v>
      </c>
      <c r="G341" s="52" t="str">
        <f t="shared" si="56"/>
        <v>Box</v>
      </c>
      <c r="H341" s="52">
        <f t="shared" si="57"/>
        <v>2552</v>
      </c>
      <c r="I341" s="247">
        <f t="shared" si="58"/>
        <v>0</v>
      </c>
    </row>
    <row r="342" spans="1:9" ht="15" customHeight="1">
      <c r="A342" s="283" t="s">
        <v>76</v>
      </c>
      <c r="B342" s="247">
        <v>22</v>
      </c>
      <c r="C342" s="250" t="str">
        <f t="shared" si="59"/>
        <v>2026-00222</v>
      </c>
      <c r="D342" s="245">
        <v>46072</v>
      </c>
      <c r="E342" s="246" t="s">
        <v>68</v>
      </c>
      <c r="F342" s="247">
        <v>10</v>
      </c>
      <c r="G342" s="52" t="str">
        <f t="shared" si="56"/>
        <v>Piece</v>
      </c>
      <c r="H342" s="52">
        <f t="shared" si="57"/>
        <v>0</v>
      </c>
      <c r="I342" s="247">
        <f t="shared" si="58"/>
        <v>0</v>
      </c>
    </row>
    <row r="343" spans="1:9" ht="15" customHeight="1">
      <c r="A343" s="283" t="s">
        <v>76</v>
      </c>
      <c r="B343" s="247">
        <v>23</v>
      </c>
      <c r="C343" s="250" t="str">
        <f t="shared" si="59"/>
        <v>2026-00223</v>
      </c>
      <c r="D343" s="245">
        <v>46072</v>
      </c>
      <c r="E343" s="246" t="s">
        <v>70</v>
      </c>
      <c r="F343" s="247">
        <v>50</v>
      </c>
      <c r="G343" s="52" t="str">
        <f t="shared" si="56"/>
        <v>Roll</v>
      </c>
      <c r="H343" s="52">
        <f t="shared" si="57"/>
        <v>2629</v>
      </c>
      <c r="I343" s="247">
        <f t="shared" si="58"/>
        <v>0</v>
      </c>
    </row>
    <row r="344" spans="1:9" ht="15" customHeight="1">
      <c r="A344" s="283" t="s">
        <v>76</v>
      </c>
      <c r="B344" s="247">
        <v>24</v>
      </c>
      <c r="C344" s="250" t="str">
        <f t="shared" si="59"/>
        <v>2026-00224</v>
      </c>
      <c r="D344" s="245">
        <v>46072</v>
      </c>
      <c r="E344" s="246" t="s">
        <v>73</v>
      </c>
      <c r="F344" s="247">
        <v>50</v>
      </c>
      <c r="G344" s="52" t="str">
        <f t="shared" si="56"/>
        <v>-</v>
      </c>
      <c r="H344" s="52" t="str">
        <f t="shared" si="57"/>
        <v>-</v>
      </c>
      <c r="I344" s="247">
        <f t="shared" si="58"/>
        <v>0</v>
      </c>
    </row>
    <row r="345" spans="1:9" ht="15" customHeight="1">
      <c r="A345" s="283" t="s">
        <v>76</v>
      </c>
      <c r="B345" s="247">
        <v>25</v>
      </c>
      <c r="C345" s="250" t="str">
        <f t="shared" ref="C345:C353" si="60">CONCATENATE(A345,B345)</f>
        <v>2026-00225</v>
      </c>
      <c r="D345" s="245">
        <v>46072</v>
      </c>
      <c r="E345" s="246" t="s">
        <v>36</v>
      </c>
      <c r="F345" s="247">
        <v>10</v>
      </c>
      <c r="G345" s="52" t="str">
        <f t="shared" si="56"/>
        <v>Ream</v>
      </c>
      <c r="H345" s="52">
        <f t="shared" si="57"/>
        <v>0</v>
      </c>
      <c r="I345" s="247">
        <f t="shared" si="58"/>
        <v>0</v>
      </c>
    </row>
    <row r="346" spans="1:9" ht="15" customHeight="1">
      <c r="A346" s="283" t="s">
        <v>76</v>
      </c>
      <c r="B346" s="247">
        <v>26</v>
      </c>
      <c r="C346" s="250" t="str">
        <f t="shared" si="60"/>
        <v>2026-00226</v>
      </c>
      <c r="D346" s="245">
        <v>46072</v>
      </c>
      <c r="E346" s="246" t="s">
        <v>35</v>
      </c>
      <c r="F346" s="247">
        <v>10</v>
      </c>
      <c r="G346" s="52" t="str">
        <f t="shared" si="56"/>
        <v>Ream</v>
      </c>
      <c r="H346" s="52">
        <f t="shared" si="57"/>
        <v>0</v>
      </c>
      <c r="I346" s="247">
        <f t="shared" si="58"/>
        <v>0</v>
      </c>
    </row>
    <row r="347" spans="1:9" ht="15" customHeight="1">
      <c r="A347" s="283" t="s">
        <v>77</v>
      </c>
      <c r="B347" s="247">
        <v>1</v>
      </c>
      <c r="C347" s="250" t="str">
        <f t="shared" si="60"/>
        <v>2026-0031</v>
      </c>
      <c r="D347" s="245">
        <v>46099</v>
      </c>
      <c r="E347" s="246" t="s">
        <v>12</v>
      </c>
      <c r="F347" s="247">
        <v>20</v>
      </c>
      <c r="G347" s="52" t="str">
        <f t="shared" si="56"/>
        <v>Ream</v>
      </c>
      <c r="H347" s="52">
        <f t="shared" si="57"/>
        <v>2067</v>
      </c>
      <c r="I347" s="247">
        <f t="shared" si="58"/>
        <v>0</v>
      </c>
    </row>
    <row r="348" spans="1:9" ht="15" customHeight="1">
      <c r="A348" s="283" t="s">
        <v>77</v>
      </c>
      <c r="B348" s="247">
        <v>2</v>
      </c>
      <c r="C348" s="250" t="str">
        <f t="shared" si="60"/>
        <v>2026-0032</v>
      </c>
      <c r="D348" s="245">
        <v>46099</v>
      </c>
      <c r="E348" s="246" t="s">
        <v>10</v>
      </c>
      <c r="F348" s="247">
        <v>50</v>
      </c>
      <c r="G348" s="52" t="str">
        <f t="shared" si="56"/>
        <v>Ream</v>
      </c>
      <c r="H348" s="52">
        <f t="shared" si="57"/>
        <v>2276</v>
      </c>
      <c r="I348" s="247">
        <f t="shared" si="58"/>
        <v>0</v>
      </c>
    </row>
    <row r="349" spans="1:9" ht="15" customHeight="1">
      <c r="A349" s="283" t="s">
        <v>77</v>
      </c>
      <c r="B349" s="247">
        <v>3</v>
      </c>
      <c r="C349" s="250" t="str">
        <f t="shared" si="60"/>
        <v>2026-0033</v>
      </c>
      <c r="D349" s="245">
        <v>46099</v>
      </c>
      <c r="E349" s="246" t="s">
        <v>30</v>
      </c>
      <c r="F349" s="247">
        <v>100</v>
      </c>
      <c r="G349" s="52" t="str">
        <f t="shared" si="56"/>
        <v>Box</v>
      </c>
      <c r="H349" s="52">
        <f t="shared" si="57"/>
        <v>310</v>
      </c>
      <c r="I349" s="247">
        <f t="shared" si="58"/>
        <v>0</v>
      </c>
    </row>
    <row r="350" spans="1:9" ht="15" customHeight="1">
      <c r="A350" s="283" t="s">
        <v>77</v>
      </c>
      <c r="B350" s="247">
        <v>4</v>
      </c>
      <c r="C350" s="250" t="str">
        <f t="shared" si="60"/>
        <v>2026-0034</v>
      </c>
      <c r="D350" s="245">
        <v>46099</v>
      </c>
      <c r="E350" s="246" t="s">
        <v>25</v>
      </c>
      <c r="F350" s="247">
        <v>20</v>
      </c>
      <c r="G350" s="52" t="str">
        <f t="shared" si="56"/>
        <v>Box</v>
      </c>
      <c r="H350" s="52">
        <f t="shared" si="57"/>
        <v>2550</v>
      </c>
      <c r="I350" s="247">
        <f t="shared" si="58"/>
        <v>0</v>
      </c>
    </row>
    <row r="351" spans="1:9" ht="15" customHeight="1">
      <c r="A351" s="283" t="s">
        <v>77</v>
      </c>
      <c r="B351" s="247">
        <v>5</v>
      </c>
      <c r="C351" s="250" t="str">
        <f t="shared" si="60"/>
        <v>2026-0035</v>
      </c>
      <c r="D351" s="245">
        <v>46099</v>
      </c>
      <c r="E351" s="246" t="s">
        <v>38</v>
      </c>
      <c r="F351" s="247">
        <v>50</v>
      </c>
      <c r="G351" s="52" t="str">
        <f t="shared" si="56"/>
        <v>Ream</v>
      </c>
      <c r="H351" s="52">
        <f t="shared" si="57"/>
        <v>2521</v>
      </c>
      <c r="I351" s="247">
        <f t="shared" si="58"/>
        <v>0</v>
      </c>
    </row>
    <row r="352" spans="1:9" ht="15" customHeight="1">
      <c r="A352" s="283" t="s">
        <v>77</v>
      </c>
      <c r="B352" s="247">
        <v>6</v>
      </c>
      <c r="C352" s="250" t="str">
        <f t="shared" si="60"/>
        <v>2026-0036</v>
      </c>
      <c r="D352" s="245">
        <v>46099</v>
      </c>
      <c r="E352" s="246" t="s">
        <v>17</v>
      </c>
      <c r="F352" s="247">
        <v>10</v>
      </c>
      <c r="G352" s="52" t="str">
        <f t="shared" si="56"/>
        <v>Piece</v>
      </c>
      <c r="H352" s="52">
        <f t="shared" si="57"/>
        <v>336</v>
      </c>
      <c r="I352" s="247">
        <f t="shared" si="58"/>
        <v>0</v>
      </c>
    </row>
    <row r="353" spans="1:9" ht="15" customHeight="1">
      <c r="A353" s="283" t="s">
        <v>77</v>
      </c>
      <c r="B353" s="247">
        <v>7</v>
      </c>
      <c r="C353" s="250" t="str">
        <f t="shared" si="60"/>
        <v>2026-0037</v>
      </c>
      <c r="D353" s="245">
        <v>46099</v>
      </c>
      <c r="E353" s="246" t="s">
        <v>34</v>
      </c>
      <c r="F353" s="247">
        <v>30</v>
      </c>
      <c r="G353" s="52" t="str">
        <f t="shared" si="56"/>
        <v>Ream</v>
      </c>
      <c r="H353" s="52">
        <f t="shared" si="57"/>
        <v>0</v>
      </c>
      <c r="I353" s="247">
        <f t="shared" si="58"/>
        <v>0</v>
      </c>
    </row>
    <row r="354" spans="1:9" ht="15" customHeight="1">
      <c r="A354" s="283" t="s">
        <v>77</v>
      </c>
      <c r="B354" s="247">
        <v>8</v>
      </c>
      <c r="C354" s="250" t="str">
        <f t="shared" ref="C354:C358" si="61">CONCATENATE(A354,B354)</f>
        <v>2026-0038</v>
      </c>
      <c r="D354" s="245">
        <v>46099</v>
      </c>
      <c r="E354" s="246" t="s">
        <v>14</v>
      </c>
      <c r="F354" s="247">
        <v>50</v>
      </c>
      <c r="G354" s="52" t="str">
        <f t="shared" si="56"/>
        <v>C</v>
      </c>
      <c r="H354" s="52">
        <f t="shared" si="57"/>
        <v>46</v>
      </c>
      <c r="I354" s="247">
        <f t="shared" si="58"/>
        <v>0</v>
      </c>
    </row>
    <row r="355" spans="1:9" ht="15" customHeight="1">
      <c r="A355" s="283" t="s">
        <v>77</v>
      </c>
      <c r="B355" s="247">
        <v>9</v>
      </c>
      <c r="C355" s="250" t="str">
        <f t="shared" si="61"/>
        <v>2026-0039</v>
      </c>
      <c r="D355" s="245">
        <v>46099</v>
      </c>
      <c r="E355" s="246" t="s">
        <v>33</v>
      </c>
      <c r="F355" s="247">
        <v>50</v>
      </c>
      <c r="G355" s="52" t="str">
        <f t="shared" si="56"/>
        <v>Ream</v>
      </c>
      <c r="H355" s="52">
        <f t="shared" si="57"/>
        <v>0</v>
      </c>
      <c r="I355" s="247">
        <f t="shared" si="58"/>
        <v>0</v>
      </c>
    </row>
    <row r="356" spans="1:9" ht="15" customHeight="1">
      <c r="A356" s="283" t="s">
        <v>77</v>
      </c>
      <c r="B356" s="247">
        <v>10</v>
      </c>
      <c r="C356" s="250" t="str">
        <f t="shared" si="61"/>
        <v>2026-00310</v>
      </c>
      <c r="D356" s="245">
        <v>46099</v>
      </c>
      <c r="E356" s="246" t="s">
        <v>13</v>
      </c>
      <c r="F356" s="247">
        <v>50</v>
      </c>
      <c r="G356" s="52" t="str">
        <f t="shared" si="56"/>
        <v>C</v>
      </c>
      <c r="H356" s="52">
        <f t="shared" si="57"/>
        <v>330</v>
      </c>
      <c r="I356" s="247">
        <f t="shared" si="58"/>
        <v>0</v>
      </c>
    </row>
    <row r="357" spans="1:9" ht="15" customHeight="1">
      <c r="A357" s="283" t="s">
        <v>77</v>
      </c>
      <c r="B357" s="247">
        <v>11</v>
      </c>
      <c r="C357" s="250" t="str">
        <f t="shared" si="61"/>
        <v>2026-00311</v>
      </c>
      <c r="D357" s="245">
        <v>46099</v>
      </c>
      <c r="E357" s="246" t="s">
        <v>63</v>
      </c>
      <c r="F357" s="247">
        <v>50</v>
      </c>
      <c r="G357" s="52" t="str">
        <f t="shared" si="56"/>
        <v>Bottle</v>
      </c>
      <c r="H357" s="52">
        <f t="shared" si="57"/>
        <v>2618</v>
      </c>
      <c r="I357" s="247">
        <f t="shared" si="58"/>
        <v>0</v>
      </c>
    </row>
    <row r="358" spans="1:9" ht="15" customHeight="1">
      <c r="A358" s="283" t="s">
        <v>77</v>
      </c>
      <c r="B358" s="247">
        <v>12</v>
      </c>
      <c r="C358" s="250" t="str">
        <f t="shared" si="61"/>
        <v>2026-00312</v>
      </c>
      <c r="D358" s="245">
        <v>46099</v>
      </c>
      <c r="E358" s="246" t="s">
        <v>65</v>
      </c>
      <c r="F358" s="247">
        <v>20</v>
      </c>
      <c r="G358" s="52" t="str">
        <f t="shared" si="56"/>
        <v>Box</v>
      </c>
      <c r="H358" s="52">
        <f t="shared" si="57"/>
        <v>2538</v>
      </c>
      <c r="I358" s="247">
        <f t="shared" si="58"/>
        <v>0</v>
      </c>
    </row>
    <row r="359" spans="1:9" ht="15" customHeight="1">
      <c r="A359" s="283" t="s">
        <v>77</v>
      </c>
      <c r="B359" s="247">
        <v>13</v>
      </c>
      <c r="C359" s="250" t="str">
        <f t="shared" ref="C359:C372" si="62">CONCATENATE(A359,B359)</f>
        <v>2026-00313</v>
      </c>
      <c r="D359" s="245">
        <v>46099</v>
      </c>
      <c r="E359" s="246" t="s">
        <v>58</v>
      </c>
      <c r="F359" s="247">
        <v>20</v>
      </c>
      <c r="G359" s="52" t="str">
        <f t="shared" si="56"/>
        <v>Box</v>
      </c>
      <c r="H359" s="52">
        <f t="shared" si="57"/>
        <v>306</v>
      </c>
      <c r="I359" s="247">
        <f t="shared" si="58"/>
        <v>0</v>
      </c>
    </row>
    <row r="360" spans="1:9" ht="15" customHeight="1">
      <c r="A360" s="283" t="s">
        <v>77</v>
      </c>
      <c r="B360" s="247">
        <v>14</v>
      </c>
      <c r="C360" s="250" t="str">
        <f t="shared" si="62"/>
        <v>2026-00314</v>
      </c>
      <c r="D360" s="245">
        <v>46099</v>
      </c>
      <c r="E360" s="246" t="s">
        <v>20</v>
      </c>
      <c r="F360" s="247">
        <v>20</v>
      </c>
      <c r="G360" s="52" t="str">
        <f t="shared" si="56"/>
        <v>Piece</v>
      </c>
      <c r="H360" s="52">
        <f t="shared" si="57"/>
        <v>1960</v>
      </c>
      <c r="I360" s="247">
        <f t="shared" si="58"/>
        <v>0</v>
      </c>
    </row>
    <row r="361" spans="1:9" ht="15" customHeight="1">
      <c r="A361" s="283" t="s">
        <v>77</v>
      </c>
      <c r="B361" s="247">
        <v>15</v>
      </c>
      <c r="C361" s="250" t="str">
        <f t="shared" si="62"/>
        <v>2026-00315</v>
      </c>
      <c r="D361" s="245">
        <v>46099</v>
      </c>
      <c r="E361" s="246" t="s">
        <v>66</v>
      </c>
      <c r="F361" s="247">
        <v>10</v>
      </c>
      <c r="G361" s="52" t="str">
        <f t="shared" si="56"/>
        <v>Box</v>
      </c>
      <c r="H361" s="52">
        <f t="shared" si="57"/>
        <v>2546</v>
      </c>
      <c r="I361" s="247">
        <f t="shared" si="58"/>
        <v>0</v>
      </c>
    </row>
    <row r="362" spans="1:9" ht="15" customHeight="1">
      <c r="A362" s="283" t="s">
        <v>77</v>
      </c>
      <c r="B362" s="247">
        <v>16</v>
      </c>
      <c r="C362" s="250" t="str">
        <f t="shared" si="62"/>
        <v>2026-00316</v>
      </c>
      <c r="D362" s="245">
        <v>46099</v>
      </c>
      <c r="E362" s="246" t="s">
        <v>43</v>
      </c>
      <c r="F362" s="247">
        <v>10</v>
      </c>
      <c r="G362" s="52" t="str">
        <f t="shared" si="56"/>
        <v>Box</v>
      </c>
      <c r="H362" s="52">
        <f t="shared" si="57"/>
        <v>2552</v>
      </c>
      <c r="I362" s="247">
        <f t="shared" si="58"/>
        <v>0</v>
      </c>
    </row>
    <row r="363" spans="1:9" ht="15" customHeight="1">
      <c r="A363" s="283" t="s">
        <v>77</v>
      </c>
      <c r="B363" s="247">
        <v>17</v>
      </c>
      <c r="C363" s="250" t="str">
        <f t="shared" si="62"/>
        <v>2026-00317</v>
      </c>
      <c r="D363" s="245">
        <v>46099</v>
      </c>
      <c r="E363" s="246" t="s">
        <v>68</v>
      </c>
      <c r="F363" s="247">
        <v>10</v>
      </c>
      <c r="G363" s="52" t="str">
        <f t="shared" si="56"/>
        <v>Piece</v>
      </c>
      <c r="H363" s="52">
        <f t="shared" si="57"/>
        <v>0</v>
      </c>
      <c r="I363" s="247">
        <f t="shared" si="58"/>
        <v>0</v>
      </c>
    </row>
    <row r="364" spans="1:9" ht="15" customHeight="1">
      <c r="A364" s="283" t="s">
        <v>77</v>
      </c>
      <c r="B364" s="247">
        <v>18</v>
      </c>
      <c r="C364" s="250" t="str">
        <f t="shared" si="62"/>
        <v>2026-00318</v>
      </c>
      <c r="D364" s="245">
        <v>46099</v>
      </c>
      <c r="E364" s="246" t="s">
        <v>36</v>
      </c>
      <c r="F364" s="247">
        <v>10</v>
      </c>
      <c r="G364" s="52" t="str">
        <f t="shared" si="56"/>
        <v>Ream</v>
      </c>
      <c r="H364" s="52">
        <f t="shared" si="57"/>
        <v>0</v>
      </c>
      <c r="I364" s="247">
        <f t="shared" si="58"/>
        <v>0</v>
      </c>
    </row>
    <row r="365" spans="1:9" ht="15" customHeight="1">
      <c r="A365" s="283" t="s">
        <v>77</v>
      </c>
      <c r="B365" s="247">
        <v>19</v>
      </c>
      <c r="C365" s="250" t="str">
        <f t="shared" si="62"/>
        <v>2026-00319</v>
      </c>
      <c r="D365" s="245">
        <v>46099</v>
      </c>
      <c r="E365" s="246" t="s">
        <v>35</v>
      </c>
      <c r="F365" s="247">
        <v>10</v>
      </c>
      <c r="G365" s="52" t="str">
        <f t="shared" ref="G365:G396" si="63">IFERROR(VLOOKUP(E365,SUPPLY2,3,0),"-")</f>
        <v>Ream</v>
      </c>
      <c r="H365" s="52">
        <f t="shared" ref="H365:H396" si="64">IFERROR(VLOOKUP(E365,SUPPLY2,4,0),"-")</f>
        <v>0</v>
      </c>
      <c r="I365" s="247">
        <f t="shared" ref="I365:I396" si="65">IFERROR(VLOOKUP(D365,YEAR2023,2,0),"-")</f>
        <v>0</v>
      </c>
    </row>
    <row r="366" spans="1:9" ht="15" customHeight="1">
      <c r="A366" s="283" t="s">
        <v>77</v>
      </c>
      <c r="B366" s="247">
        <v>20</v>
      </c>
      <c r="C366" s="250" t="str">
        <f t="shared" si="62"/>
        <v>2026-00320</v>
      </c>
      <c r="D366" s="245">
        <v>46099</v>
      </c>
      <c r="E366" s="246" t="s">
        <v>78</v>
      </c>
      <c r="F366" s="247">
        <v>100</v>
      </c>
      <c r="G366" s="52" t="str">
        <f t="shared" si="63"/>
        <v>PCS</v>
      </c>
      <c r="H366" s="52">
        <f t="shared" si="64"/>
        <v>222</v>
      </c>
      <c r="I366" s="247">
        <f t="shared" si="65"/>
        <v>0</v>
      </c>
    </row>
    <row r="367" spans="1:9" ht="15" customHeight="1">
      <c r="A367" s="283" t="s">
        <v>79</v>
      </c>
      <c r="B367" s="247">
        <v>1</v>
      </c>
      <c r="C367" s="250" t="str">
        <f t="shared" si="62"/>
        <v>2026-0041</v>
      </c>
      <c r="D367" s="245">
        <v>46135</v>
      </c>
      <c r="E367" s="246" t="s">
        <v>10</v>
      </c>
      <c r="F367" s="247">
        <v>50</v>
      </c>
      <c r="G367" s="52" t="str">
        <f t="shared" si="63"/>
        <v>Ream</v>
      </c>
      <c r="H367" s="52">
        <f t="shared" si="64"/>
        <v>2276</v>
      </c>
      <c r="I367" s="247">
        <f t="shared" si="65"/>
        <v>0</v>
      </c>
    </row>
    <row r="368" spans="1:9" ht="15" customHeight="1">
      <c r="A368" s="283" t="s">
        <v>79</v>
      </c>
      <c r="B368" s="247">
        <v>2</v>
      </c>
      <c r="C368" s="250" t="str">
        <f t="shared" si="62"/>
        <v>2026-0042</v>
      </c>
      <c r="D368" s="245">
        <v>46135</v>
      </c>
      <c r="E368" s="246" t="s">
        <v>30</v>
      </c>
      <c r="F368" s="247">
        <v>100</v>
      </c>
      <c r="G368" s="52" t="str">
        <f t="shared" si="63"/>
        <v>Box</v>
      </c>
      <c r="H368" s="52">
        <f t="shared" si="64"/>
        <v>310</v>
      </c>
      <c r="I368" s="247">
        <f t="shared" si="65"/>
        <v>0</v>
      </c>
    </row>
    <row r="369" spans="1:9" ht="15" customHeight="1">
      <c r="A369" s="283" t="s">
        <v>79</v>
      </c>
      <c r="B369" s="247">
        <v>3</v>
      </c>
      <c r="C369" s="250" t="str">
        <f t="shared" si="62"/>
        <v>2026-0043</v>
      </c>
      <c r="D369" s="245">
        <v>46135</v>
      </c>
      <c r="E369" s="246" t="s">
        <v>25</v>
      </c>
      <c r="F369" s="247">
        <v>20</v>
      </c>
      <c r="G369" s="52" t="str">
        <f t="shared" si="63"/>
        <v>Box</v>
      </c>
      <c r="H369" s="52">
        <f t="shared" si="64"/>
        <v>2550</v>
      </c>
      <c r="I369" s="247">
        <f t="shared" si="65"/>
        <v>0</v>
      </c>
    </row>
    <row r="370" spans="1:9" ht="15" customHeight="1">
      <c r="A370" s="283" t="s">
        <v>79</v>
      </c>
      <c r="B370" s="247">
        <v>4</v>
      </c>
      <c r="C370" s="250" t="str">
        <f t="shared" si="62"/>
        <v>2026-0044</v>
      </c>
      <c r="D370" s="245">
        <v>46135</v>
      </c>
      <c r="E370" s="246" t="s">
        <v>38</v>
      </c>
      <c r="F370" s="247">
        <v>50</v>
      </c>
      <c r="G370" s="52" t="str">
        <f t="shared" si="63"/>
        <v>Ream</v>
      </c>
      <c r="H370" s="52">
        <f t="shared" si="64"/>
        <v>2521</v>
      </c>
      <c r="I370" s="247">
        <f t="shared" si="65"/>
        <v>0</v>
      </c>
    </row>
    <row r="371" spans="1:9" ht="15" customHeight="1">
      <c r="A371" s="283" t="s">
        <v>79</v>
      </c>
      <c r="B371" s="247">
        <v>5</v>
      </c>
      <c r="C371" s="250" t="str">
        <f t="shared" si="62"/>
        <v>2026-0045</v>
      </c>
      <c r="D371" s="245">
        <v>46135</v>
      </c>
      <c r="E371" s="246" t="s">
        <v>17</v>
      </c>
      <c r="F371" s="247">
        <v>10</v>
      </c>
      <c r="G371" s="52" t="str">
        <f t="shared" si="63"/>
        <v>Piece</v>
      </c>
      <c r="H371" s="52">
        <f t="shared" si="64"/>
        <v>336</v>
      </c>
      <c r="I371" s="247">
        <f t="shared" si="65"/>
        <v>0</v>
      </c>
    </row>
    <row r="372" spans="1:9" ht="15" customHeight="1">
      <c r="A372" s="283" t="s">
        <v>79</v>
      </c>
      <c r="B372" s="247">
        <v>6</v>
      </c>
      <c r="C372" s="250" t="str">
        <f t="shared" si="62"/>
        <v>2026-0046</v>
      </c>
      <c r="D372" s="245">
        <v>46135</v>
      </c>
      <c r="E372" s="246" t="s">
        <v>34</v>
      </c>
      <c r="F372" s="247">
        <v>30</v>
      </c>
      <c r="G372" s="52" t="str">
        <f t="shared" si="63"/>
        <v>Ream</v>
      </c>
      <c r="H372" s="52">
        <f t="shared" si="64"/>
        <v>0</v>
      </c>
      <c r="I372" s="247">
        <f t="shared" si="65"/>
        <v>0</v>
      </c>
    </row>
    <row r="373" spans="1:9" ht="15" customHeight="1">
      <c r="A373" s="283" t="s">
        <v>79</v>
      </c>
      <c r="B373" s="247">
        <v>7</v>
      </c>
      <c r="C373" s="250" t="str">
        <f t="shared" ref="C373:C379" si="66">CONCATENATE(A373,B373)</f>
        <v>2026-0047</v>
      </c>
      <c r="D373" s="245">
        <v>46135</v>
      </c>
      <c r="E373" s="246" t="s">
        <v>14</v>
      </c>
      <c r="F373" s="247">
        <v>50</v>
      </c>
      <c r="G373" s="52" t="str">
        <f t="shared" si="63"/>
        <v>C</v>
      </c>
      <c r="H373" s="52">
        <f t="shared" si="64"/>
        <v>46</v>
      </c>
      <c r="I373" s="247">
        <f t="shared" si="65"/>
        <v>0</v>
      </c>
    </row>
    <row r="374" spans="1:9" ht="15" customHeight="1">
      <c r="A374" s="283" t="s">
        <v>79</v>
      </c>
      <c r="B374" s="247">
        <v>8</v>
      </c>
      <c r="C374" s="250" t="str">
        <f t="shared" si="66"/>
        <v>2026-0048</v>
      </c>
      <c r="D374" s="245">
        <v>46135</v>
      </c>
      <c r="E374" s="246" t="s">
        <v>33</v>
      </c>
      <c r="F374" s="247">
        <v>50</v>
      </c>
      <c r="G374" s="52" t="str">
        <f t="shared" si="63"/>
        <v>Ream</v>
      </c>
      <c r="H374" s="52">
        <f t="shared" si="64"/>
        <v>0</v>
      </c>
      <c r="I374" s="247">
        <f t="shared" si="65"/>
        <v>0</v>
      </c>
    </row>
    <row r="375" spans="1:9" ht="15" customHeight="1">
      <c r="A375" s="283" t="s">
        <v>79</v>
      </c>
      <c r="B375" s="247">
        <v>9</v>
      </c>
      <c r="C375" s="250" t="str">
        <f t="shared" si="66"/>
        <v>2026-0049</v>
      </c>
      <c r="D375" s="245">
        <v>46135</v>
      </c>
      <c r="E375" s="246" t="s">
        <v>13</v>
      </c>
      <c r="F375" s="247">
        <v>50</v>
      </c>
      <c r="G375" s="52" t="str">
        <f t="shared" si="63"/>
        <v>C</v>
      </c>
      <c r="H375" s="52">
        <f t="shared" si="64"/>
        <v>330</v>
      </c>
      <c r="I375" s="247">
        <f t="shared" si="65"/>
        <v>0</v>
      </c>
    </row>
    <row r="376" spans="1:9" ht="15" customHeight="1">
      <c r="A376" s="283" t="s">
        <v>79</v>
      </c>
      <c r="B376" s="247">
        <v>10</v>
      </c>
      <c r="C376" s="250" t="str">
        <f t="shared" si="66"/>
        <v>2026-00410</v>
      </c>
      <c r="D376" s="245">
        <v>46135</v>
      </c>
      <c r="E376" s="246" t="s">
        <v>63</v>
      </c>
      <c r="F376" s="247">
        <v>50</v>
      </c>
      <c r="G376" s="52" t="str">
        <f t="shared" si="63"/>
        <v>Bottle</v>
      </c>
      <c r="H376" s="52">
        <f t="shared" si="64"/>
        <v>2618</v>
      </c>
      <c r="I376" s="247">
        <f t="shared" si="65"/>
        <v>0</v>
      </c>
    </row>
    <row r="377" spans="1:9" ht="15" customHeight="1">
      <c r="A377" s="283" t="s">
        <v>79</v>
      </c>
      <c r="B377" s="247">
        <v>11</v>
      </c>
      <c r="C377" s="250" t="str">
        <f t="shared" si="66"/>
        <v>2026-00411</v>
      </c>
      <c r="D377" s="245">
        <v>46135</v>
      </c>
      <c r="E377" s="246" t="s">
        <v>65</v>
      </c>
      <c r="F377" s="247">
        <v>20</v>
      </c>
      <c r="G377" s="52" t="str">
        <f t="shared" si="63"/>
        <v>Box</v>
      </c>
      <c r="H377" s="52">
        <f t="shared" si="64"/>
        <v>2538</v>
      </c>
      <c r="I377" s="247">
        <f t="shared" si="65"/>
        <v>0</v>
      </c>
    </row>
    <row r="378" spans="1:9" ht="15" customHeight="1">
      <c r="A378" s="283" t="s">
        <v>79</v>
      </c>
      <c r="B378" s="247">
        <v>12</v>
      </c>
      <c r="C378" s="250" t="str">
        <f t="shared" si="66"/>
        <v>2026-00412</v>
      </c>
      <c r="D378" s="245">
        <v>46135</v>
      </c>
      <c r="E378" s="246" t="s">
        <v>58</v>
      </c>
      <c r="F378" s="247">
        <v>20</v>
      </c>
      <c r="G378" s="52" t="str">
        <f t="shared" si="63"/>
        <v>Box</v>
      </c>
      <c r="H378" s="52">
        <f t="shared" si="64"/>
        <v>306</v>
      </c>
      <c r="I378" s="247">
        <f t="shared" si="65"/>
        <v>0</v>
      </c>
    </row>
    <row r="379" spans="1:9" ht="15" customHeight="1">
      <c r="A379" s="283" t="s">
        <v>79</v>
      </c>
      <c r="B379" s="247">
        <v>13</v>
      </c>
      <c r="C379" s="250" t="str">
        <f t="shared" si="66"/>
        <v>2026-00413</v>
      </c>
      <c r="D379" s="245">
        <v>46135</v>
      </c>
      <c r="E379" s="246" t="s">
        <v>20</v>
      </c>
      <c r="F379" s="247">
        <v>20</v>
      </c>
      <c r="G379" s="52" t="str">
        <f t="shared" si="63"/>
        <v>Piece</v>
      </c>
      <c r="H379" s="52">
        <f t="shared" si="64"/>
        <v>1960</v>
      </c>
      <c r="I379" s="247">
        <f t="shared" si="65"/>
        <v>0</v>
      </c>
    </row>
    <row r="380" spans="1:9" ht="15" customHeight="1">
      <c r="A380" s="283" t="s">
        <v>79</v>
      </c>
      <c r="B380" s="247">
        <v>14</v>
      </c>
      <c r="C380" s="250" t="str">
        <f t="shared" ref="C380:C386" si="67">CONCATENATE(A380,B380)</f>
        <v>2026-00414</v>
      </c>
      <c r="D380" s="245">
        <v>46135</v>
      </c>
      <c r="E380" s="246" t="s">
        <v>66</v>
      </c>
      <c r="F380" s="247">
        <v>10</v>
      </c>
      <c r="G380" s="52" t="str">
        <f t="shared" si="63"/>
        <v>Box</v>
      </c>
      <c r="H380" s="52">
        <f t="shared" si="64"/>
        <v>2546</v>
      </c>
      <c r="I380" s="247">
        <f t="shared" si="65"/>
        <v>0</v>
      </c>
    </row>
    <row r="381" spans="1:9" ht="15" customHeight="1">
      <c r="A381" s="283" t="s">
        <v>79</v>
      </c>
      <c r="B381" s="247">
        <v>15</v>
      </c>
      <c r="C381" s="250" t="str">
        <f t="shared" si="67"/>
        <v>2026-00415</v>
      </c>
      <c r="D381" s="245">
        <v>46135</v>
      </c>
      <c r="E381" s="246" t="s">
        <v>43</v>
      </c>
      <c r="F381" s="247">
        <v>10</v>
      </c>
      <c r="G381" s="52" t="str">
        <f t="shared" si="63"/>
        <v>Box</v>
      </c>
      <c r="H381" s="52">
        <f t="shared" si="64"/>
        <v>2552</v>
      </c>
      <c r="I381" s="247">
        <f t="shared" si="65"/>
        <v>0</v>
      </c>
    </row>
    <row r="382" spans="1:9" ht="15" customHeight="1">
      <c r="A382" s="283" t="s">
        <v>79</v>
      </c>
      <c r="B382" s="247">
        <v>16</v>
      </c>
      <c r="C382" s="250" t="str">
        <f t="shared" si="67"/>
        <v>2026-00416</v>
      </c>
      <c r="D382" s="245">
        <v>46135</v>
      </c>
      <c r="E382" s="246" t="s">
        <v>68</v>
      </c>
      <c r="F382" s="247">
        <v>10</v>
      </c>
      <c r="G382" s="52" t="str">
        <f t="shared" si="63"/>
        <v>Piece</v>
      </c>
      <c r="H382" s="52">
        <f t="shared" si="64"/>
        <v>0</v>
      </c>
      <c r="I382" s="247">
        <f t="shared" si="65"/>
        <v>0</v>
      </c>
    </row>
    <row r="383" spans="1:9" ht="15" customHeight="1">
      <c r="A383" s="283" t="s">
        <v>79</v>
      </c>
      <c r="B383" s="247">
        <v>17</v>
      </c>
      <c r="C383" s="250" t="str">
        <f t="shared" si="67"/>
        <v>2026-00417</v>
      </c>
      <c r="D383" s="245">
        <v>46135</v>
      </c>
      <c r="E383" s="246" t="s">
        <v>36</v>
      </c>
      <c r="F383" s="247">
        <v>10</v>
      </c>
      <c r="G383" s="52" t="str">
        <f t="shared" si="63"/>
        <v>Ream</v>
      </c>
      <c r="H383" s="52">
        <f t="shared" si="64"/>
        <v>0</v>
      </c>
      <c r="I383" s="247">
        <f t="shared" si="65"/>
        <v>0</v>
      </c>
    </row>
    <row r="384" spans="1:9" ht="15" customHeight="1">
      <c r="A384" s="283" t="s">
        <v>79</v>
      </c>
      <c r="B384" s="247">
        <v>18</v>
      </c>
      <c r="C384" s="250" t="str">
        <f t="shared" si="67"/>
        <v>2026-00418</v>
      </c>
      <c r="D384" s="245">
        <v>46135</v>
      </c>
      <c r="E384" s="246" t="s">
        <v>35</v>
      </c>
      <c r="F384" s="247">
        <v>10</v>
      </c>
      <c r="G384" s="52" t="str">
        <f t="shared" si="63"/>
        <v>Ream</v>
      </c>
      <c r="H384" s="52">
        <f t="shared" si="64"/>
        <v>0</v>
      </c>
      <c r="I384" s="247">
        <f t="shared" si="65"/>
        <v>0</v>
      </c>
    </row>
    <row r="385" spans="1:9" ht="15" customHeight="1">
      <c r="A385" s="283" t="s">
        <v>79</v>
      </c>
      <c r="B385" s="247">
        <v>19</v>
      </c>
      <c r="C385" s="250" t="str">
        <f t="shared" si="67"/>
        <v>2026-00419</v>
      </c>
      <c r="D385" s="245">
        <v>46135</v>
      </c>
      <c r="E385" s="246" t="s">
        <v>78</v>
      </c>
      <c r="F385" s="247">
        <v>50</v>
      </c>
      <c r="G385" s="52" t="str">
        <f t="shared" si="63"/>
        <v>PCS</v>
      </c>
      <c r="H385" s="52">
        <f t="shared" si="64"/>
        <v>222</v>
      </c>
      <c r="I385" s="247">
        <f t="shared" si="65"/>
        <v>0</v>
      </c>
    </row>
    <row r="386" spans="1:9" ht="15" customHeight="1">
      <c r="A386" s="283" t="s">
        <v>79</v>
      </c>
      <c r="B386" s="247">
        <v>20</v>
      </c>
      <c r="C386" s="250" t="str">
        <f t="shared" si="67"/>
        <v>2026-00420</v>
      </c>
      <c r="D386" s="245">
        <v>46135</v>
      </c>
      <c r="E386" s="246" t="s">
        <v>70</v>
      </c>
      <c r="F386" s="247">
        <v>100</v>
      </c>
      <c r="G386" s="52" t="str">
        <f t="shared" si="63"/>
        <v>Roll</v>
      </c>
      <c r="H386" s="52">
        <f t="shared" si="64"/>
        <v>2629</v>
      </c>
      <c r="I386" s="247">
        <f t="shared" si="65"/>
        <v>0</v>
      </c>
    </row>
    <row r="387" spans="1:9" ht="15" customHeight="1">
      <c r="A387" s="283" t="s">
        <v>80</v>
      </c>
      <c r="B387" s="247">
        <v>1</v>
      </c>
      <c r="C387" s="250" t="str">
        <f t="shared" ref="C387:C390" si="68">CONCATENATE(A387,B387)</f>
        <v>2026-0051</v>
      </c>
      <c r="D387" s="245">
        <v>46164</v>
      </c>
      <c r="E387" s="246" t="s">
        <v>70</v>
      </c>
      <c r="F387" s="247">
        <v>50</v>
      </c>
      <c r="G387" s="52" t="str">
        <f t="shared" si="63"/>
        <v>Roll</v>
      </c>
      <c r="H387" s="52">
        <f t="shared" si="64"/>
        <v>2629</v>
      </c>
      <c r="I387" s="247">
        <f t="shared" si="65"/>
        <v>0</v>
      </c>
    </row>
    <row r="388" spans="1:9" ht="15" customHeight="1">
      <c r="A388" s="283" t="s">
        <v>80</v>
      </c>
      <c r="B388" s="247">
        <v>2</v>
      </c>
      <c r="C388" s="250" t="str">
        <f t="shared" si="68"/>
        <v>2026-0052</v>
      </c>
      <c r="D388" s="245">
        <v>46164</v>
      </c>
      <c r="E388" s="246" t="s">
        <v>13</v>
      </c>
      <c r="F388" s="247">
        <v>10</v>
      </c>
      <c r="G388" s="52" t="str">
        <f t="shared" si="63"/>
        <v>C</v>
      </c>
      <c r="H388" s="52">
        <f t="shared" si="64"/>
        <v>330</v>
      </c>
      <c r="I388" s="247">
        <f t="shared" si="65"/>
        <v>0</v>
      </c>
    </row>
    <row r="389" spans="1:9" ht="15" customHeight="1">
      <c r="A389" s="283" t="s">
        <v>80</v>
      </c>
      <c r="B389" s="247">
        <v>3</v>
      </c>
      <c r="C389" s="250" t="str">
        <f t="shared" si="68"/>
        <v>2026-0053</v>
      </c>
      <c r="D389" s="245">
        <v>46164</v>
      </c>
      <c r="E389" s="246" t="s">
        <v>24</v>
      </c>
      <c r="F389" s="247">
        <v>5</v>
      </c>
      <c r="G389" s="52" t="str">
        <f t="shared" si="63"/>
        <v>Piece</v>
      </c>
      <c r="H389" s="52">
        <f t="shared" si="64"/>
        <v>338</v>
      </c>
      <c r="I389" s="247">
        <f t="shared" si="65"/>
        <v>0</v>
      </c>
    </row>
    <row r="390" spans="1:9" ht="15" customHeight="1">
      <c r="A390" s="283" t="s">
        <v>80</v>
      </c>
      <c r="B390" s="247">
        <v>4</v>
      </c>
      <c r="C390" s="250" t="str">
        <f t="shared" si="68"/>
        <v>2026-0054</v>
      </c>
      <c r="D390" s="245">
        <v>46164</v>
      </c>
      <c r="E390" s="246" t="s">
        <v>81</v>
      </c>
      <c r="F390" s="247">
        <v>50</v>
      </c>
      <c r="G390" s="52" t="str">
        <f t="shared" si="63"/>
        <v>Piece</v>
      </c>
      <c r="H390" s="52">
        <f t="shared" si="64"/>
        <v>339</v>
      </c>
      <c r="I390" s="247">
        <f t="shared" si="65"/>
        <v>0</v>
      </c>
    </row>
    <row r="391" spans="1:9" ht="15" customHeight="1">
      <c r="A391" s="283" t="s">
        <v>80</v>
      </c>
      <c r="B391" s="247">
        <v>5</v>
      </c>
      <c r="C391" s="250" t="str">
        <f t="shared" ref="C391:C409" si="69">CONCATENATE(A391,B391)</f>
        <v>2026-0055</v>
      </c>
      <c r="D391" s="245">
        <v>46164</v>
      </c>
      <c r="E391" s="246" t="s">
        <v>27</v>
      </c>
      <c r="F391" s="247">
        <v>5</v>
      </c>
      <c r="G391" s="52" t="str">
        <f t="shared" si="63"/>
        <v>Bag</v>
      </c>
      <c r="H391" s="52">
        <f t="shared" si="64"/>
        <v>308</v>
      </c>
      <c r="I391" s="247">
        <f t="shared" si="65"/>
        <v>0</v>
      </c>
    </row>
    <row r="392" spans="1:9" ht="15" customHeight="1">
      <c r="A392" s="283" t="s">
        <v>80</v>
      </c>
      <c r="B392" s="247">
        <v>6</v>
      </c>
      <c r="C392" s="250" t="str">
        <f t="shared" si="69"/>
        <v>2026-0056</v>
      </c>
      <c r="D392" s="245">
        <v>46164</v>
      </c>
      <c r="E392" s="246" t="s">
        <v>14</v>
      </c>
      <c r="F392" s="247">
        <v>5</v>
      </c>
      <c r="G392" s="52" t="str">
        <f t="shared" si="63"/>
        <v>C</v>
      </c>
      <c r="H392" s="52">
        <f t="shared" si="64"/>
        <v>46</v>
      </c>
      <c r="I392" s="247">
        <f t="shared" si="65"/>
        <v>0</v>
      </c>
    </row>
    <row r="393" spans="1:9" ht="15" customHeight="1">
      <c r="A393" s="283" t="s">
        <v>80</v>
      </c>
      <c r="B393" s="247">
        <v>7</v>
      </c>
      <c r="C393" s="250" t="str">
        <f t="shared" si="69"/>
        <v>2026-0057</v>
      </c>
      <c r="D393" s="245">
        <v>46164</v>
      </c>
      <c r="E393" s="246" t="s">
        <v>15</v>
      </c>
      <c r="F393" s="247">
        <v>20</v>
      </c>
      <c r="G393" s="52" t="str">
        <f t="shared" si="63"/>
        <v>Roll</v>
      </c>
      <c r="H393" s="52">
        <f t="shared" si="64"/>
        <v>301</v>
      </c>
      <c r="I393" s="247">
        <f t="shared" si="65"/>
        <v>0</v>
      </c>
    </row>
    <row r="394" spans="1:9" ht="15" customHeight="1">
      <c r="A394" s="283" t="s">
        <v>80</v>
      </c>
      <c r="B394" s="247">
        <v>8</v>
      </c>
      <c r="C394" s="250" t="str">
        <f t="shared" si="69"/>
        <v>2026-0058</v>
      </c>
      <c r="D394" s="245">
        <v>46164</v>
      </c>
      <c r="E394" s="246" t="s">
        <v>30</v>
      </c>
      <c r="F394" s="247">
        <v>50</v>
      </c>
      <c r="G394" s="52" t="str">
        <f t="shared" si="63"/>
        <v>Box</v>
      </c>
      <c r="H394" s="52">
        <f t="shared" si="64"/>
        <v>310</v>
      </c>
      <c r="I394" s="247">
        <f t="shared" si="65"/>
        <v>0</v>
      </c>
    </row>
    <row r="395" spans="1:9" ht="15" customHeight="1">
      <c r="A395" s="283" t="s">
        <v>82</v>
      </c>
      <c r="B395" s="247">
        <v>1</v>
      </c>
      <c r="C395" s="250" t="str">
        <f t="shared" si="69"/>
        <v>2026-0061</v>
      </c>
      <c r="D395" s="245">
        <v>46177</v>
      </c>
      <c r="E395" s="246" t="s">
        <v>10</v>
      </c>
      <c r="F395" s="247">
        <v>50</v>
      </c>
      <c r="G395" s="52" t="str">
        <f t="shared" si="63"/>
        <v>Ream</v>
      </c>
      <c r="H395" s="52">
        <f t="shared" si="64"/>
        <v>2276</v>
      </c>
      <c r="I395" s="247">
        <f t="shared" si="65"/>
        <v>0</v>
      </c>
    </row>
    <row r="396" spans="1:9" ht="15" customHeight="1">
      <c r="A396" s="283" t="s">
        <v>82</v>
      </c>
      <c r="B396" s="247">
        <v>2</v>
      </c>
      <c r="C396" s="250" t="str">
        <f t="shared" si="69"/>
        <v>2026-0062</v>
      </c>
      <c r="D396" s="245">
        <v>46177</v>
      </c>
      <c r="E396" s="246" t="s">
        <v>12</v>
      </c>
      <c r="F396" s="247">
        <v>50</v>
      </c>
      <c r="G396" s="52" t="str">
        <f t="shared" si="63"/>
        <v>Ream</v>
      </c>
      <c r="H396" s="52">
        <f t="shared" si="64"/>
        <v>2067</v>
      </c>
      <c r="I396" s="247">
        <f t="shared" si="65"/>
        <v>0</v>
      </c>
    </row>
    <row r="397" spans="1:9" ht="15" customHeight="1">
      <c r="A397" s="283" t="s">
        <v>82</v>
      </c>
      <c r="B397" s="247">
        <v>3</v>
      </c>
      <c r="C397" s="250" t="str">
        <f t="shared" si="69"/>
        <v>2026-0063</v>
      </c>
      <c r="D397" s="245">
        <v>46177</v>
      </c>
      <c r="E397" s="246" t="s">
        <v>33</v>
      </c>
      <c r="F397" s="247">
        <v>10</v>
      </c>
      <c r="G397" s="52" t="str">
        <f t="shared" ref="G397:G428" si="70">IFERROR(VLOOKUP(E397,SUPPLY2,3,0),"-")</f>
        <v>Ream</v>
      </c>
      <c r="H397" s="52">
        <f t="shared" ref="H397:H428" si="71">IFERROR(VLOOKUP(E397,SUPPLY2,4,0),"-")</f>
        <v>0</v>
      </c>
      <c r="I397" s="247">
        <f t="shared" ref="I397:I428" si="72">IFERROR(VLOOKUP(D397,YEAR2023,2,0),"-")</f>
        <v>0</v>
      </c>
    </row>
    <row r="398" spans="1:9" ht="15" customHeight="1">
      <c r="A398" s="283" t="s">
        <v>82</v>
      </c>
      <c r="B398" s="247">
        <v>4</v>
      </c>
      <c r="C398" s="250" t="str">
        <f t="shared" si="69"/>
        <v>2026-0064</v>
      </c>
      <c r="D398" s="245">
        <v>46177</v>
      </c>
      <c r="E398" s="246" t="s">
        <v>36</v>
      </c>
      <c r="F398" s="247">
        <v>10</v>
      </c>
      <c r="G398" s="52" t="str">
        <f t="shared" si="70"/>
        <v>Ream</v>
      </c>
      <c r="H398" s="52">
        <f t="shared" si="71"/>
        <v>0</v>
      </c>
      <c r="I398" s="247">
        <f t="shared" si="72"/>
        <v>0</v>
      </c>
    </row>
    <row r="399" spans="1:9" ht="15" customHeight="1">
      <c r="A399" s="283" t="s">
        <v>82</v>
      </c>
      <c r="B399" s="247">
        <v>5</v>
      </c>
      <c r="C399" s="250" t="str">
        <f t="shared" si="69"/>
        <v>2026-0065</v>
      </c>
      <c r="D399" s="245">
        <v>46177</v>
      </c>
      <c r="E399" s="246" t="s">
        <v>34</v>
      </c>
      <c r="F399" s="247">
        <v>10</v>
      </c>
      <c r="G399" s="52" t="str">
        <f t="shared" si="70"/>
        <v>Ream</v>
      </c>
      <c r="H399" s="52">
        <f t="shared" si="71"/>
        <v>0</v>
      </c>
      <c r="I399" s="247">
        <f t="shared" si="72"/>
        <v>0</v>
      </c>
    </row>
    <row r="400" spans="1:9" ht="15" customHeight="1">
      <c r="A400" s="283" t="s">
        <v>82</v>
      </c>
      <c r="B400" s="247">
        <v>6</v>
      </c>
      <c r="C400" s="250" t="str">
        <f t="shared" si="69"/>
        <v>2026-0066</v>
      </c>
      <c r="D400" s="245">
        <v>46177</v>
      </c>
      <c r="E400" s="246" t="s">
        <v>14</v>
      </c>
      <c r="F400" s="247">
        <v>50</v>
      </c>
      <c r="G400" s="52" t="str">
        <f t="shared" si="70"/>
        <v>C</v>
      </c>
      <c r="H400" s="52">
        <f t="shared" si="71"/>
        <v>46</v>
      </c>
      <c r="I400" s="247">
        <f t="shared" si="72"/>
        <v>0</v>
      </c>
    </row>
    <row r="401" spans="1:9" ht="15" customHeight="1">
      <c r="A401" s="283" t="s">
        <v>82</v>
      </c>
      <c r="B401" s="247">
        <v>7</v>
      </c>
      <c r="C401" s="250" t="str">
        <f t="shared" si="69"/>
        <v>2026-0067</v>
      </c>
      <c r="D401" s="245">
        <v>46177</v>
      </c>
      <c r="E401" s="246" t="s">
        <v>13</v>
      </c>
      <c r="F401" s="247">
        <v>50</v>
      </c>
      <c r="G401" s="52" t="str">
        <f t="shared" si="70"/>
        <v>C</v>
      </c>
      <c r="H401" s="52">
        <f t="shared" si="71"/>
        <v>330</v>
      </c>
      <c r="I401" s="247">
        <f t="shared" si="72"/>
        <v>0</v>
      </c>
    </row>
    <row r="402" spans="1:9" ht="15" customHeight="1">
      <c r="A402" s="283" t="s">
        <v>82</v>
      </c>
      <c r="B402" s="247">
        <v>8</v>
      </c>
      <c r="C402" s="250" t="str">
        <f t="shared" si="69"/>
        <v>2026-0068</v>
      </c>
      <c r="D402" s="245">
        <v>46177</v>
      </c>
      <c r="E402" s="246" t="s">
        <v>15</v>
      </c>
      <c r="F402" s="247">
        <v>20</v>
      </c>
      <c r="G402" s="52" t="str">
        <f t="shared" si="70"/>
        <v>Roll</v>
      </c>
      <c r="H402" s="52">
        <f t="shared" si="71"/>
        <v>301</v>
      </c>
      <c r="I402" s="247">
        <f t="shared" si="72"/>
        <v>0</v>
      </c>
    </row>
    <row r="403" spans="1:9" ht="15" customHeight="1">
      <c r="A403" s="283" t="s">
        <v>82</v>
      </c>
      <c r="B403" s="247">
        <v>9</v>
      </c>
      <c r="C403" s="250" t="str">
        <f t="shared" si="69"/>
        <v>2026-0069</v>
      </c>
      <c r="D403" s="245">
        <v>46177</v>
      </c>
      <c r="E403" s="246" t="s">
        <v>63</v>
      </c>
      <c r="F403" s="247">
        <v>100</v>
      </c>
      <c r="G403" s="52" t="str">
        <f t="shared" si="70"/>
        <v>Bottle</v>
      </c>
      <c r="H403" s="52">
        <f t="shared" si="71"/>
        <v>2618</v>
      </c>
      <c r="I403" s="247">
        <f t="shared" si="72"/>
        <v>0</v>
      </c>
    </row>
    <row r="404" spans="1:9" ht="15" customHeight="1">
      <c r="A404" s="283" t="s">
        <v>82</v>
      </c>
      <c r="B404" s="247">
        <v>10</v>
      </c>
      <c r="C404" s="250" t="str">
        <f t="shared" si="69"/>
        <v>2026-00610</v>
      </c>
      <c r="D404" s="245">
        <v>46177</v>
      </c>
      <c r="E404" s="246" t="s">
        <v>38</v>
      </c>
      <c r="F404" s="247">
        <v>10</v>
      </c>
      <c r="G404" s="52" t="str">
        <f t="shared" si="70"/>
        <v>Ream</v>
      </c>
      <c r="H404" s="52">
        <f t="shared" si="71"/>
        <v>2521</v>
      </c>
      <c r="I404" s="247">
        <f t="shared" si="72"/>
        <v>0</v>
      </c>
    </row>
    <row r="405" spans="1:9" ht="15" customHeight="1">
      <c r="A405" s="283" t="s">
        <v>82</v>
      </c>
      <c r="B405" s="247">
        <v>11</v>
      </c>
      <c r="C405" s="250" t="str">
        <f t="shared" si="69"/>
        <v>2026-00611</v>
      </c>
      <c r="D405" s="245">
        <v>46177</v>
      </c>
      <c r="E405" s="246" t="s">
        <v>30</v>
      </c>
      <c r="F405" s="247">
        <v>20</v>
      </c>
      <c r="G405" s="52" t="str">
        <f t="shared" si="70"/>
        <v>Box</v>
      </c>
      <c r="H405" s="52">
        <f t="shared" si="71"/>
        <v>310</v>
      </c>
      <c r="I405" s="247">
        <f t="shared" si="72"/>
        <v>0</v>
      </c>
    </row>
    <row r="406" spans="1:9" ht="15" customHeight="1">
      <c r="A406" s="283" t="s">
        <v>82</v>
      </c>
      <c r="B406" s="247">
        <v>12</v>
      </c>
      <c r="C406" s="250" t="str">
        <f t="shared" si="69"/>
        <v>2026-00612</v>
      </c>
      <c r="D406" s="245">
        <v>46177</v>
      </c>
      <c r="E406" s="246" t="s">
        <v>18</v>
      </c>
      <c r="F406" s="247">
        <v>200</v>
      </c>
      <c r="G406" s="52" t="str">
        <f t="shared" si="70"/>
        <v>Piece</v>
      </c>
      <c r="H406" s="52">
        <f t="shared" si="71"/>
        <v>337</v>
      </c>
      <c r="I406" s="247">
        <f t="shared" si="72"/>
        <v>0</v>
      </c>
    </row>
    <row r="407" spans="1:9" ht="15" customHeight="1">
      <c r="A407" s="283" t="s">
        <v>82</v>
      </c>
      <c r="B407" s="247">
        <v>13</v>
      </c>
      <c r="C407" s="250" t="str">
        <f t="shared" si="69"/>
        <v>2026-00613</v>
      </c>
      <c r="D407" s="245">
        <v>46177</v>
      </c>
      <c r="E407" s="246" t="s">
        <v>70</v>
      </c>
      <c r="F407" s="247">
        <v>50</v>
      </c>
      <c r="G407" s="52" t="str">
        <f t="shared" si="70"/>
        <v>Roll</v>
      </c>
      <c r="H407" s="52">
        <f t="shared" si="71"/>
        <v>2629</v>
      </c>
      <c r="I407" s="247">
        <f t="shared" si="72"/>
        <v>0</v>
      </c>
    </row>
    <row r="408" spans="1:9" ht="15" customHeight="1">
      <c r="A408" s="283" t="s">
        <v>83</v>
      </c>
      <c r="B408" s="247">
        <v>1</v>
      </c>
      <c r="C408" s="250" t="str">
        <f t="shared" si="69"/>
        <v>2026-0071</v>
      </c>
      <c r="D408" s="245">
        <v>46216</v>
      </c>
      <c r="E408" s="246" t="s">
        <v>10</v>
      </c>
      <c r="F408" s="247">
        <v>50</v>
      </c>
      <c r="G408" s="52" t="str">
        <f t="shared" si="70"/>
        <v>Ream</v>
      </c>
      <c r="H408" s="52">
        <f t="shared" si="71"/>
        <v>2276</v>
      </c>
      <c r="I408" s="247">
        <f t="shared" si="72"/>
        <v>0</v>
      </c>
    </row>
    <row r="409" spans="1:9" ht="15" customHeight="1">
      <c r="A409" s="283" t="s">
        <v>83</v>
      </c>
      <c r="B409" s="247">
        <v>2</v>
      </c>
      <c r="C409" s="250" t="str">
        <f t="shared" si="69"/>
        <v>2026-0072</v>
      </c>
      <c r="D409" s="245">
        <v>46216</v>
      </c>
      <c r="E409" s="246" t="s">
        <v>12</v>
      </c>
      <c r="F409" s="247">
        <v>30</v>
      </c>
      <c r="G409" s="52" t="str">
        <f t="shared" si="70"/>
        <v>Ream</v>
      </c>
      <c r="H409" s="52">
        <f t="shared" si="71"/>
        <v>2067</v>
      </c>
      <c r="I409" s="247">
        <f t="shared" si="72"/>
        <v>0</v>
      </c>
    </row>
    <row r="410" spans="1:9" ht="15" customHeight="1">
      <c r="A410" s="283" t="s">
        <v>83</v>
      </c>
      <c r="B410" s="247">
        <v>3</v>
      </c>
      <c r="C410" s="250" t="str">
        <f t="shared" ref="C410:C420" si="73">CONCATENATE(A410,B410)</f>
        <v>2026-0073</v>
      </c>
      <c r="D410" s="245">
        <v>46216</v>
      </c>
      <c r="E410" s="246" t="s">
        <v>33</v>
      </c>
      <c r="F410" s="247">
        <v>50</v>
      </c>
      <c r="G410" s="52" t="str">
        <f t="shared" si="70"/>
        <v>Ream</v>
      </c>
      <c r="H410" s="52">
        <f t="shared" si="71"/>
        <v>0</v>
      </c>
      <c r="I410" s="247">
        <f t="shared" si="72"/>
        <v>0</v>
      </c>
    </row>
    <row r="411" spans="1:9" ht="15" customHeight="1">
      <c r="A411" s="283" t="s">
        <v>83</v>
      </c>
      <c r="B411" s="247">
        <v>4</v>
      </c>
      <c r="C411" s="250" t="str">
        <f t="shared" si="73"/>
        <v>2026-0074</v>
      </c>
      <c r="D411" s="245">
        <v>46216</v>
      </c>
      <c r="E411" s="246" t="s">
        <v>34</v>
      </c>
      <c r="F411" s="247">
        <v>10</v>
      </c>
      <c r="G411" s="52" t="str">
        <f t="shared" si="70"/>
        <v>Ream</v>
      </c>
      <c r="H411" s="52">
        <f t="shared" si="71"/>
        <v>0</v>
      </c>
      <c r="I411" s="247">
        <f t="shared" si="72"/>
        <v>0</v>
      </c>
    </row>
    <row r="412" spans="1:9" ht="15" customHeight="1">
      <c r="A412" s="283" t="s">
        <v>83</v>
      </c>
      <c r="B412" s="247">
        <v>5</v>
      </c>
      <c r="C412" s="250" t="str">
        <f t="shared" si="73"/>
        <v>2026-0075</v>
      </c>
      <c r="D412" s="245">
        <v>46216</v>
      </c>
      <c r="E412" s="246" t="s">
        <v>14</v>
      </c>
      <c r="F412" s="247">
        <v>10</v>
      </c>
      <c r="G412" s="52" t="str">
        <f t="shared" si="70"/>
        <v>C</v>
      </c>
      <c r="H412" s="52">
        <f t="shared" si="71"/>
        <v>46</v>
      </c>
      <c r="I412" s="247">
        <f t="shared" si="72"/>
        <v>0</v>
      </c>
    </row>
    <row r="413" spans="1:9" ht="15" customHeight="1">
      <c r="A413" s="283" t="s">
        <v>83</v>
      </c>
      <c r="B413" s="247">
        <v>6</v>
      </c>
      <c r="C413" s="250" t="str">
        <f t="shared" si="73"/>
        <v>2026-0076</v>
      </c>
      <c r="D413" s="245">
        <v>46216</v>
      </c>
      <c r="E413" s="246" t="s">
        <v>13</v>
      </c>
      <c r="F413" s="247">
        <v>10</v>
      </c>
      <c r="G413" s="52" t="str">
        <f t="shared" si="70"/>
        <v>C</v>
      </c>
      <c r="H413" s="52">
        <f t="shared" si="71"/>
        <v>330</v>
      </c>
      <c r="I413" s="247">
        <f t="shared" si="72"/>
        <v>0</v>
      </c>
    </row>
    <row r="414" spans="1:9" ht="15" customHeight="1">
      <c r="A414" s="283" t="s">
        <v>83</v>
      </c>
      <c r="B414" s="247">
        <v>7</v>
      </c>
      <c r="C414" s="250" t="str">
        <f t="shared" si="73"/>
        <v>2026-0077</v>
      </c>
      <c r="D414" s="245">
        <v>46216</v>
      </c>
      <c r="E414" s="246" t="s">
        <v>15</v>
      </c>
      <c r="F414" s="247">
        <v>20</v>
      </c>
      <c r="G414" s="52" t="str">
        <f t="shared" si="70"/>
        <v>Roll</v>
      </c>
      <c r="H414" s="52">
        <f t="shared" si="71"/>
        <v>301</v>
      </c>
      <c r="I414" s="247">
        <f t="shared" si="72"/>
        <v>0</v>
      </c>
    </row>
    <row r="415" spans="1:9" ht="15" customHeight="1">
      <c r="A415" s="283" t="s">
        <v>83</v>
      </c>
      <c r="B415" s="247">
        <v>8</v>
      </c>
      <c r="C415" s="250" t="str">
        <f t="shared" si="73"/>
        <v>2026-0078</v>
      </c>
      <c r="D415" s="245">
        <v>46216</v>
      </c>
      <c r="E415" s="246" t="s">
        <v>63</v>
      </c>
      <c r="F415" s="247">
        <v>50</v>
      </c>
      <c r="G415" s="52" t="str">
        <f t="shared" si="70"/>
        <v>Bottle</v>
      </c>
      <c r="H415" s="52">
        <f t="shared" si="71"/>
        <v>2618</v>
      </c>
      <c r="I415" s="247">
        <f t="shared" si="72"/>
        <v>0</v>
      </c>
    </row>
    <row r="416" spans="1:9" ht="15" customHeight="1">
      <c r="A416" s="283" t="s">
        <v>83</v>
      </c>
      <c r="B416" s="247">
        <v>9</v>
      </c>
      <c r="C416" s="250" t="str">
        <f t="shared" si="73"/>
        <v>2026-0079</v>
      </c>
      <c r="D416" s="245">
        <v>46216</v>
      </c>
      <c r="E416" s="246" t="s">
        <v>38</v>
      </c>
      <c r="F416" s="247">
        <v>50</v>
      </c>
      <c r="G416" s="52" t="str">
        <f t="shared" si="70"/>
        <v>Ream</v>
      </c>
      <c r="H416" s="52">
        <f t="shared" si="71"/>
        <v>2521</v>
      </c>
      <c r="I416" s="247">
        <f t="shared" si="72"/>
        <v>0</v>
      </c>
    </row>
    <row r="417" spans="1:9" ht="15" customHeight="1">
      <c r="A417" s="283" t="s">
        <v>83</v>
      </c>
      <c r="B417" s="247">
        <v>10</v>
      </c>
      <c r="C417" s="250" t="str">
        <f t="shared" si="73"/>
        <v>2026-00710</v>
      </c>
      <c r="D417" s="245">
        <v>46216</v>
      </c>
      <c r="E417" s="246" t="s">
        <v>30</v>
      </c>
      <c r="F417" s="247">
        <v>50</v>
      </c>
      <c r="G417" s="52" t="str">
        <f t="shared" si="70"/>
        <v>Box</v>
      </c>
      <c r="H417" s="52">
        <f t="shared" si="71"/>
        <v>310</v>
      </c>
      <c r="I417" s="247">
        <f t="shared" si="72"/>
        <v>0</v>
      </c>
    </row>
    <row r="418" spans="1:9" ht="15" customHeight="1">
      <c r="A418" s="283" t="s">
        <v>83</v>
      </c>
      <c r="B418" s="247">
        <v>11</v>
      </c>
      <c r="C418" s="250" t="str">
        <f t="shared" si="73"/>
        <v>2026-00711</v>
      </c>
      <c r="D418" s="245">
        <v>46216</v>
      </c>
      <c r="E418" s="246" t="s">
        <v>18</v>
      </c>
      <c r="F418" s="247">
        <v>100</v>
      </c>
      <c r="G418" s="52" t="str">
        <f t="shared" si="70"/>
        <v>Piece</v>
      </c>
      <c r="H418" s="52">
        <f t="shared" si="71"/>
        <v>337</v>
      </c>
      <c r="I418" s="247">
        <f t="shared" si="72"/>
        <v>0</v>
      </c>
    </row>
    <row r="419" spans="1:9" ht="15" customHeight="1">
      <c r="A419" s="283" t="s">
        <v>83</v>
      </c>
      <c r="B419" s="247">
        <v>12</v>
      </c>
      <c r="C419" s="250" t="str">
        <f t="shared" si="73"/>
        <v>2026-00712</v>
      </c>
      <c r="D419" s="245">
        <v>46216</v>
      </c>
      <c r="E419" s="246" t="s">
        <v>35</v>
      </c>
      <c r="F419" s="247">
        <v>10</v>
      </c>
      <c r="G419" s="52" t="str">
        <f t="shared" si="70"/>
        <v>Ream</v>
      </c>
      <c r="H419" s="52">
        <f t="shared" si="71"/>
        <v>0</v>
      </c>
      <c r="I419" s="247">
        <f t="shared" si="72"/>
        <v>0</v>
      </c>
    </row>
    <row r="420" spans="1:9" ht="15" customHeight="1">
      <c r="A420" s="283" t="s">
        <v>83</v>
      </c>
      <c r="B420" s="247">
        <v>13</v>
      </c>
      <c r="C420" s="250" t="str">
        <f t="shared" si="73"/>
        <v>2026-00713</v>
      </c>
      <c r="D420" s="245">
        <v>46216</v>
      </c>
      <c r="E420" s="246" t="s">
        <v>20</v>
      </c>
      <c r="F420" s="247">
        <v>20</v>
      </c>
      <c r="G420" s="52" t="str">
        <f t="shared" si="70"/>
        <v>Piece</v>
      </c>
      <c r="H420" s="52">
        <f t="shared" si="71"/>
        <v>1960</v>
      </c>
      <c r="I420" s="247">
        <f t="shared" si="72"/>
        <v>0</v>
      </c>
    </row>
    <row r="421" spans="1:9" ht="15" customHeight="1">
      <c r="A421" s="283" t="s">
        <v>83</v>
      </c>
      <c r="B421" s="247">
        <v>14</v>
      </c>
      <c r="C421" s="250" t="str">
        <f t="shared" ref="C421:C424" si="74">CONCATENATE(A421,B421)</f>
        <v>2026-00714</v>
      </c>
      <c r="D421" s="245">
        <v>46216</v>
      </c>
      <c r="E421" s="246" t="s">
        <v>66</v>
      </c>
      <c r="F421" s="247">
        <v>10</v>
      </c>
      <c r="G421" s="52" t="str">
        <f t="shared" si="70"/>
        <v>Box</v>
      </c>
      <c r="H421" s="52">
        <f t="shared" si="71"/>
        <v>2546</v>
      </c>
      <c r="I421" s="247">
        <f t="shared" si="72"/>
        <v>0</v>
      </c>
    </row>
    <row r="422" spans="1:9" ht="15" customHeight="1">
      <c r="A422" s="283" t="s">
        <v>83</v>
      </c>
      <c r="B422" s="247">
        <v>15</v>
      </c>
      <c r="C422" s="250" t="str">
        <f t="shared" si="74"/>
        <v>2026-00715</v>
      </c>
      <c r="D422" s="245">
        <v>46216</v>
      </c>
      <c r="E422" s="246" t="s">
        <v>43</v>
      </c>
      <c r="F422" s="247">
        <v>10</v>
      </c>
      <c r="G422" s="52" t="str">
        <f t="shared" si="70"/>
        <v>Box</v>
      </c>
      <c r="H422" s="52">
        <f t="shared" si="71"/>
        <v>2552</v>
      </c>
      <c r="I422" s="247">
        <f t="shared" si="72"/>
        <v>0</v>
      </c>
    </row>
    <row r="423" spans="1:9" ht="15" customHeight="1">
      <c r="A423" s="283" t="s">
        <v>83</v>
      </c>
      <c r="B423" s="247">
        <v>16</v>
      </c>
      <c r="C423" s="250" t="str">
        <f t="shared" si="74"/>
        <v>2026-00716</v>
      </c>
      <c r="D423" s="245">
        <v>46216</v>
      </c>
      <c r="E423" s="246" t="s">
        <v>25</v>
      </c>
      <c r="F423" s="247">
        <v>10</v>
      </c>
      <c r="G423" s="52" t="str">
        <f t="shared" si="70"/>
        <v>Box</v>
      </c>
      <c r="H423" s="52">
        <f t="shared" si="71"/>
        <v>2550</v>
      </c>
      <c r="I423" s="247">
        <f t="shared" si="72"/>
        <v>0</v>
      </c>
    </row>
    <row r="424" spans="1:9" ht="15" customHeight="1">
      <c r="A424" s="283" t="s">
        <v>83</v>
      </c>
      <c r="B424" s="247">
        <v>17</v>
      </c>
      <c r="C424" s="250" t="str">
        <f t="shared" si="74"/>
        <v>2026-00717</v>
      </c>
      <c r="D424" s="245">
        <v>46216</v>
      </c>
      <c r="E424" s="246" t="s">
        <v>21</v>
      </c>
      <c r="F424" s="247">
        <v>20</v>
      </c>
      <c r="G424" s="52" t="str">
        <f t="shared" si="70"/>
        <v>Roll</v>
      </c>
      <c r="H424" s="52">
        <f t="shared" si="71"/>
        <v>2537</v>
      </c>
      <c r="I424" s="247">
        <f t="shared" si="72"/>
        <v>0</v>
      </c>
    </row>
    <row r="425" spans="1:9" ht="15" customHeight="1">
      <c r="G425" s="52" t="str">
        <f t="shared" si="70"/>
        <v>-</v>
      </c>
      <c r="H425" s="52" t="str">
        <f t="shared" si="71"/>
        <v>-</v>
      </c>
      <c r="I425" s="247" t="str">
        <f t="shared" si="72"/>
        <v>-</v>
      </c>
    </row>
    <row r="426" spans="1:9" ht="15" customHeight="1">
      <c r="G426" s="52" t="str">
        <f t="shared" si="70"/>
        <v>-</v>
      </c>
      <c r="H426" s="52" t="str">
        <f t="shared" si="71"/>
        <v>-</v>
      </c>
      <c r="I426" s="247" t="str">
        <f t="shared" si="72"/>
        <v>-</v>
      </c>
    </row>
    <row r="427" spans="1:9" ht="15" customHeight="1">
      <c r="G427" s="52" t="str">
        <f t="shared" si="70"/>
        <v>-</v>
      </c>
      <c r="H427" s="52" t="str">
        <f t="shared" si="71"/>
        <v>-</v>
      </c>
      <c r="I427" s="247" t="str">
        <f t="shared" si="72"/>
        <v>-</v>
      </c>
    </row>
    <row r="428" spans="1:9" ht="15" customHeight="1">
      <c r="G428" s="52" t="str">
        <f t="shared" si="70"/>
        <v>-</v>
      </c>
      <c r="H428" s="52" t="str">
        <f t="shared" si="71"/>
        <v>-</v>
      </c>
      <c r="I428" s="247" t="str">
        <f t="shared" si="72"/>
        <v>-</v>
      </c>
    </row>
  </sheetData>
  <dataConsolidate/>
  <phoneticPr fontId="40" type="noConversion"/>
  <conditionalFormatting sqref="D1:D1048576">
    <cfRule type="cellIs" dxfId="3" priority="1" operator="equal">
      <formula>$L$2</formula>
    </cfRule>
  </conditionalFormatting>
  <dataValidations count="1">
    <dataValidation type="list" allowBlank="1" showInputMessage="1" showErrorMessage="1" sqref="E2:E64872" xr:uid="{00000000-0002-0000-0000-000000000000}">
      <formula1>SUPPLY</formula1>
    </dataValidation>
  </dataValidations>
  <pageMargins left="0.7" right="0.7" top="0.75" bottom="0.75" header="0.3" footer="0.3"/>
  <pageSetup scale="4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CCB3-80FF-49BA-88A6-63C832A022A9}">
  <sheetPr>
    <tabColor theme="9" tint="0.39997558519241921"/>
  </sheetPr>
  <dimension ref="A1:K364"/>
  <sheetViews>
    <sheetView zoomScale="115" zoomScaleNormal="115" zoomScaleSheetLayoutView="130" workbookViewId="0">
      <pane ySplit="1" topLeftCell="A323" activePane="bottomLeft" state="frozen"/>
      <selection activeCell="A23" sqref="A23:A37"/>
      <selection pane="bottomLeft" activeCell="F343" sqref="F343"/>
    </sheetView>
  </sheetViews>
  <sheetFormatPr defaultColWidth="8.88671875" defaultRowHeight="14.4"/>
  <cols>
    <col min="1" max="1" width="11.44140625" style="248" customWidth="1"/>
    <col min="2" max="2" width="14.6640625" style="247" customWidth="1"/>
    <col min="3" max="3" width="13.88671875" style="249" customWidth="1"/>
    <col min="4" max="4" width="25.44140625" style="245" customWidth="1"/>
    <col min="5" max="5" width="52.44140625" style="246" bestFit="1" customWidth="1"/>
    <col min="6" max="6" width="22.6640625" style="247" customWidth="1"/>
    <col min="7" max="7" width="7.33203125" style="247" bestFit="1" customWidth="1"/>
    <col min="8" max="8" width="13" style="247" customWidth="1"/>
    <col min="9" max="9" width="9.33203125" style="247" customWidth="1"/>
    <col min="10" max="10" width="7.33203125" style="246" bestFit="1" customWidth="1"/>
    <col min="11" max="12" width="9.109375" style="246" bestFit="1" customWidth="1"/>
    <col min="13" max="14" width="8.88671875" style="246"/>
    <col min="15" max="21" width="9.109375" style="246" bestFit="1" customWidth="1"/>
    <col min="22" max="16366" width="8.88671875" style="246"/>
    <col min="16367" max="16377" width="9.109375" style="246" bestFit="1" customWidth="1"/>
    <col min="16378" max="16384" width="9.109375" style="246" customWidth="1"/>
  </cols>
  <sheetData>
    <row r="1" spans="1:11" s="242" customFormat="1">
      <c r="A1" s="253" t="s">
        <v>0</v>
      </c>
      <c r="B1" s="254" t="s">
        <v>84</v>
      </c>
      <c r="C1" s="253" t="s">
        <v>2</v>
      </c>
      <c r="D1" s="255" t="s">
        <v>85</v>
      </c>
      <c r="E1" s="256" t="s">
        <v>4</v>
      </c>
      <c r="F1" s="254" t="s">
        <v>86</v>
      </c>
      <c r="G1" s="256" t="s">
        <v>6</v>
      </c>
      <c r="H1" s="256" t="s">
        <v>7</v>
      </c>
      <c r="I1" s="256" t="s">
        <v>8</v>
      </c>
      <c r="J1" s="256" t="s">
        <v>87</v>
      </c>
      <c r="K1" s="256" t="s">
        <v>88</v>
      </c>
    </row>
    <row r="2" spans="1:11">
      <c r="A2" s="251" t="str">
        <f>'DATA ENTRY - REQUEST'!A2</f>
        <v>2023-016</v>
      </c>
      <c r="B2" s="52">
        <f>'DATA ENTRY - REQUEST'!B2</f>
        <v>1</v>
      </c>
      <c r="C2" s="250" t="str">
        <f>Table3[[#This Row],[RIS NO]] &amp; TEXT(Table3[[#This Row],[COUNT (Max10)]], "0;-0")</f>
        <v>2023-0161</v>
      </c>
      <c r="D2" s="245">
        <v>45155</v>
      </c>
      <c r="E2" s="252" t="str">
        <f t="shared" ref="E2:E65" si="0">VLOOKUP(C2,REQUEST1,3,0)</f>
        <v>Bond copy paper, A4 size,70gsm 500shts/rm</v>
      </c>
      <c r="F2" s="247">
        <v>60</v>
      </c>
      <c r="G2" s="247" t="str">
        <f t="shared" ref="G2" si="1">IFERROR(VLOOKUP(E2,SUPPLY2,3,0),"-")</f>
        <v>Ream</v>
      </c>
      <c r="H2" s="247">
        <f t="shared" ref="H2" si="2">IFERROR(VLOOKUP(E2,SUPPLY2,4,0),"-")</f>
        <v>2276</v>
      </c>
      <c r="I2" s="247" t="str">
        <f>IFERROR(VLOOKUP(D2,YEAR2023,2,0),"-")</f>
        <v>-</v>
      </c>
      <c r="J2" s="247"/>
      <c r="K2" s="247"/>
    </row>
    <row r="3" spans="1:11">
      <c r="A3" s="251" t="str">
        <f>'DATA ENTRY - REQUEST'!A3</f>
        <v>2025-001</v>
      </c>
      <c r="B3" s="52">
        <f>'DATA ENTRY - REQUEST'!B3</f>
        <v>1</v>
      </c>
      <c r="C3" s="250" t="str">
        <f>Table3[[#This Row],[RIS NO]] &amp; TEXT(Table3[[#This Row],[COUNT (Max10)]], "0;-0")</f>
        <v>2025-0011</v>
      </c>
      <c r="D3" s="245">
        <v>45674</v>
      </c>
      <c r="E3" s="252" t="str">
        <f t="shared" si="0"/>
        <v>Bond copy paper, A4 size,70gsm 500shts/rm</v>
      </c>
      <c r="F3" s="247">
        <v>20</v>
      </c>
      <c r="G3" s="247" t="str">
        <f t="shared" ref="G3:G35" si="3">IFERROR(VLOOKUP(E3,SUPPLY2,3,0),"-")</f>
        <v>Ream</v>
      </c>
      <c r="H3" s="247">
        <f t="shared" ref="H3:H35" si="4">IFERROR(VLOOKUP(E3,SUPPLY2,4,0),"-")</f>
        <v>2276</v>
      </c>
      <c r="I3" s="247">
        <f t="shared" ref="I3:I36" si="5">IFERROR(VLOOKUP(D3,YEAR2023,2,0),"-")</f>
        <v>1</v>
      </c>
      <c r="J3" s="247"/>
    </row>
    <row r="4" spans="1:11">
      <c r="A4" s="251" t="str">
        <f>'DATA ENTRY - REQUEST'!A4</f>
        <v>2025-001</v>
      </c>
      <c r="B4" s="52">
        <f>'DATA ENTRY - REQUEST'!B4</f>
        <v>2</v>
      </c>
      <c r="C4" s="250" t="str">
        <f>Table3[[#This Row],[RIS NO]] &amp; TEXT(Table3[[#This Row],[COUNT (Max10)]], "0;-0")</f>
        <v>2025-0012</v>
      </c>
      <c r="D4" s="245">
        <v>45674</v>
      </c>
      <c r="E4" s="252" t="str">
        <f t="shared" si="0"/>
        <v>Bond prem,LEGAL SIZE, 216x330mm,70gsm 500shts/rm</v>
      </c>
      <c r="F4" s="247">
        <v>20</v>
      </c>
      <c r="G4" s="247" t="str">
        <f t="shared" si="3"/>
        <v>Ream</v>
      </c>
      <c r="H4" s="247">
        <f t="shared" si="4"/>
        <v>2067</v>
      </c>
      <c r="I4" s="247">
        <f t="shared" si="5"/>
        <v>1</v>
      </c>
      <c r="J4" s="247"/>
    </row>
    <row r="5" spans="1:11">
      <c r="A5" s="251" t="str">
        <f>'DATA ENTRY - REQUEST'!A5</f>
        <v>2025-001</v>
      </c>
      <c r="B5" s="52">
        <f>'DATA ENTRY - REQUEST'!B5</f>
        <v>3</v>
      </c>
      <c r="C5" s="250" t="str">
        <f>Table3[[#This Row],[RIS NO]] &amp; TEXT(Table3[[#This Row],[COUNT (Max10)]], "0;-0")</f>
        <v>2025-0013</v>
      </c>
      <c r="D5" s="245">
        <v>45674</v>
      </c>
      <c r="E5" s="252" t="str">
        <f t="shared" si="0"/>
        <v>Folder - legal size, 36mm thick (14pts)</v>
      </c>
      <c r="F5" s="247">
        <v>3</v>
      </c>
      <c r="G5" s="247" t="str">
        <f t="shared" si="3"/>
        <v>C</v>
      </c>
      <c r="H5" s="247">
        <f t="shared" si="4"/>
        <v>330</v>
      </c>
      <c r="I5" s="247">
        <f t="shared" si="5"/>
        <v>1</v>
      </c>
      <c r="J5" s="247"/>
    </row>
    <row r="6" spans="1:11">
      <c r="A6" s="251" t="str">
        <f>'DATA ENTRY - REQUEST'!A6</f>
        <v>2025-001</v>
      </c>
      <c r="B6" s="52">
        <f>'DATA ENTRY - REQUEST'!B6</f>
        <v>4</v>
      </c>
      <c r="C6" s="250" t="str">
        <f>Table3[[#This Row],[RIS NO]] &amp; TEXT(Table3[[#This Row],[COUNT (Max10)]], "0;-0")</f>
        <v>2025-0014</v>
      </c>
      <c r="D6" s="245">
        <v>45699</v>
      </c>
      <c r="E6" s="252" t="str">
        <f t="shared" si="0"/>
        <v>Envelope - document, 10 x 15</v>
      </c>
      <c r="F6" s="247">
        <v>20</v>
      </c>
      <c r="G6" s="247" t="str">
        <f t="shared" si="3"/>
        <v>C</v>
      </c>
      <c r="H6" s="247">
        <f t="shared" si="4"/>
        <v>46</v>
      </c>
      <c r="I6" s="247">
        <f t="shared" si="5"/>
        <v>2</v>
      </c>
      <c r="J6" s="247"/>
    </row>
    <row r="7" spans="1:11">
      <c r="A7" s="251" t="str">
        <f>'DATA ENTRY - REQUEST'!A7</f>
        <v>2025-001</v>
      </c>
      <c r="B7" s="52">
        <f>'DATA ENTRY - REQUEST'!B7</f>
        <v>5</v>
      </c>
      <c r="C7" s="250" t="str">
        <f>Table3[[#This Row],[RIS NO]] &amp; TEXT(Table3[[#This Row],[COUNT (Max10)]], "0;-0")</f>
        <v>2025-0015</v>
      </c>
      <c r="D7" s="245">
        <v>45699</v>
      </c>
      <c r="E7" s="252" t="str">
        <f t="shared" si="0"/>
        <v>Tape - transparent 1</v>
      </c>
      <c r="F7" s="247">
        <v>20</v>
      </c>
      <c r="G7" s="247" t="str">
        <f t="shared" si="3"/>
        <v>Roll</v>
      </c>
      <c r="H7" s="247">
        <f t="shared" si="4"/>
        <v>301</v>
      </c>
      <c r="I7" s="247">
        <f t="shared" si="5"/>
        <v>2</v>
      </c>
      <c r="J7" s="247"/>
    </row>
    <row r="8" spans="1:11">
      <c r="A8" s="251" t="str">
        <f>'DATA ENTRY - REQUEST'!A8</f>
        <v>2025-002</v>
      </c>
      <c r="B8" s="52">
        <f>'DATA ENTRY - REQUEST'!B8</f>
        <v>1</v>
      </c>
      <c r="C8" s="250" t="str">
        <f>Table3[[#This Row],[RIS NO]] &amp; TEXT(Table3[[#This Row],[COUNT (Max10)]], "0;-0")</f>
        <v>2025-0021</v>
      </c>
      <c r="D8" s="245">
        <v>45699</v>
      </c>
      <c r="E8" s="252" t="str">
        <f t="shared" si="0"/>
        <v>Tape - transparent 1</v>
      </c>
      <c r="F8" s="247">
        <v>100</v>
      </c>
      <c r="G8" s="247" t="str">
        <f t="shared" si="3"/>
        <v>Roll</v>
      </c>
      <c r="H8" s="247">
        <f t="shared" si="4"/>
        <v>301</v>
      </c>
      <c r="I8" s="247">
        <f t="shared" si="5"/>
        <v>2</v>
      </c>
      <c r="J8" s="247"/>
    </row>
    <row r="9" spans="1:11">
      <c r="A9" s="251" t="str">
        <f>'DATA ENTRY - REQUEST'!A9</f>
        <v>2025-002</v>
      </c>
      <c r="B9" s="52">
        <f>'DATA ENTRY - REQUEST'!B9</f>
        <v>2</v>
      </c>
      <c r="C9" s="250" t="str">
        <f>Table3[[#This Row],[RIS NO]] &amp; TEXT(Table3[[#This Row],[COUNT (Max10)]], "0;-0")</f>
        <v>2025-0022</v>
      </c>
      <c r="D9" s="245">
        <v>45699</v>
      </c>
      <c r="E9" s="252" t="str">
        <f t="shared" si="0"/>
        <v>Bond copy paper, A4 size,70gsm 500shts/rm</v>
      </c>
      <c r="F9" s="247">
        <v>10</v>
      </c>
      <c r="G9" s="247" t="str">
        <f t="shared" si="3"/>
        <v>Ream</v>
      </c>
      <c r="H9" s="247">
        <f t="shared" si="4"/>
        <v>2276</v>
      </c>
      <c r="I9" s="247">
        <f t="shared" si="5"/>
        <v>2</v>
      </c>
      <c r="J9" s="247"/>
    </row>
    <row r="10" spans="1:11">
      <c r="A10" s="251" t="str">
        <f>'DATA ENTRY - REQUEST'!A10</f>
        <v>2025-002</v>
      </c>
      <c r="B10" s="52">
        <f>'DATA ENTRY - REQUEST'!B10</f>
        <v>3</v>
      </c>
      <c r="C10" s="250" t="str">
        <f>Table3[[#This Row],[RIS NO]] &amp; TEXT(Table3[[#This Row],[COUNT (Max10)]], "0;-0")</f>
        <v>2025-0023</v>
      </c>
      <c r="D10" s="245">
        <v>45699</v>
      </c>
      <c r="E10" s="252" t="str">
        <f t="shared" si="0"/>
        <v>Bond prem,LEGAL SIZE, 216x330mm,70gsm 500shts/rm</v>
      </c>
      <c r="F10" s="247">
        <v>16</v>
      </c>
      <c r="G10" s="247" t="str">
        <f t="shared" si="3"/>
        <v>Ream</v>
      </c>
      <c r="H10" s="247">
        <f t="shared" si="4"/>
        <v>2067</v>
      </c>
      <c r="I10" s="247">
        <f t="shared" si="5"/>
        <v>2</v>
      </c>
      <c r="J10" s="247"/>
    </row>
    <row r="11" spans="1:11">
      <c r="A11" s="251" t="str">
        <f>'DATA ENTRY - REQUEST'!A11</f>
        <v>2025-002</v>
      </c>
      <c r="B11" s="52">
        <f>'DATA ENTRY - REQUEST'!B11</f>
        <v>4</v>
      </c>
      <c r="C11" s="250" t="str">
        <f>Table3[[#This Row],[RIS NO]] &amp; TEXT(Table3[[#This Row],[COUNT (Max10)]], "0;-0")</f>
        <v>2025-0024</v>
      </c>
      <c r="D11" s="245">
        <v>45716</v>
      </c>
      <c r="E11" s="252" t="str">
        <f t="shared" si="0"/>
        <v>Paste - solid w/ waterwell and applicator</v>
      </c>
      <c r="F11" s="247">
        <v>20</v>
      </c>
      <c r="G11" s="247" t="str">
        <f t="shared" si="3"/>
        <v>Piece</v>
      </c>
      <c r="H11" s="247">
        <f t="shared" si="4"/>
        <v>336</v>
      </c>
      <c r="I11" s="247">
        <f t="shared" si="5"/>
        <v>2</v>
      </c>
      <c r="J11" s="247"/>
    </row>
    <row r="12" spans="1:11">
      <c r="A12" s="251" t="str">
        <f>'DATA ENTRY - REQUEST'!A12</f>
        <v>2025-002</v>
      </c>
      <c r="B12" s="52">
        <f>'DATA ENTRY - REQUEST'!B12</f>
        <v>5</v>
      </c>
      <c r="C12" s="250" t="str">
        <f>Table3[[#This Row],[RIS NO]] &amp; TEXT(Table3[[#This Row],[COUNT (Max10)]], "0;-0")</f>
        <v>2025-0025</v>
      </c>
      <c r="D12" s="245">
        <v>45716</v>
      </c>
      <c r="E12" s="252" t="str">
        <f t="shared" si="0"/>
        <v>Ballpoint pen</v>
      </c>
      <c r="F12" s="247">
        <v>20</v>
      </c>
      <c r="G12" s="247" t="str">
        <f t="shared" si="3"/>
        <v>Piece</v>
      </c>
      <c r="H12" s="247">
        <f t="shared" si="4"/>
        <v>337</v>
      </c>
      <c r="I12" s="247">
        <f t="shared" si="5"/>
        <v>2</v>
      </c>
      <c r="J12" s="247"/>
    </row>
    <row r="13" spans="1:11">
      <c r="A13" s="251" t="str">
        <f>'DATA ENTRY - REQUEST'!A13</f>
        <v>2025-002</v>
      </c>
      <c r="B13" s="52">
        <f>'DATA ENTRY - REQUEST'!B13</f>
        <v>6</v>
      </c>
      <c r="C13" s="250" t="str">
        <f>Table3[[#This Row],[RIS NO]] &amp; TEXT(Table3[[#This Row],[COUNT (Max10)]], "0;-0")</f>
        <v>2025-0026</v>
      </c>
      <c r="D13" s="245">
        <v>45716</v>
      </c>
      <c r="E13" s="252" t="str">
        <f t="shared" si="0"/>
        <v>Tape - masking 1</v>
      </c>
      <c r="F13" s="247">
        <v>20</v>
      </c>
      <c r="G13" s="247" t="str">
        <f t="shared" si="3"/>
        <v>Roll</v>
      </c>
      <c r="H13" s="247">
        <f t="shared" si="4"/>
        <v>300</v>
      </c>
      <c r="I13" s="247">
        <f t="shared" si="5"/>
        <v>2</v>
      </c>
      <c r="J13" s="247"/>
    </row>
    <row r="14" spans="1:11">
      <c r="A14" s="251" t="str">
        <f>'DATA ENTRY - REQUEST'!A14</f>
        <v>2025-002</v>
      </c>
      <c r="B14" s="52">
        <f>'DATA ENTRY - REQUEST'!B14</f>
        <v>7</v>
      </c>
      <c r="C14" s="250" t="str">
        <f>Table3[[#This Row],[RIS NO]] &amp; TEXT(Table3[[#This Row],[COUNT (Max10)]], "0;-0")</f>
        <v>2025-0027</v>
      </c>
      <c r="D14" s="245">
        <v>45721</v>
      </c>
      <c r="E14" s="252" t="str">
        <f t="shared" si="0"/>
        <v>Correction tape</v>
      </c>
      <c r="F14" s="247">
        <v>20</v>
      </c>
      <c r="G14" s="247" t="str">
        <f t="shared" si="3"/>
        <v>Piece</v>
      </c>
      <c r="H14" s="247">
        <f t="shared" si="4"/>
        <v>1960</v>
      </c>
      <c r="I14" s="247">
        <f t="shared" si="5"/>
        <v>3</v>
      </c>
      <c r="J14" s="247"/>
    </row>
    <row r="15" spans="1:11">
      <c r="A15" s="251" t="str">
        <f>'DATA ENTRY - REQUEST'!A15</f>
        <v>2025-002</v>
      </c>
      <c r="B15" s="52">
        <f>'DATA ENTRY - REQUEST'!B15</f>
        <v>8</v>
      </c>
      <c r="C15" s="250" t="str">
        <f>Table3[[#This Row],[RIS NO]] &amp; TEXT(Table3[[#This Row],[COUNT (Max10)]], "0;-0")</f>
        <v>2025-0028</v>
      </c>
      <c r="D15" s="245">
        <v>45721</v>
      </c>
      <c r="E15" s="252" t="str">
        <f t="shared" si="0"/>
        <v>Packaging tape 2”</v>
      </c>
      <c r="F15" s="247">
        <v>20</v>
      </c>
      <c r="G15" s="247" t="str">
        <f t="shared" si="3"/>
        <v>Roll</v>
      </c>
      <c r="H15" s="247">
        <f t="shared" si="4"/>
        <v>2537</v>
      </c>
      <c r="I15" s="247">
        <f t="shared" si="5"/>
        <v>3</v>
      </c>
      <c r="J15" s="247"/>
    </row>
    <row r="16" spans="1:11">
      <c r="A16" s="251" t="str">
        <f>'DATA ENTRY - REQUEST'!A16</f>
        <v>2025-002</v>
      </c>
      <c r="B16" s="52">
        <f>'DATA ENTRY - REQUEST'!B16</f>
        <v>9</v>
      </c>
      <c r="C16" s="250" t="str">
        <f>Table3[[#This Row],[RIS NO]] &amp; TEXT(Table3[[#This Row],[COUNT (Max10)]], "0;-0")</f>
        <v>2025-0029</v>
      </c>
      <c r="D16" s="245">
        <v>45721</v>
      </c>
      <c r="E16" s="252" t="str">
        <f t="shared" si="0"/>
        <v>Paper – tissue</v>
      </c>
      <c r="F16" s="247">
        <v>3</v>
      </c>
      <c r="G16" s="247" t="str">
        <f t="shared" si="3"/>
        <v>Roll</v>
      </c>
      <c r="H16" s="247">
        <f t="shared" si="4"/>
        <v>281</v>
      </c>
      <c r="I16" s="247">
        <f t="shared" si="5"/>
        <v>3</v>
      </c>
      <c r="J16" s="247"/>
    </row>
    <row r="17" spans="1:10">
      <c r="A17" s="251" t="str">
        <f>'DATA ENTRY - REQUEST'!A17</f>
        <v>2025-002</v>
      </c>
      <c r="B17" s="52">
        <f>'DATA ENTRY - REQUEST'!B17</f>
        <v>10</v>
      </c>
      <c r="C17" s="250" t="str">
        <f>Table3[[#This Row],[RIS NO]] &amp; TEXT(Table3[[#This Row],[COUNT (Max10)]], "0;-0")</f>
        <v>2025-00210</v>
      </c>
      <c r="D17" s="245">
        <v>45721</v>
      </c>
      <c r="E17" s="252" t="str">
        <f t="shared" si="0"/>
        <v>Pencil</v>
      </c>
      <c r="F17" s="247">
        <v>0</v>
      </c>
      <c r="G17" s="247" t="str">
        <f t="shared" si="3"/>
        <v>Piece</v>
      </c>
      <c r="H17" s="247">
        <f t="shared" si="4"/>
        <v>0</v>
      </c>
      <c r="I17" s="247">
        <f t="shared" si="5"/>
        <v>3</v>
      </c>
      <c r="J17" s="247"/>
    </row>
    <row r="18" spans="1:10">
      <c r="A18" s="251" t="str">
        <f>'DATA ENTRY - REQUEST'!A18</f>
        <v>2025-002</v>
      </c>
      <c r="B18" s="52">
        <f>'DATA ENTRY - REQUEST'!B18</f>
        <v>11</v>
      </c>
      <c r="C18" s="250" t="str">
        <f>Table3[[#This Row],[RIS NO]] &amp; TEXT(Table3[[#This Row],[COUNT (Max10)]], "0;-0")</f>
        <v>2025-00211</v>
      </c>
      <c r="D18" s="245">
        <v>45721</v>
      </c>
      <c r="E18" s="252" t="str">
        <f t="shared" si="0"/>
        <v>Marking pen</v>
      </c>
      <c r="F18" s="247">
        <v>3</v>
      </c>
      <c r="G18" s="247" t="str">
        <f t="shared" si="3"/>
        <v>Piece</v>
      </c>
      <c r="H18" s="247">
        <f t="shared" si="4"/>
        <v>338</v>
      </c>
      <c r="I18" s="247">
        <f t="shared" si="5"/>
        <v>3</v>
      </c>
      <c r="J18" s="247"/>
    </row>
    <row r="19" spans="1:10">
      <c r="A19" s="251" t="str">
        <f>'DATA ENTRY - REQUEST'!A19</f>
        <v>2025-002</v>
      </c>
      <c r="B19" s="52">
        <f>'DATA ENTRY - REQUEST'!B19</f>
        <v>12</v>
      </c>
      <c r="C19" s="250" t="str">
        <f>Table3[[#This Row],[RIS NO]] &amp; TEXT(Table3[[#This Row],[COUNT (Max10)]], "0;-0")</f>
        <v>2025-00212</v>
      </c>
      <c r="D19" s="245">
        <v>45721</v>
      </c>
      <c r="E19" s="252" t="str">
        <f t="shared" si="0"/>
        <v>Binder clip 1”</v>
      </c>
      <c r="F19" s="247">
        <v>3</v>
      </c>
      <c r="G19" s="247" t="str">
        <f t="shared" si="3"/>
        <v>Box</v>
      </c>
      <c r="H19" s="247">
        <f t="shared" si="4"/>
        <v>2550</v>
      </c>
      <c r="I19" s="247">
        <f t="shared" si="5"/>
        <v>3</v>
      </c>
      <c r="J19" s="247"/>
    </row>
    <row r="20" spans="1:10">
      <c r="A20" s="251" t="str">
        <f>'DATA ENTRY - REQUEST'!A20</f>
        <v>2025-002</v>
      </c>
      <c r="B20" s="52">
        <f>'DATA ENTRY - REQUEST'!B20</f>
        <v>13</v>
      </c>
      <c r="C20" s="250" t="str">
        <f>Table3[[#This Row],[RIS NO]] &amp; TEXT(Table3[[#This Row],[COUNT (Max10)]], "0;-0")</f>
        <v>2025-00213</v>
      </c>
      <c r="D20" s="245">
        <v>45721</v>
      </c>
      <c r="E20" s="252" t="str">
        <f t="shared" si="0"/>
        <v>Rubber band - multicolor, 450 grams</v>
      </c>
      <c r="F20" s="247">
        <v>5</v>
      </c>
      <c r="G20" s="247" t="str">
        <f t="shared" si="3"/>
        <v>Box</v>
      </c>
      <c r="H20" s="247">
        <f t="shared" si="4"/>
        <v>307</v>
      </c>
      <c r="I20" s="247">
        <f t="shared" si="5"/>
        <v>3</v>
      </c>
      <c r="J20" s="247"/>
    </row>
    <row r="21" spans="1:10">
      <c r="A21" s="251" t="str">
        <f>'DATA ENTRY - REQUEST'!A21</f>
        <v>2025-002</v>
      </c>
      <c r="B21" s="52">
        <f>'DATA ENTRY - REQUEST'!B21</f>
        <v>14</v>
      </c>
      <c r="C21" s="250" t="str">
        <f>Table3[[#This Row],[RIS NO]] &amp; TEXT(Table3[[#This Row],[COUNT (Max10)]], "0;-0")</f>
        <v>2025-00214</v>
      </c>
      <c r="D21" s="245">
        <v>45721</v>
      </c>
      <c r="E21" s="252" t="str">
        <f t="shared" si="0"/>
        <v>Folder - legal size, 36mm thick (14pts)</v>
      </c>
      <c r="F21" s="247">
        <v>5</v>
      </c>
      <c r="G21" s="247" t="str">
        <f t="shared" si="3"/>
        <v>C</v>
      </c>
      <c r="H21" s="247">
        <f t="shared" si="4"/>
        <v>330</v>
      </c>
      <c r="I21" s="247">
        <f t="shared" si="5"/>
        <v>3</v>
      </c>
      <c r="J21" s="247"/>
    </row>
    <row r="22" spans="1:10">
      <c r="A22" s="251" t="str">
        <f>'DATA ENTRY - REQUEST'!A22</f>
        <v>2025-002</v>
      </c>
      <c r="B22" s="52">
        <f>'DATA ENTRY - REQUEST'!B22</f>
        <v>15</v>
      </c>
      <c r="C22" s="250" t="str">
        <f>Table3[[#This Row],[RIS NO]] &amp; TEXT(Table3[[#This Row],[COUNT (Max10)]], "0;-0")</f>
        <v>2025-00215</v>
      </c>
      <c r="D22" s="245">
        <v>45721</v>
      </c>
      <c r="E22" s="252" t="str">
        <f t="shared" si="0"/>
        <v>Rubber band - transparent 445 grams</v>
      </c>
      <c r="F22" s="247" t="s">
        <v>89</v>
      </c>
      <c r="G22" s="247" t="str">
        <f t="shared" si="3"/>
        <v>Bag</v>
      </c>
      <c r="H22" s="247">
        <f t="shared" si="4"/>
        <v>308</v>
      </c>
      <c r="I22" s="247">
        <f t="shared" si="5"/>
        <v>3</v>
      </c>
      <c r="J22" s="247"/>
    </row>
    <row r="23" spans="1:10">
      <c r="A23" s="251" t="str">
        <f>'DATA ENTRY - REQUEST'!A23</f>
        <v>2025-003</v>
      </c>
      <c r="B23" s="52">
        <f>'DATA ENTRY - REQUEST'!B23</f>
        <v>1</v>
      </c>
      <c r="C23" s="250" t="str">
        <f>Table3[[#This Row],[RIS NO]] &amp; TEXT(Table3[[#This Row],[COUNT (Max10)]], "0;-0")</f>
        <v>2025-0031</v>
      </c>
      <c r="D23" s="245">
        <v>45721</v>
      </c>
      <c r="E23" s="252" t="str">
        <f t="shared" si="0"/>
        <v>Alcohol, ethyl, 68%-72%</v>
      </c>
      <c r="F23" s="247" t="s">
        <v>89</v>
      </c>
      <c r="G23" s="247" t="str">
        <f t="shared" si="3"/>
        <v>Gallon</v>
      </c>
      <c r="H23" s="247">
        <f t="shared" si="4"/>
        <v>2617</v>
      </c>
      <c r="I23" s="247">
        <f t="shared" si="5"/>
        <v>3</v>
      </c>
      <c r="J23" s="247"/>
    </row>
    <row r="24" spans="1:10">
      <c r="A24" s="251" t="str">
        <f>'DATA ENTRY - REQUEST'!A24</f>
        <v>2025-003</v>
      </c>
      <c r="B24" s="52">
        <f>'DATA ENTRY - REQUEST'!B24</f>
        <v>2</v>
      </c>
      <c r="C24" s="250" t="str">
        <f>Table3[[#This Row],[RIS NO]] &amp; TEXT(Table3[[#This Row],[COUNT (Max10)]], "0;-0")</f>
        <v>2025-0032</v>
      </c>
      <c r="D24" s="245">
        <v>45721</v>
      </c>
      <c r="E24" s="252" t="str">
        <f t="shared" si="0"/>
        <v>Staple wire, 5000 pcs</v>
      </c>
      <c r="F24" s="247" t="s">
        <v>89</v>
      </c>
      <c r="G24" s="247" t="str">
        <f t="shared" si="3"/>
        <v>Box</v>
      </c>
      <c r="H24" s="247">
        <f t="shared" si="4"/>
        <v>310</v>
      </c>
      <c r="I24" s="247">
        <f t="shared" si="5"/>
        <v>3</v>
      </c>
      <c r="J24" s="247"/>
    </row>
    <row r="25" spans="1:10">
      <c r="A25" s="251" t="str">
        <f>'DATA ENTRY - REQUEST'!A25</f>
        <v>2025-003</v>
      </c>
      <c r="B25" s="52" t="str">
        <f>'DATA ENTRY - REQUEST'!B25</f>
        <v>3</v>
      </c>
      <c r="C25" s="250" t="str">
        <f>Table3[[#This Row],[RIS NO]] &amp; TEXT(Table3[[#This Row],[COUNT (Max10)]], "0;-0")</f>
        <v>2025-0033</v>
      </c>
      <c r="D25" s="245">
        <v>45721</v>
      </c>
      <c r="E25" s="252" t="str">
        <f t="shared" si="0"/>
        <v>Envelope - document, 10 x 15</v>
      </c>
      <c r="F25" s="247" t="s">
        <v>89</v>
      </c>
      <c r="G25" s="247" t="str">
        <f t="shared" si="3"/>
        <v>C</v>
      </c>
      <c r="H25" s="247">
        <f t="shared" si="4"/>
        <v>46</v>
      </c>
      <c r="I25" s="247">
        <f t="shared" si="5"/>
        <v>3</v>
      </c>
      <c r="J25" s="247"/>
    </row>
    <row r="26" spans="1:10">
      <c r="A26" s="251" t="str">
        <f>'DATA ENTRY - REQUEST'!A26</f>
        <v>2025-003</v>
      </c>
      <c r="B26" s="52">
        <f>'DATA ENTRY - REQUEST'!B26</f>
        <v>4</v>
      </c>
      <c r="C26" s="250" t="str">
        <f>Table3[[#This Row],[RIS NO]] &amp; TEXT(Table3[[#This Row],[COUNT (Max10)]], "0;-0")</f>
        <v>2025-0034</v>
      </c>
      <c r="D26" s="245">
        <v>45721</v>
      </c>
      <c r="E26" s="252" t="str">
        <f t="shared" si="0"/>
        <v>Bond copy paper, A4 size,70gsm 500shts/rm</v>
      </c>
      <c r="F26" s="247" t="s">
        <v>89</v>
      </c>
      <c r="G26" s="247" t="str">
        <f t="shared" si="3"/>
        <v>Ream</v>
      </c>
      <c r="H26" s="247">
        <f t="shared" si="4"/>
        <v>2276</v>
      </c>
      <c r="I26" s="247">
        <f t="shared" si="5"/>
        <v>3</v>
      </c>
      <c r="J26" s="247"/>
    </row>
    <row r="27" spans="1:10">
      <c r="A27" s="251" t="str">
        <f>'DATA ENTRY - REQUEST'!A27</f>
        <v>2025-003</v>
      </c>
      <c r="B27" s="52">
        <f>'DATA ENTRY - REQUEST'!B27</f>
        <v>5</v>
      </c>
      <c r="C27" s="250" t="str">
        <f>Table3[[#This Row],[RIS NO]] &amp; TEXT(Table3[[#This Row],[COUNT (Max10)]], "0;-0")</f>
        <v>2025-0035</v>
      </c>
      <c r="D27" s="245">
        <v>45721</v>
      </c>
      <c r="E27" s="252" t="str">
        <f t="shared" si="0"/>
        <v>Bond prem,LEGAL SIZE, 216x330mm,70gsm 500shts/rm</v>
      </c>
      <c r="F27" s="247" t="s">
        <v>89</v>
      </c>
      <c r="G27" s="247" t="str">
        <f t="shared" si="3"/>
        <v>Ream</v>
      </c>
      <c r="H27" s="247">
        <f t="shared" si="4"/>
        <v>2067</v>
      </c>
      <c r="I27" s="247">
        <f t="shared" si="5"/>
        <v>3</v>
      </c>
      <c r="J27" s="247"/>
    </row>
    <row r="28" spans="1:10">
      <c r="A28" s="251" t="str">
        <f>'DATA ENTRY - REQUEST'!A28</f>
        <v>2025-003</v>
      </c>
      <c r="B28" s="52">
        <f>'DATA ENTRY - REQUEST'!B28</f>
        <v>6</v>
      </c>
      <c r="C28" s="250" t="str">
        <f>Table3[[#This Row],[RIS NO]] &amp; TEXT(Table3[[#This Row],[COUNT (Max10)]], "0;-0")</f>
        <v>2025-0036</v>
      </c>
      <c r="D28" s="245">
        <v>45721</v>
      </c>
      <c r="E28" s="252" t="str">
        <f t="shared" si="0"/>
        <v>Envelope - document, 10 x 15</v>
      </c>
      <c r="F28" s="247">
        <v>5</v>
      </c>
      <c r="G28" s="247" t="str">
        <f t="shared" si="3"/>
        <v>C</v>
      </c>
      <c r="H28" s="247">
        <f t="shared" si="4"/>
        <v>46</v>
      </c>
      <c r="I28" s="247">
        <f t="shared" si="5"/>
        <v>3</v>
      </c>
      <c r="J28" s="247"/>
    </row>
    <row r="29" spans="1:10">
      <c r="A29" s="251" t="str">
        <f>'DATA ENTRY - REQUEST'!A29</f>
        <v>2025-004</v>
      </c>
      <c r="B29" s="52">
        <f>'DATA ENTRY - REQUEST'!B29</f>
        <v>1</v>
      </c>
      <c r="C29" s="250" t="str">
        <f>Table3[[#This Row],[RIS NO]] &amp; TEXT(Table3[[#This Row],[COUNT (Max10)]], "0;-0")</f>
        <v>2025-0041</v>
      </c>
      <c r="D29" s="245">
        <v>45721</v>
      </c>
      <c r="E29" s="252" t="str">
        <f t="shared" si="0"/>
        <v>Bond copy paper, A4 size,70gsm 500shts/rm</v>
      </c>
      <c r="F29" s="247">
        <v>20</v>
      </c>
      <c r="G29" s="247" t="str">
        <f t="shared" si="3"/>
        <v>Ream</v>
      </c>
      <c r="H29" s="247">
        <f t="shared" si="4"/>
        <v>2276</v>
      </c>
      <c r="I29" s="247">
        <f t="shared" si="5"/>
        <v>3</v>
      </c>
      <c r="J29" s="247"/>
    </row>
    <row r="30" spans="1:10">
      <c r="A30" s="251" t="str">
        <f>'DATA ENTRY - REQUEST'!A30</f>
        <v>2025-004</v>
      </c>
      <c r="B30" s="52">
        <f>'DATA ENTRY - REQUEST'!B30</f>
        <v>2</v>
      </c>
      <c r="C30" s="250" t="str">
        <f>Table3[[#This Row],[RIS NO]] &amp; TEXT(Table3[[#This Row],[COUNT (Max10)]], "0;-0")</f>
        <v>2025-0042</v>
      </c>
      <c r="D30" s="245">
        <v>45721</v>
      </c>
      <c r="E30" s="252" t="str">
        <f t="shared" si="0"/>
        <v>Bond prem,LEGAL SIZE, 216x330mm,70gsm 500shts/rm</v>
      </c>
      <c r="F30" s="247" t="s">
        <v>89</v>
      </c>
      <c r="G30" s="247" t="str">
        <f t="shared" si="3"/>
        <v>Ream</v>
      </c>
      <c r="H30" s="247">
        <f t="shared" si="4"/>
        <v>2067</v>
      </c>
      <c r="I30" s="247">
        <f t="shared" si="5"/>
        <v>3</v>
      </c>
      <c r="J30" s="247"/>
    </row>
    <row r="31" spans="1:10">
      <c r="A31" s="251" t="str">
        <f>'DATA ENTRY - REQUEST'!A31</f>
        <v>2025-004</v>
      </c>
      <c r="B31" s="52">
        <f>'DATA ENTRY - REQUEST'!B31</f>
        <v>3</v>
      </c>
      <c r="C31" s="250" t="str">
        <f>Table3[[#This Row],[RIS NO]] &amp; TEXT(Table3[[#This Row],[COUNT (Max10)]], "0;-0")</f>
        <v>2025-0043</v>
      </c>
      <c r="D31" s="245">
        <v>45721</v>
      </c>
      <c r="E31" s="252" t="str">
        <f t="shared" si="0"/>
        <v>MEMBER DATA CHANGE REQUEST PAGE 1&amp;2</v>
      </c>
      <c r="F31" s="247" t="s">
        <v>89</v>
      </c>
      <c r="G31" s="247" t="str">
        <f t="shared" si="3"/>
        <v>Ream</v>
      </c>
      <c r="H31" s="247">
        <f t="shared" si="4"/>
        <v>0</v>
      </c>
      <c r="I31" s="247">
        <f t="shared" si="5"/>
        <v>3</v>
      </c>
      <c r="J31" s="247"/>
    </row>
    <row r="32" spans="1:10">
      <c r="A32" s="251" t="str">
        <f>'DATA ENTRY - REQUEST'!A32</f>
        <v>2025-004</v>
      </c>
      <c r="B32" s="52">
        <f>'DATA ENTRY - REQUEST'!B32</f>
        <v>4</v>
      </c>
      <c r="C32" s="250" t="str">
        <f>Table3[[#This Row],[RIS NO]] &amp; TEXT(Table3[[#This Row],[COUNT (Max10)]], "0;-0")</f>
        <v>2025-0044</v>
      </c>
      <c r="D32" s="245">
        <v>45721</v>
      </c>
      <c r="E32" s="252" t="str">
        <f t="shared" si="0"/>
        <v xml:space="preserve">ACOP- SURVIVING LEGAL SPOUSE </v>
      </c>
      <c r="F32" s="247" t="s">
        <v>89</v>
      </c>
      <c r="G32" s="247" t="str">
        <f t="shared" si="3"/>
        <v>Ream</v>
      </c>
      <c r="H32" s="247">
        <f t="shared" si="4"/>
        <v>0</v>
      </c>
      <c r="I32" s="247">
        <f t="shared" si="5"/>
        <v>3</v>
      </c>
      <c r="J32" s="247"/>
    </row>
    <row r="33" spans="1:10">
      <c r="A33" s="251" t="str">
        <f>'DATA ENTRY - REQUEST'!A33</f>
        <v>2025-004</v>
      </c>
      <c r="B33" s="52">
        <f>'DATA ENTRY - REQUEST'!B33</f>
        <v>5</v>
      </c>
      <c r="C33" s="250" t="str">
        <f>Table3[[#This Row],[RIS NO]] &amp; TEXT(Table3[[#This Row],[COUNT (Max10)]], "0;-0")</f>
        <v>2025-0045</v>
      </c>
      <c r="D33" s="245">
        <v>45721</v>
      </c>
      <c r="E33" s="252" t="str">
        <f t="shared" si="0"/>
        <v>ACOP-  REPRESENTATIVE PAYEE OF DEPENDENT</v>
      </c>
      <c r="F33" s="247" t="s">
        <v>89</v>
      </c>
      <c r="G33" s="247" t="str">
        <f t="shared" si="3"/>
        <v>Ream</v>
      </c>
      <c r="H33" s="247">
        <f t="shared" si="4"/>
        <v>0</v>
      </c>
      <c r="I33" s="247">
        <f t="shared" si="5"/>
        <v>3</v>
      </c>
      <c r="J33" s="247"/>
    </row>
    <row r="34" spans="1:10">
      <c r="A34" s="251" t="str">
        <f>'DATA ENTRY - REQUEST'!A34</f>
        <v>2025-004</v>
      </c>
      <c r="B34" s="52">
        <f>'DATA ENTRY - REQUEST'!B34</f>
        <v>6</v>
      </c>
      <c r="C34" s="250" t="str">
        <f>Table3[[#This Row],[RIS NO]] &amp; TEXT(Table3[[#This Row],[COUNT (Max10)]], "0;-0")</f>
        <v>2025-0046</v>
      </c>
      <c r="D34" s="245">
        <v>45721</v>
      </c>
      <c r="E34" s="252" t="str">
        <f t="shared" si="0"/>
        <v>ACOP- RETIREMENT/DISABILITY</v>
      </c>
      <c r="F34" s="247" t="s">
        <v>89</v>
      </c>
      <c r="G34" s="247" t="str">
        <f t="shared" si="3"/>
        <v>Ream</v>
      </c>
      <c r="H34" s="247">
        <f t="shared" si="4"/>
        <v>0</v>
      </c>
      <c r="I34" s="247">
        <f t="shared" si="5"/>
        <v>3</v>
      </c>
      <c r="J34" s="247"/>
    </row>
    <row r="35" spans="1:10">
      <c r="A35" s="251" t="str">
        <f>'DATA ENTRY - REQUEST'!A35</f>
        <v>2025-004</v>
      </c>
      <c r="B35" s="52">
        <f>'DATA ENTRY - REQUEST'!B35</f>
        <v>7</v>
      </c>
      <c r="C35" s="250" t="str">
        <f>Table3[[#This Row],[RIS NO]] &amp; TEXT(Table3[[#This Row],[COUNT (Max10)]], "0;-0")</f>
        <v>2025-0047</v>
      </c>
      <c r="D35" s="245">
        <v>45721</v>
      </c>
      <c r="E35" s="252" t="str">
        <f t="shared" si="0"/>
        <v>Request/Verification Form new Code</v>
      </c>
      <c r="F35" s="247">
        <v>20</v>
      </c>
      <c r="G35" s="247" t="str">
        <f t="shared" si="3"/>
        <v>Piece</v>
      </c>
      <c r="H35" s="247">
        <f t="shared" si="4"/>
        <v>0</v>
      </c>
      <c r="I35" s="247">
        <f t="shared" si="5"/>
        <v>3</v>
      </c>
      <c r="J35" s="247"/>
    </row>
    <row r="36" spans="1:10">
      <c r="A36" s="251" t="str">
        <f>'DATA ENTRY - REQUEST'!A36</f>
        <v>2025-004</v>
      </c>
      <c r="B36" s="52">
        <f>'DATA ENTRY - REQUEST'!B36</f>
        <v>8</v>
      </c>
      <c r="C36" s="250" t="str">
        <f>Table3[[#This Row],[RIS NO]] &amp; TEXT(Table3[[#This Row],[COUNT (Max10)]], "0;-0")</f>
        <v>2025-0048</v>
      </c>
      <c r="D36" s="245">
        <v>45721</v>
      </c>
      <c r="E36" s="252" t="str">
        <f t="shared" si="0"/>
        <v>PAYMENT SLIP-CONTRIBUTION 1</v>
      </c>
      <c r="F36" s="247">
        <v>3</v>
      </c>
      <c r="G36" s="247" t="str">
        <f t="shared" ref="G36:G99" si="6">IFERROR(VLOOKUP(E36,SUPPLY2,3,0),"-")</f>
        <v>Ream</v>
      </c>
      <c r="H36" s="247">
        <f t="shared" ref="H36:H99" si="7">IFERROR(VLOOKUP(E36,SUPPLY2,4,0),"-")</f>
        <v>2521</v>
      </c>
      <c r="I36" s="247">
        <f t="shared" si="5"/>
        <v>3</v>
      </c>
      <c r="J36" s="247"/>
    </row>
    <row r="37" spans="1:10">
      <c r="A37" s="251" t="str">
        <f>'DATA ENTRY - REQUEST'!A37</f>
        <v>2025-004</v>
      </c>
      <c r="B37" s="52">
        <f>'DATA ENTRY - REQUEST'!B37</f>
        <v>9</v>
      </c>
      <c r="C37" s="250" t="str">
        <f>Table3[[#This Row],[RIS NO]] &amp; TEXT(Table3[[#This Row],[COUNT (Max10)]], "0;-0")</f>
        <v>2025-0049</v>
      </c>
      <c r="D37" s="245">
        <v>45730</v>
      </c>
      <c r="E37" s="252" t="str">
        <f t="shared" si="0"/>
        <v>PAYMENT SLIP-MEMBER LOAN</v>
      </c>
      <c r="F37" s="247">
        <v>3</v>
      </c>
      <c r="G37" s="247" t="str">
        <f t="shared" si="6"/>
        <v>Ream</v>
      </c>
      <c r="H37" s="247">
        <f t="shared" si="7"/>
        <v>2576</v>
      </c>
      <c r="I37" s="247">
        <f t="shared" ref="I37:I100" si="8">IFERROR(VLOOKUP(D37,YEAR2023,2,0),"-")</f>
        <v>3</v>
      </c>
      <c r="J37" s="247"/>
    </row>
    <row r="38" spans="1:10">
      <c r="A38" s="251" t="str">
        <f>'DATA ENTRY - REQUEST'!A38</f>
        <v>2025-004</v>
      </c>
      <c r="B38" s="52">
        <f>'DATA ENTRY - REQUEST'!B38</f>
        <v>10</v>
      </c>
      <c r="C38" s="250" t="str">
        <f>Table3[[#This Row],[RIS NO]] &amp; TEXT(Table3[[#This Row],[COUNT (Max10)]], "0;-0")</f>
        <v>2025-00410</v>
      </c>
      <c r="D38" s="245">
        <v>45730</v>
      </c>
      <c r="E38" s="252" t="str">
        <f t="shared" si="0"/>
        <v>Tape - transparent 1</v>
      </c>
      <c r="F38" s="247">
        <v>20</v>
      </c>
      <c r="G38" s="247" t="str">
        <f t="shared" si="6"/>
        <v>Roll</v>
      </c>
      <c r="H38" s="247">
        <f t="shared" si="7"/>
        <v>301</v>
      </c>
      <c r="I38" s="247">
        <f t="shared" si="8"/>
        <v>3</v>
      </c>
      <c r="J38" s="247"/>
    </row>
    <row r="39" spans="1:10">
      <c r="A39" s="251" t="str">
        <f>'DATA ENTRY - REQUEST'!A39</f>
        <v>2025-004</v>
      </c>
      <c r="B39" s="52">
        <f>'DATA ENTRY - REQUEST'!B39</f>
        <v>11</v>
      </c>
      <c r="C39" s="250" t="str">
        <f>Table3[[#This Row],[RIS NO]] &amp; TEXT(Table3[[#This Row],[COUNT (Max10)]], "0;-0")</f>
        <v>2025-00411</v>
      </c>
      <c r="D39" s="245">
        <v>45730</v>
      </c>
      <c r="E39" s="252" t="str">
        <f t="shared" si="0"/>
        <v>Correction tape</v>
      </c>
      <c r="F39" s="247">
        <v>2</v>
      </c>
      <c r="G39" s="247" t="str">
        <f t="shared" si="6"/>
        <v>Piece</v>
      </c>
      <c r="H39" s="247">
        <f t="shared" si="7"/>
        <v>1960</v>
      </c>
      <c r="I39" s="247">
        <f t="shared" si="8"/>
        <v>3</v>
      </c>
      <c r="J39" s="247"/>
    </row>
    <row r="40" spans="1:10">
      <c r="A40" s="251" t="str">
        <f>'DATA ENTRY - REQUEST'!A40</f>
        <v>2025-004</v>
      </c>
      <c r="B40" s="52">
        <f>'DATA ENTRY - REQUEST'!B40</f>
        <v>12</v>
      </c>
      <c r="C40" s="250" t="str">
        <f>Table3[[#This Row],[RIS NO]] &amp; TEXT(Table3[[#This Row],[COUNT (Max10)]], "0;-0")</f>
        <v>2025-00412</v>
      </c>
      <c r="D40" s="245">
        <v>45730</v>
      </c>
      <c r="E40" s="252" t="str">
        <f t="shared" si="0"/>
        <v>Envelope - document, 10 x 15</v>
      </c>
      <c r="F40" s="247">
        <v>2</v>
      </c>
      <c r="G40" s="247" t="str">
        <f t="shared" si="6"/>
        <v>C</v>
      </c>
      <c r="H40" s="247">
        <f t="shared" si="7"/>
        <v>46</v>
      </c>
      <c r="I40" s="247">
        <f t="shared" si="8"/>
        <v>3</v>
      </c>
      <c r="J40" s="247"/>
    </row>
    <row r="41" spans="1:10">
      <c r="A41" s="251" t="str">
        <f>'DATA ENTRY - REQUEST'!A41</f>
        <v>2025-004</v>
      </c>
      <c r="B41" s="52">
        <f>'DATA ENTRY - REQUEST'!B41</f>
        <v>13</v>
      </c>
      <c r="C41" s="250" t="str">
        <f>Table3[[#This Row],[RIS NO]] &amp; TEXT(Table3[[#This Row],[COUNT (Max10)]], "0;-0")</f>
        <v>2025-00413</v>
      </c>
      <c r="D41" s="245">
        <v>45730</v>
      </c>
      <c r="E41" s="252" t="str">
        <f t="shared" si="0"/>
        <v>Folder - legal size, 36mm thick (14pts)</v>
      </c>
      <c r="F41" s="247">
        <v>3</v>
      </c>
      <c r="G41" s="247" t="str">
        <f t="shared" si="6"/>
        <v>C</v>
      </c>
      <c r="H41" s="247">
        <f t="shared" si="7"/>
        <v>330</v>
      </c>
      <c r="I41" s="247">
        <f t="shared" si="8"/>
        <v>3</v>
      </c>
      <c r="J41" s="247"/>
    </row>
    <row r="42" spans="1:10">
      <c r="A42" s="251" t="str">
        <f>'DATA ENTRY - REQUEST'!A42</f>
        <v>2025-004</v>
      </c>
      <c r="B42" s="52">
        <f>'DATA ENTRY - REQUEST'!B42</f>
        <v>14</v>
      </c>
      <c r="C42" s="250" t="str">
        <f>Table3[[#This Row],[RIS NO]] &amp; TEXT(Table3[[#This Row],[COUNT (Max10)]], "0;-0")</f>
        <v>2025-00414</v>
      </c>
      <c r="D42" s="245">
        <v>45730</v>
      </c>
      <c r="E42" s="252" t="str">
        <f t="shared" si="0"/>
        <v>Paper – tissue</v>
      </c>
      <c r="F42" s="247">
        <v>20</v>
      </c>
      <c r="G42" s="247" t="str">
        <f t="shared" si="6"/>
        <v>Roll</v>
      </c>
      <c r="H42" s="247">
        <f t="shared" si="7"/>
        <v>281</v>
      </c>
      <c r="I42" s="247">
        <f t="shared" si="8"/>
        <v>3</v>
      </c>
      <c r="J42" s="247"/>
    </row>
    <row r="43" spans="1:10">
      <c r="A43" s="251" t="str">
        <f>'DATA ENTRY - REQUEST'!A43</f>
        <v>2025-004</v>
      </c>
      <c r="B43" s="52">
        <f>'DATA ENTRY - REQUEST'!B43</f>
        <v>15</v>
      </c>
      <c r="C43" s="250" t="str">
        <f>Table3[[#This Row],[RIS NO]] &amp; TEXT(Table3[[#This Row],[COUNT (Max10)]], "0;-0")</f>
        <v>2025-00415</v>
      </c>
      <c r="D43" s="245">
        <v>45730</v>
      </c>
      <c r="E43" s="252" t="str">
        <f t="shared" si="0"/>
        <v>Rubber band - multicolor, 450 grams</v>
      </c>
      <c r="F43" s="247">
        <v>0</v>
      </c>
      <c r="G43" s="247" t="str">
        <f t="shared" si="6"/>
        <v>Box</v>
      </c>
      <c r="H43" s="247">
        <f t="shared" si="7"/>
        <v>307</v>
      </c>
      <c r="I43" s="247">
        <f t="shared" si="8"/>
        <v>3</v>
      </c>
      <c r="J43" s="247"/>
    </row>
    <row r="44" spans="1:10">
      <c r="A44" s="251" t="str">
        <f>'DATA ENTRY - REQUEST'!A44</f>
        <v>2025-004</v>
      </c>
      <c r="B44" s="52">
        <f>'DATA ENTRY - REQUEST'!B44</f>
        <v>16</v>
      </c>
      <c r="C44" s="250" t="str">
        <f>Table3[[#This Row],[RIS NO]] &amp; TEXT(Table3[[#This Row],[COUNT (Max10)]], "0;-0")</f>
        <v>2025-00416</v>
      </c>
      <c r="D44" s="245">
        <v>45730</v>
      </c>
      <c r="E44" s="252" t="str">
        <f t="shared" si="0"/>
        <v>Rubber band - transparent 445 grams</v>
      </c>
      <c r="F44" s="247">
        <v>0</v>
      </c>
      <c r="G44" s="247" t="str">
        <f t="shared" si="6"/>
        <v>Bag</v>
      </c>
      <c r="H44" s="247">
        <f t="shared" si="7"/>
        <v>308</v>
      </c>
      <c r="I44" s="247">
        <f t="shared" si="8"/>
        <v>3</v>
      </c>
      <c r="J44" s="247"/>
    </row>
    <row r="45" spans="1:10">
      <c r="A45" s="251" t="str">
        <f>'DATA ENTRY - REQUEST'!A45</f>
        <v>2025-004</v>
      </c>
      <c r="B45" s="52">
        <f>'DATA ENTRY - REQUEST'!B45</f>
        <v>17</v>
      </c>
      <c r="C45" s="250" t="str">
        <f>Table3[[#This Row],[RIS NO]] &amp; TEXT(Table3[[#This Row],[COUNT (Max10)]], "0;-0")</f>
        <v>2025-00417</v>
      </c>
      <c r="D45" s="245">
        <v>45730</v>
      </c>
      <c r="E45" s="252" t="str">
        <f t="shared" si="0"/>
        <v>Staple wire, 5000 pcs</v>
      </c>
      <c r="F45" s="247">
        <v>3</v>
      </c>
      <c r="G45" s="247" t="str">
        <f t="shared" si="6"/>
        <v>Box</v>
      </c>
      <c r="H45" s="247">
        <f t="shared" si="7"/>
        <v>310</v>
      </c>
      <c r="I45" s="247">
        <f t="shared" si="8"/>
        <v>3</v>
      </c>
      <c r="J45" s="247"/>
    </row>
    <row r="46" spans="1:10">
      <c r="A46" s="251" t="str">
        <f>'DATA ENTRY - REQUEST'!A46</f>
        <v>2025-004</v>
      </c>
      <c r="B46" s="52">
        <f>'DATA ENTRY - REQUEST'!B46</f>
        <v>18</v>
      </c>
      <c r="C46" s="250" t="str">
        <f>Table3[[#This Row],[RIS NO]] &amp; TEXT(Table3[[#This Row],[COUNT (Max10)]], "0;-0")</f>
        <v>2025-00418</v>
      </c>
      <c r="D46" s="245">
        <v>45730</v>
      </c>
      <c r="E46" s="252" t="str">
        <f t="shared" si="0"/>
        <v>Paste - solid w/ waterwell and applicator</v>
      </c>
      <c r="F46" s="247">
        <v>20</v>
      </c>
      <c r="G46" s="247" t="str">
        <f t="shared" si="6"/>
        <v>Piece</v>
      </c>
      <c r="H46" s="247">
        <f t="shared" si="7"/>
        <v>336</v>
      </c>
      <c r="I46" s="247">
        <f t="shared" si="8"/>
        <v>3</v>
      </c>
      <c r="J46" s="247"/>
    </row>
    <row r="47" spans="1:10">
      <c r="A47" s="251" t="str">
        <f>'DATA ENTRY - REQUEST'!A47</f>
        <v>2025-004</v>
      </c>
      <c r="B47" s="52">
        <f>'DATA ENTRY - REQUEST'!B47</f>
        <v>19</v>
      </c>
      <c r="C47" s="250" t="str">
        <f>Table3[[#This Row],[RIS NO]] &amp; TEXT(Table3[[#This Row],[COUNT (Max10)]], "0;-0")</f>
        <v>2025-00419</v>
      </c>
      <c r="D47" s="245">
        <v>45730</v>
      </c>
      <c r="E47" s="252" t="str">
        <f t="shared" si="0"/>
        <v>Tape - masking 1</v>
      </c>
      <c r="F47" s="247">
        <v>5</v>
      </c>
      <c r="G47" s="247" t="str">
        <f t="shared" si="6"/>
        <v>Roll</v>
      </c>
      <c r="H47" s="247">
        <f t="shared" si="7"/>
        <v>300</v>
      </c>
      <c r="I47" s="247">
        <f t="shared" si="8"/>
        <v>3</v>
      </c>
      <c r="J47" s="247"/>
    </row>
    <row r="48" spans="1:10">
      <c r="A48" s="251" t="str">
        <f>'DATA ENTRY - REQUEST'!A48</f>
        <v>2025-004</v>
      </c>
      <c r="B48" s="52">
        <f>'DATA ENTRY - REQUEST'!B48</f>
        <v>20</v>
      </c>
      <c r="C48" s="250" t="str">
        <f>Table3[[#This Row],[RIS NO]] &amp; TEXT(Table3[[#This Row],[COUNT (Max10)]], "0;-0")</f>
        <v>2025-00420</v>
      </c>
      <c r="D48" s="245">
        <v>45730</v>
      </c>
      <c r="E48" s="252" t="str">
        <f t="shared" si="0"/>
        <v>Alcohol, ethyl, 68%-72%</v>
      </c>
      <c r="F48" s="247">
        <v>5</v>
      </c>
      <c r="G48" s="247" t="str">
        <f t="shared" si="6"/>
        <v>Gallon</v>
      </c>
      <c r="H48" s="247">
        <f t="shared" si="7"/>
        <v>2617</v>
      </c>
      <c r="I48" s="247">
        <f t="shared" si="8"/>
        <v>3</v>
      </c>
      <c r="J48" s="247"/>
    </row>
    <row r="49" spans="1:10">
      <c r="A49" s="251" t="str">
        <f>'DATA ENTRY - REQUEST'!A49</f>
        <v>2025-004</v>
      </c>
      <c r="B49" s="52">
        <f>'DATA ENTRY - REQUEST'!B49</f>
        <v>21</v>
      </c>
      <c r="C49" s="250" t="str">
        <f>Table3[[#This Row],[RIS NO]] &amp; TEXT(Table3[[#This Row],[COUNT (Max10)]], "0;-0")</f>
        <v>2025-00421</v>
      </c>
      <c r="D49" s="245">
        <v>45730</v>
      </c>
      <c r="E49" s="252" t="str">
        <f t="shared" si="0"/>
        <v>Packaging tape 2”</v>
      </c>
      <c r="F49" s="247" t="s">
        <v>89</v>
      </c>
      <c r="G49" s="247" t="str">
        <f t="shared" si="6"/>
        <v>Roll</v>
      </c>
      <c r="H49" s="247">
        <f t="shared" si="7"/>
        <v>2537</v>
      </c>
      <c r="I49" s="247">
        <f t="shared" si="8"/>
        <v>3</v>
      </c>
      <c r="J49" s="247"/>
    </row>
    <row r="50" spans="1:10">
      <c r="A50" s="251" t="str">
        <f>'DATA ENTRY - REQUEST'!A50</f>
        <v>2025-004</v>
      </c>
      <c r="B50" s="52">
        <f>'DATA ENTRY - REQUEST'!B50</f>
        <v>22</v>
      </c>
      <c r="C50" s="250" t="str">
        <f>Table3[[#This Row],[RIS NO]] &amp; TEXT(Table3[[#This Row],[COUNT (Max10)]], "0;-0")</f>
        <v>2025-00422</v>
      </c>
      <c r="D50" s="245">
        <v>45737</v>
      </c>
      <c r="E50" s="252" t="str">
        <f t="shared" si="0"/>
        <v>Marking pen</v>
      </c>
      <c r="F50" s="247">
        <v>20</v>
      </c>
      <c r="G50" s="247" t="str">
        <f t="shared" si="6"/>
        <v>Piece</v>
      </c>
      <c r="H50" s="247">
        <f t="shared" si="7"/>
        <v>338</v>
      </c>
      <c r="I50" s="247">
        <f t="shared" si="8"/>
        <v>3</v>
      </c>
      <c r="J50" s="247"/>
    </row>
    <row r="51" spans="1:10">
      <c r="A51" s="251" t="str">
        <f>'DATA ENTRY - REQUEST'!A51</f>
        <v>2025-004</v>
      </c>
      <c r="B51" s="52">
        <f>'DATA ENTRY - REQUEST'!B51</f>
        <v>23</v>
      </c>
      <c r="C51" s="250" t="str">
        <f>Table3[[#This Row],[RIS NO]] &amp; TEXT(Table3[[#This Row],[COUNT (Max10)]], "0;-0")</f>
        <v>2025-00423</v>
      </c>
      <c r="D51" s="245">
        <v>45737</v>
      </c>
      <c r="E51" s="252" t="str">
        <f t="shared" si="0"/>
        <v>Bond prem,LEGAL SIZE, 216x330mm,70gsm 500shts/rm</v>
      </c>
      <c r="F51" s="247">
        <v>20</v>
      </c>
      <c r="G51" s="247" t="str">
        <f t="shared" si="6"/>
        <v>Ream</v>
      </c>
      <c r="H51" s="247">
        <f t="shared" si="7"/>
        <v>2067</v>
      </c>
      <c r="I51" s="247">
        <f t="shared" si="8"/>
        <v>3</v>
      </c>
      <c r="J51" s="247"/>
    </row>
    <row r="52" spans="1:10">
      <c r="A52" s="251" t="str">
        <f>'DATA ENTRY - REQUEST'!A52</f>
        <v>2025-004</v>
      </c>
      <c r="B52" s="52">
        <f>'DATA ENTRY - REQUEST'!B52</f>
        <v>24</v>
      </c>
      <c r="C52" s="250" t="str">
        <f>Table3[[#This Row],[RIS NO]] &amp; TEXT(Table3[[#This Row],[COUNT (Max10)]], "0;-0")</f>
        <v>2025-00424</v>
      </c>
      <c r="D52" s="245">
        <v>45737</v>
      </c>
      <c r="E52" s="252" t="str">
        <f t="shared" si="0"/>
        <v>MEMBER DATA CHANGE REQUEST PAGE 1&amp;2</v>
      </c>
      <c r="F52" s="247" t="s">
        <v>89</v>
      </c>
      <c r="G52" s="247" t="str">
        <f t="shared" si="6"/>
        <v>Ream</v>
      </c>
      <c r="H52" s="247">
        <f t="shared" si="7"/>
        <v>0</v>
      </c>
      <c r="I52" s="247">
        <f t="shared" si="8"/>
        <v>3</v>
      </c>
      <c r="J52" s="247"/>
    </row>
    <row r="53" spans="1:10">
      <c r="A53" s="251" t="str">
        <f>'DATA ENTRY - REQUEST'!A53</f>
        <v>2025-005</v>
      </c>
      <c r="B53" s="52">
        <f>'DATA ENTRY - REQUEST'!B53</f>
        <v>1</v>
      </c>
      <c r="C53" s="250" t="str">
        <f>Table3[[#This Row],[RIS NO]] &amp; TEXT(Table3[[#This Row],[COUNT (Max10)]], "0;-0")</f>
        <v>2025-0051</v>
      </c>
      <c r="D53" s="245">
        <v>45737</v>
      </c>
      <c r="E53" s="252" t="str">
        <f t="shared" si="0"/>
        <v>Bond prem,LEGAL SIZE, 216x330mm,70gsm 500shts/rm</v>
      </c>
      <c r="F53" s="247" t="s">
        <v>89</v>
      </c>
      <c r="G53" s="247" t="str">
        <f t="shared" si="6"/>
        <v>Ream</v>
      </c>
      <c r="H53" s="247">
        <f t="shared" si="7"/>
        <v>2067</v>
      </c>
      <c r="I53" s="247">
        <f t="shared" si="8"/>
        <v>3</v>
      </c>
      <c r="J53" s="247"/>
    </row>
    <row r="54" spans="1:10">
      <c r="A54" s="251" t="str">
        <f>'DATA ENTRY - REQUEST'!A54</f>
        <v>2025-005</v>
      </c>
      <c r="B54" s="52">
        <f>'DATA ENTRY - REQUEST'!B54</f>
        <v>2</v>
      </c>
      <c r="C54" s="250" t="str">
        <f>Table3[[#This Row],[RIS NO]] &amp; TEXT(Table3[[#This Row],[COUNT (Max10)]], "0;-0")</f>
        <v>2025-0052</v>
      </c>
      <c r="D54" s="245">
        <v>45737</v>
      </c>
      <c r="E54" s="252" t="str">
        <f t="shared" si="0"/>
        <v>Bond copy paper, A4 size,70gsm 500shts/rm</v>
      </c>
      <c r="F54" s="247">
        <v>3</v>
      </c>
      <c r="G54" s="247" t="str">
        <f t="shared" si="6"/>
        <v>Ream</v>
      </c>
      <c r="H54" s="247">
        <f t="shared" si="7"/>
        <v>2276</v>
      </c>
      <c r="I54" s="247">
        <f t="shared" si="8"/>
        <v>3</v>
      </c>
      <c r="J54" s="247"/>
    </row>
    <row r="55" spans="1:10">
      <c r="A55" s="251" t="str">
        <f>'DATA ENTRY - REQUEST'!A55</f>
        <v>2025-005</v>
      </c>
      <c r="B55" s="52">
        <f>'DATA ENTRY - REQUEST'!B55</f>
        <v>3</v>
      </c>
      <c r="C55" s="250" t="str">
        <f>Table3[[#This Row],[RIS NO]] &amp; TEXT(Table3[[#This Row],[COUNT (Max10)]], "0;-0")</f>
        <v>2025-0053</v>
      </c>
      <c r="D55" s="245">
        <v>45737</v>
      </c>
      <c r="E55" s="252" t="str">
        <f t="shared" si="0"/>
        <v>Alcohol, ethyl, 68%-72%</v>
      </c>
      <c r="F55" s="247" t="s">
        <v>89</v>
      </c>
      <c r="G55" s="247" t="str">
        <f t="shared" si="6"/>
        <v>Gallon</v>
      </c>
      <c r="H55" s="247">
        <f t="shared" si="7"/>
        <v>2617</v>
      </c>
      <c r="I55" s="247">
        <f t="shared" si="8"/>
        <v>3</v>
      </c>
      <c r="J55" s="247"/>
    </row>
    <row r="56" spans="1:10">
      <c r="A56" s="251" t="str">
        <f>'DATA ENTRY - REQUEST'!A56</f>
        <v>2025-005</v>
      </c>
      <c r="B56" s="52">
        <f>'DATA ENTRY - REQUEST'!B56</f>
        <v>4</v>
      </c>
      <c r="C56" s="250" t="str">
        <f>Table3[[#This Row],[RIS NO]] &amp; TEXT(Table3[[#This Row],[COUNT (Max10)]], "0;-0")</f>
        <v>2025-0054</v>
      </c>
      <c r="D56" s="245">
        <v>45737</v>
      </c>
      <c r="E56" s="252" t="str">
        <f t="shared" si="0"/>
        <v>Paper – tissue</v>
      </c>
      <c r="F56" s="247">
        <v>5</v>
      </c>
      <c r="G56" s="247" t="str">
        <f t="shared" si="6"/>
        <v>Roll</v>
      </c>
      <c r="H56" s="247">
        <f t="shared" si="7"/>
        <v>281</v>
      </c>
      <c r="I56" s="247">
        <f t="shared" si="8"/>
        <v>3</v>
      </c>
      <c r="J56" s="247"/>
    </row>
    <row r="57" spans="1:10">
      <c r="A57" s="251" t="str">
        <f>'DATA ENTRY - REQUEST'!A57</f>
        <v>2025-005</v>
      </c>
      <c r="B57" s="52">
        <f>'DATA ENTRY - REQUEST'!B57</f>
        <v>5</v>
      </c>
      <c r="C57" s="250" t="str">
        <f>Table3[[#This Row],[RIS NO]] &amp; TEXT(Table3[[#This Row],[COUNT (Max10)]], "0;-0")</f>
        <v>2025-0055</v>
      </c>
      <c r="D57" s="245">
        <v>45737</v>
      </c>
      <c r="E57" s="252" t="str">
        <f t="shared" si="0"/>
        <v>Envelope - document, 10 x 15</v>
      </c>
      <c r="F57" s="247">
        <v>5</v>
      </c>
      <c r="G57" s="247" t="str">
        <f t="shared" si="6"/>
        <v>C</v>
      </c>
      <c r="H57" s="247">
        <f t="shared" si="7"/>
        <v>46</v>
      </c>
      <c r="I57" s="247">
        <f t="shared" si="8"/>
        <v>3</v>
      </c>
      <c r="J57" s="247"/>
    </row>
    <row r="58" spans="1:10">
      <c r="A58" s="251" t="str">
        <f>'DATA ENTRY - REQUEST'!A58</f>
        <v>2025-005</v>
      </c>
      <c r="B58" s="52">
        <f>'DATA ENTRY - REQUEST'!B58</f>
        <v>6</v>
      </c>
      <c r="C58" s="250" t="str">
        <f>Table3[[#This Row],[RIS NO]] &amp; TEXT(Table3[[#This Row],[COUNT (Max10)]], "0;-0")</f>
        <v>2025-0056</v>
      </c>
      <c r="D58" s="245">
        <v>45737</v>
      </c>
      <c r="E58" s="252" t="str">
        <f t="shared" si="0"/>
        <v>Tape - transparent 1</v>
      </c>
      <c r="F58" s="247" t="s">
        <v>89</v>
      </c>
      <c r="G58" s="247" t="str">
        <f t="shared" si="6"/>
        <v>Roll</v>
      </c>
      <c r="H58" s="247">
        <f t="shared" si="7"/>
        <v>301</v>
      </c>
      <c r="I58" s="247">
        <f t="shared" si="8"/>
        <v>3</v>
      </c>
      <c r="J58" s="247"/>
    </row>
    <row r="59" spans="1:10">
      <c r="A59" s="251" t="str">
        <f>'DATA ENTRY - REQUEST'!A59</f>
        <v>2025-005</v>
      </c>
      <c r="B59" s="52">
        <f>'DATA ENTRY - REQUEST'!B59</f>
        <v>7</v>
      </c>
      <c r="C59" s="250" t="str">
        <f>Table3[[#This Row],[RIS NO]] &amp; TEXT(Table3[[#This Row],[COUNT (Max10)]], "0;-0")</f>
        <v>2025-0057</v>
      </c>
      <c r="D59" s="245">
        <v>45737</v>
      </c>
      <c r="E59" s="252" t="str">
        <f t="shared" si="0"/>
        <v>MEMBER DATA CHANGE REQUEST PAGE 1&amp;2</v>
      </c>
      <c r="F59" s="247" t="s">
        <v>89</v>
      </c>
      <c r="G59" s="247" t="str">
        <f t="shared" si="6"/>
        <v>Ream</v>
      </c>
      <c r="H59" s="247">
        <f t="shared" si="7"/>
        <v>0</v>
      </c>
      <c r="I59" s="247">
        <f t="shared" si="8"/>
        <v>3</v>
      </c>
      <c r="J59" s="247"/>
    </row>
    <row r="60" spans="1:10">
      <c r="A60" s="251" t="str">
        <f>'DATA ENTRY - REQUEST'!A60</f>
        <v>2025-005</v>
      </c>
      <c r="B60" s="52">
        <f>'DATA ENTRY - REQUEST'!B60</f>
        <v>8</v>
      </c>
      <c r="C60" s="250" t="str">
        <f>Table3[[#This Row],[RIS NO]] &amp; TEXT(Table3[[#This Row],[COUNT (Max10)]], "0;-0")</f>
        <v>2025-0058</v>
      </c>
      <c r="D60" s="245">
        <v>45737</v>
      </c>
      <c r="E60" s="252" t="str">
        <f t="shared" si="0"/>
        <v xml:space="preserve">ACOP- SURVIVING LEGAL SPOUSE </v>
      </c>
      <c r="F60" s="247">
        <v>3</v>
      </c>
      <c r="G60" s="247" t="str">
        <f t="shared" si="6"/>
        <v>Ream</v>
      </c>
      <c r="H60" s="247">
        <f t="shared" si="7"/>
        <v>0</v>
      </c>
      <c r="I60" s="247">
        <f t="shared" si="8"/>
        <v>3</v>
      </c>
      <c r="J60" s="247"/>
    </row>
    <row r="61" spans="1:10">
      <c r="A61" s="251" t="str">
        <f>'DATA ENTRY - REQUEST'!A61</f>
        <v>2025-005</v>
      </c>
      <c r="B61" s="52">
        <f>'DATA ENTRY - REQUEST'!B61</f>
        <v>9</v>
      </c>
      <c r="C61" s="250" t="str">
        <f>Table3[[#This Row],[RIS NO]] &amp; TEXT(Table3[[#This Row],[COUNT (Max10)]], "0;-0")</f>
        <v>2025-0059</v>
      </c>
      <c r="D61" s="245">
        <v>45737</v>
      </c>
      <c r="E61" s="252" t="str">
        <f t="shared" si="0"/>
        <v>ACOP- RETIREMENT/DISABILITY</v>
      </c>
      <c r="F61" s="247">
        <v>3</v>
      </c>
      <c r="G61" s="247" t="str">
        <f t="shared" si="6"/>
        <v>Ream</v>
      </c>
      <c r="H61" s="247">
        <f t="shared" si="7"/>
        <v>0</v>
      </c>
      <c r="I61" s="247">
        <f t="shared" si="8"/>
        <v>3</v>
      </c>
      <c r="J61" s="247"/>
    </row>
    <row r="62" spans="1:10">
      <c r="A62" s="251" t="str">
        <f>'DATA ENTRY - REQUEST'!A62</f>
        <v>2025-005</v>
      </c>
      <c r="B62" s="52">
        <f>'DATA ENTRY - REQUEST'!B62</f>
        <v>10</v>
      </c>
      <c r="C62" s="250" t="str">
        <f>Table3[[#This Row],[RIS NO]] &amp; TEXT(Table3[[#This Row],[COUNT (Max10)]], "0;-0")</f>
        <v>2025-00510</v>
      </c>
      <c r="D62" s="245">
        <v>45737</v>
      </c>
      <c r="E62" s="252" t="str">
        <f t="shared" si="0"/>
        <v>Request/Verification Form new Code</v>
      </c>
      <c r="F62" s="247" t="s">
        <v>89</v>
      </c>
      <c r="G62" s="247" t="str">
        <f t="shared" si="6"/>
        <v>Piece</v>
      </c>
      <c r="H62" s="247">
        <f t="shared" si="7"/>
        <v>0</v>
      </c>
      <c r="I62" s="247">
        <f t="shared" si="8"/>
        <v>3</v>
      </c>
      <c r="J62" s="247"/>
    </row>
    <row r="63" spans="1:10">
      <c r="A63" s="251" t="str">
        <f>'DATA ENTRY - REQUEST'!A63</f>
        <v>2025-005</v>
      </c>
      <c r="B63" s="52">
        <f>'DATA ENTRY - REQUEST'!B63</f>
        <v>11</v>
      </c>
      <c r="C63" s="250" t="str">
        <f>Table3[[#This Row],[RIS NO]] &amp; TEXT(Table3[[#This Row],[COUNT (Max10)]], "0;-0")</f>
        <v>2025-00511</v>
      </c>
      <c r="D63" s="245">
        <v>45737</v>
      </c>
      <c r="E63" s="252" t="str">
        <f t="shared" si="0"/>
        <v>PAYMENT SLIP-CONTRIBUTION 1</v>
      </c>
      <c r="F63" s="247">
        <v>10</v>
      </c>
      <c r="G63" s="247" t="str">
        <f t="shared" si="6"/>
        <v>Ream</v>
      </c>
      <c r="H63" s="247">
        <f t="shared" si="7"/>
        <v>2521</v>
      </c>
      <c r="I63" s="247">
        <f t="shared" si="8"/>
        <v>3</v>
      </c>
      <c r="J63" s="247"/>
    </row>
    <row r="64" spans="1:10">
      <c r="A64" s="251" t="str">
        <f>'DATA ENTRY - REQUEST'!A64</f>
        <v>2025-005</v>
      </c>
      <c r="B64" s="52">
        <f>'DATA ENTRY - REQUEST'!B64</f>
        <v>12</v>
      </c>
      <c r="C64" s="250" t="str">
        <f>Table3[[#This Row],[RIS NO]] &amp; TEXT(Table3[[#This Row],[COUNT (Max10)]], "0;-0")</f>
        <v>2025-00512</v>
      </c>
      <c r="D64" s="245">
        <v>45737</v>
      </c>
      <c r="E64" s="252" t="str">
        <f t="shared" si="0"/>
        <v>PAYMENT SLIP-MEMBER LOAN</v>
      </c>
      <c r="F64" s="247" t="s">
        <v>89</v>
      </c>
      <c r="G64" s="247" t="str">
        <f t="shared" si="6"/>
        <v>Ream</v>
      </c>
      <c r="H64" s="247">
        <f t="shared" si="7"/>
        <v>2576</v>
      </c>
      <c r="I64" s="247">
        <f t="shared" si="8"/>
        <v>3</v>
      </c>
      <c r="J64" s="247"/>
    </row>
    <row r="65" spans="1:10">
      <c r="A65" s="251" t="str">
        <f>'DATA ENTRY - REQUEST'!A65</f>
        <v>2025-005</v>
      </c>
      <c r="B65" s="52">
        <f>'DATA ENTRY - REQUEST'!B65</f>
        <v>13</v>
      </c>
      <c r="C65" s="250" t="str">
        <f>Table3[[#This Row],[RIS NO]] &amp; TEXT(Table3[[#This Row],[COUNT (Max10)]], "0;-0")</f>
        <v>2025-00513</v>
      </c>
      <c r="D65" s="245">
        <v>45737</v>
      </c>
      <c r="E65" s="252" t="str">
        <f t="shared" si="0"/>
        <v>Folder - legal size, 36mm thick (14pts)</v>
      </c>
      <c r="F65" s="247" t="s">
        <v>89</v>
      </c>
      <c r="G65" s="247" t="str">
        <f t="shared" si="6"/>
        <v>C</v>
      </c>
      <c r="H65" s="247">
        <f t="shared" si="7"/>
        <v>330</v>
      </c>
      <c r="I65" s="247">
        <f t="shared" si="8"/>
        <v>3</v>
      </c>
      <c r="J65" s="247"/>
    </row>
    <row r="66" spans="1:10">
      <c r="A66" s="251" t="str">
        <f>'DATA ENTRY - REQUEST'!A66</f>
        <v>2025-006</v>
      </c>
      <c r="B66" s="52">
        <f>'DATA ENTRY - REQUEST'!B66</f>
        <v>1</v>
      </c>
      <c r="C66" s="250" t="str">
        <f>Table3[[#This Row],[RIS NO]] &amp; TEXT(Table3[[#This Row],[COUNT (Max10)]], "0;-0")</f>
        <v>2025-0061</v>
      </c>
      <c r="D66" s="245">
        <v>45737</v>
      </c>
      <c r="E66" s="252" t="str">
        <f t="shared" ref="E66:E129" si="9">VLOOKUP(C66,REQUEST1,3,0)</f>
        <v>Bond prem,LEGAL SIZE, 216x330mm,70gsm 500shts/rm</v>
      </c>
      <c r="F66" s="247" t="s">
        <v>89</v>
      </c>
      <c r="G66" s="247" t="str">
        <f t="shared" si="6"/>
        <v>Ream</v>
      </c>
      <c r="H66" s="247">
        <f t="shared" si="7"/>
        <v>2067</v>
      </c>
      <c r="I66" s="247">
        <f t="shared" si="8"/>
        <v>3</v>
      </c>
      <c r="J66" s="247"/>
    </row>
    <row r="67" spans="1:10">
      <c r="A67" s="251" t="str">
        <f>'DATA ENTRY - REQUEST'!A67</f>
        <v>2025-006</v>
      </c>
      <c r="B67" s="52">
        <f>'DATA ENTRY - REQUEST'!B67</f>
        <v>2</v>
      </c>
      <c r="C67" s="250" t="str">
        <f>Table3[[#This Row],[RIS NO]] &amp; TEXT(Table3[[#This Row],[COUNT (Max10)]], "0;-0")</f>
        <v>2025-0062</v>
      </c>
      <c r="D67" s="245">
        <v>45754</v>
      </c>
      <c r="E67" s="252" t="str">
        <f t="shared" si="9"/>
        <v>Bond copy paper, A4 size,70gsm 500shts/rm</v>
      </c>
      <c r="F67" s="247">
        <v>20</v>
      </c>
      <c r="G67" s="247" t="str">
        <f t="shared" si="6"/>
        <v>Ream</v>
      </c>
      <c r="H67" s="247">
        <f t="shared" si="7"/>
        <v>2276</v>
      </c>
      <c r="I67" s="247">
        <f t="shared" si="8"/>
        <v>4</v>
      </c>
      <c r="J67" s="247"/>
    </row>
    <row r="68" spans="1:10">
      <c r="A68" s="251" t="str">
        <f>'DATA ENTRY - REQUEST'!A68</f>
        <v>2025-006</v>
      </c>
      <c r="B68" s="52">
        <f>'DATA ENTRY - REQUEST'!B68</f>
        <v>3</v>
      </c>
      <c r="C68" s="250" t="str">
        <f>Table3[[#This Row],[RIS NO]] &amp; TEXT(Table3[[#This Row],[COUNT (Max10)]], "0;-0")</f>
        <v>2025-0063</v>
      </c>
      <c r="D68" s="245">
        <v>45754</v>
      </c>
      <c r="E68" s="252" t="str">
        <f t="shared" si="9"/>
        <v>Alcohol, ethyl, 68%-72%</v>
      </c>
      <c r="F68" s="247">
        <v>20</v>
      </c>
      <c r="G68" s="247" t="str">
        <f t="shared" si="6"/>
        <v>Gallon</v>
      </c>
      <c r="H68" s="247">
        <f t="shared" si="7"/>
        <v>2617</v>
      </c>
      <c r="I68" s="247">
        <f t="shared" si="8"/>
        <v>4</v>
      </c>
      <c r="J68" s="247"/>
    </row>
    <row r="69" spans="1:10">
      <c r="A69" s="251" t="str">
        <f>'DATA ENTRY - REQUEST'!A69</f>
        <v>2025-006</v>
      </c>
      <c r="B69" s="52">
        <f>'DATA ENTRY - REQUEST'!B69</f>
        <v>4</v>
      </c>
      <c r="C69" s="250" t="str">
        <f>Table3[[#This Row],[RIS NO]] &amp; TEXT(Table3[[#This Row],[COUNT (Max10)]], "0;-0")</f>
        <v>2025-0064</v>
      </c>
      <c r="D69" s="245">
        <v>45754</v>
      </c>
      <c r="E69" s="252" t="str">
        <f t="shared" si="9"/>
        <v>Envelope - document, 10 x 15</v>
      </c>
      <c r="F69" s="247" t="s">
        <v>89</v>
      </c>
      <c r="G69" s="247" t="str">
        <f t="shared" si="6"/>
        <v>C</v>
      </c>
      <c r="H69" s="247">
        <f t="shared" si="7"/>
        <v>46</v>
      </c>
      <c r="I69" s="247">
        <f t="shared" si="8"/>
        <v>4</v>
      </c>
      <c r="J69" s="247"/>
    </row>
    <row r="70" spans="1:10">
      <c r="A70" s="251" t="str">
        <f>'DATA ENTRY - REQUEST'!A70</f>
        <v>2025-006</v>
      </c>
      <c r="B70" s="52">
        <f>'DATA ENTRY - REQUEST'!B70</f>
        <v>5</v>
      </c>
      <c r="C70" s="250" t="str">
        <f>Table3[[#This Row],[RIS NO]] &amp; TEXT(Table3[[#This Row],[COUNT (Max10)]], "0;-0")</f>
        <v>2025-0065</v>
      </c>
      <c r="D70" s="245">
        <v>45754</v>
      </c>
      <c r="E70" s="252" t="str">
        <f t="shared" si="9"/>
        <v xml:space="preserve">ACOP- SURVIVING LEGAL SPOUSE </v>
      </c>
      <c r="F70" s="247" t="s">
        <v>89</v>
      </c>
      <c r="G70" s="247" t="str">
        <f t="shared" si="6"/>
        <v>Ream</v>
      </c>
      <c r="H70" s="247">
        <f t="shared" si="7"/>
        <v>0</v>
      </c>
      <c r="I70" s="247">
        <f t="shared" si="8"/>
        <v>4</v>
      </c>
      <c r="J70" s="247"/>
    </row>
    <row r="71" spans="1:10">
      <c r="A71" s="251" t="str">
        <f>'DATA ENTRY - REQUEST'!A71</f>
        <v>2025-006</v>
      </c>
      <c r="B71" s="52">
        <f>'DATA ENTRY - REQUEST'!B71</f>
        <v>6</v>
      </c>
      <c r="C71" s="250" t="str">
        <f>Table3[[#This Row],[RIS NO]] &amp; TEXT(Table3[[#This Row],[COUNT (Max10)]], "0;-0")</f>
        <v>2025-0066</v>
      </c>
      <c r="D71" s="245">
        <v>45754</v>
      </c>
      <c r="E71" s="252" t="str">
        <f t="shared" si="9"/>
        <v>ACOP- RETIREMENT/DISABILITY</v>
      </c>
      <c r="F71" s="247" t="s">
        <v>89</v>
      </c>
      <c r="G71" s="247" t="str">
        <f t="shared" si="6"/>
        <v>Ream</v>
      </c>
      <c r="H71" s="247">
        <f t="shared" si="7"/>
        <v>0</v>
      </c>
      <c r="I71" s="247">
        <f t="shared" si="8"/>
        <v>4</v>
      </c>
      <c r="J71" s="247"/>
    </row>
    <row r="72" spans="1:10">
      <c r="A72" s="251" t="str">
        <f>'DATA ENTRY - REQUEST'!A72</f>
        <v>2025-006</v>
      </c>
      <c r="B72" s="52">
        <f>'DATA ENTRY - REQUEST'!B72</f>
        <v>7</v>
      </c>
      <c r="C72" s="250" t="str">
        <f>Table3[[#This Row],[RIS NO]] &amp; TEXT(Table3[[#This Row],[COUNT (Max10)]], "0;-0")</f>
        <v>2025-0067</v>
      </c>
      <c r="D72" s="245">
        <v>45754</v>
      </c>
      <c r="E72" s="252" t="str">
        <f t="shared" si="9"/>
        <v>PAYMENT SLIP-CONTRIBUTION 1</v>
      </c>
      <c r="F72" s="247" t="s">
        <v>89</v>
      </c>
      <c r="G72" s="247" t="str">
        <f t="shared" si="6"/>
        <v>Ream</v>
      </c>
      <c r="H72" s="247">
        <f t="shared" si="7"/>
        <v>2521</v>
      </c>
      <c r="I72" s="247">
        <f t="shared" si="8"/>
        <v>4</v>
      </c>
      <c r="J72" s="247"/>
    </row>
    <row r="73" spans="1:10">
      <c r="A73" s="251" t="str">
        <f>'DATA ENTRY - REQUEST'!A73</f>
        <v>2025-006</v>
      </c>
      <c r="B73" s="52">
        <f>'DATA ENTRY - REQUEST'!B73</f>
        <v>8</v>
      </c>
      <c r="C73" s="250" t="str">
        <f>Table3[[#This Row],[RIS NO]] &amp; TEXT(Table3[[#This Row],[COUNT (Max10)]], "0;-0")</f>
        <v>2025-0068</v>
      </c>
      <c r="D73" s="245">
        <v>45754</v>
      </c>
      <c r="E73" s="252" t="str">
        <f t="shared" si="9"/>
        <v>PAYMENT SLIP-MEMBER LOAN</v>
      </c>
      <c r="F73" s="247" t="s">
        <v>89</v>
      </c>
      <c r="G73" s="247" t="str">
        <f t="shared" si="6"/>
        <v>Ream</v>
      </c>
      <c r="H73" s="247">
        <f t="shared" si="7"/>
        <v>2576</v>
      </c>
      <c r="I73" s="247">
        <f t="shared" si="8"/>
        <v>4</v>
      </c>
      <c r="J73" s="247"/>
    </row>
    <row r="74" spans="1:10">
      <c r="A74" s="251" t="str">
        <f>'DATA ENTRY - REQUEST'!A74</f>
        <v>2025-006</v>
      </c>
      <c r="B74" s="52">
        <f>'DATA ENTRY - REQUEST'!B74</f>
        <v>9</v>
      </c>
      <c r="C74" s="250" t="str">
        <f>Table3[[#This Row],[RIS NO]] &amp; TEXT(Table3[[#This Row],[COUNT (Max10)]], "0;-0")</f>
        <v>2025-0069</v>
      </c>
      <c r="D74" s="245">
        <v>45754</v>
      </c>
      <c r="E74" s="252" t="str">
        <f t="shared" si="9"/>
        <v>Folder - legal size, 36mm thick (14pts)</v>
      </c>
      <c r="F74" s="247" t="s">
        <v>89</v>
      </c>
      <c r="G74" s="247" t="str">
        <f t="shared" si="6"/>
        <v>C</v>
      </c>
      <c r="H74" s="247">
        <f t="shared" si="7"/>
        <v>330</v>
      </c>
      <c r="I74" s="247">
        <f t="shared" si="8"/>
        <v>4</v>
      </c>
      <c r="J74" s="247"/>
    </row>
    <row r="75" spans="1:10">
      <c r="A75" s="251" t="str">
        <f>'DATA ENTRY - REQUEST'!A75</f>
        <v>2025-006</v>
      </c>
      <c r="B75" s="52">
        <f>'DATA ENTRY - REQUEST'!B75</f>
        <v>10</v>
      </c>
      <c r="C75" s="250" t="str">
        <f>Table3[[#This Row],[RIS NO]] &amp; TEXT(Table3[[#This Row],[COUNT (Max10)]], "0;-0")</f>
        <v>2025-00610</v>
      </c>
      <c r="D75" s="245">
        <v>45754</v>
      </c>
      <c r="E75" s="252" t="str">
        <f t="shared" si="9"/>
        <v>Packaging tape 2”</v>
      </c>
      <c r="F75" s="247" t="s">
        <v>89</v>
      </c>
      <c r="G75" s="247" t="str">
        <f t="shared" si="6"/>
        <v>Roll</v>
      </c>
      <c r="H75" s="247">
        <f t="shared" si="7"/>
        <v>2537</v>
      </c>
      <c r="I75" s="247">
        <f t="shared" si="8"/>
        <v>4</v>
      </c>
      <c r="J75" s="247"/>
    </row>
    <row r="76" spans="1:10">
      <c r="A76" s="251" t="str">
        <f>'DATA ENTRY - REQUEST'!A76</f>
        <v>2025-006</v>
      </c>
      <c r="B76" s="52">
        <f>'DATA ENTRY - REQUEST'!B76</f>
        <v>11</v>
      </c>
      <c r="C76" s="250" t="str">
        <f>Table3[[#This Row],[RIS NO]] &amp; TEXT(Table3[[#This Row],[COUNT (Max10)]], "0;-0")</f>
        <v>2025-00611</v>
      </c>
      <c r="D76" s="245">
        <v>45754</v>
      </c>
      <c r="E76" s="252" t="str">
        <f t="shared" si="9"/>
        <v>MEMBER DATA CHANGE REQUEST PAGE 1&amp;2</v>
      </c>
      <c r="F76" s="247" t="s">
        <v>89</v>
      </c>
      <c r="G76" s="247" t="str">
        <f t="shared" si="6"/>
        <v>Ream</v>
      </c>
      <c r="H76" s="247">
        <f t="shared" si="7"/>
        <v>0</v>
      </c>
      <c r="I76" s="247">
        <f t="shared" si="8"/>
        <v>4</v>
      </c>
      <c r="J76" s="247"/>
    </row>
    <row r="77" spans="1:10">
      <c r="A77" s="251" t="str">
        <f>'DATA ENTRY - REQUEST'!A77</f>
        <v>2025-006</v>
      </c>
      <c r="B77" s="52">
        <f>'DATA ENTRY - REQUEST'!B77</f>
        <v>12</v>
      </c>
      <c r="C77" s="250" t="str">
        <f>Table3[[#This Row],[RIS NO]] &amp; TEXT(Table3[[#This Row],[COUNT (Max10)]], "0;-0")</f>
        <v>2025-00612</v>
      </c>
      <c r="D77" s="245">
        <v>45389</v>
      </c>
      <c r="E77" s="252" t="str">
        <f t="shared" si="9"/>
        <v>Request/Verification Form new Code</v>
      </c>
      <c r="F77" s="247">
        <v>2</v>
      </c>
      <c r="G77" s="247" t="str">
        <f t="shared" si="6"/>
        <v>Piece</v>
      </c>
      <c r="H77" s="247">
        <f t="shared" si="7"/>
        <v>0</v>
      </c>
      <c r="I77" s="247" t="str">
        <f t="shared" si="8"/>
        <v>-</v>
      </c>
      <c r="J77" s="247"/>
    </row>
    <row r="78" spans="1:10">
      <c r="A78" s="251" t="str">
        <f>'DATA ENTRY - REQUEST'!A78</f>
        <v>2025-006</v>
      </c>
      <c r="B78" s="52">
        <f>'DATA ENTRY - REQUEST'!B78</f>
        <v>13</v>
      </c>
      <c r="C78" s="250" t="str">
        <f>Table3[[#This Row],[RIS NO]] &amp; TEXT(Table3[[#This Row],[COUNT (Max10)]], "0;-0")</f>
        <v>2025-00613</v>
      </c>
      <c r="D78" s="245">
        <v>45754</v>
      </c>
      <c r="E78" s="252" t="str">
        <f t="shared" si="9"/>
        <v>Rubber band - multicolor, 450 grams</v>
      </c>
      <c r="F78" s="247" t="s">
        <v>89</v>
      </c>
      <c r="G78" s="247" t="str">
        <f t="shared" si="6"/>
        <v>Box</v>
      </c>
      <c r="H78" s="247">
        <f t="shared" si="7"/>
        <v>307</v>
      </c>
      <c r="I78" s="247">
        <f t="shared" si="8"/>
        <v>4</v>
      </c>
      <c r="J78" s="247"/>
    </row>
    <row r="79" spans="1:10">
      <c r="A79" s="251" t="str">
        <f>'DATA ENTRY - REQUEST'!A79</f>
        <v>2025-006</v>
      </c>
      <c r="B79" s="52">
        <f>'DATA ENTRY - REQUEST'!B79</f>
        <v>14</v>
      </c>
      <c r="C79" s="250" t="str">
        <f>Table3[[#This Row],[RIS NO]] &amp; TEXT(Table3[[#This Row],[COUNT (Max10)]], "0;-0")</f>
        <v>2025-00614</v>
      </c>
      <c r="D79" s="245">
        <v>45754</v>
      </c>
      <c r="E79" s="252" t="str">
        <f t="shared" si="9"/>
        <v>Tape - masking 1</v>
      </c>
      <c r="F79" s="247" t="s">
        <v>89</v>
      </c>
      <c r="G79" s="247" t="str">
        <f t="shared" si="6"/>
        <v>Roll</v>
      </c>
      <c r="H79" s="247">
        <f t="shared" si="7"/>
        <v>300</v>
      </c>
      <c r="I79" s="247">
        <f t="shared" si="8"/>
        <v>4</v>
      </c>
      <c r="J79" s="247"/>
    </row>
    <row r="80" spans="1:10">
      <c r="A80" s="251" t="str">
        <f>'DATA ENTRY - REQUEST'!A80</f>
        <v>2025-006</v>
      </c>
      <c r="B80" s="52">
        <f>'DATA ENTRY - REQUEST'!B80</f>
        <v>15</v>
      </c>
      <c r="C80" s="250" t="str">
        <f>Table3[[#This Row],[RIS NO]] &amp; TEXT(Table3[[#This Row],[COUNT (Max10)]], "0;-0")</f>
        <v>2025-00615</v>
      </c>
      <c r="D80" s="245">
        <v>45754</v>
      </c>
      <c r="E80" s="252" t="str">
        <f t="shared" si="9"/>
        <v>Pencil</v>
      </c>
      <c r="F80" s="247" t="s">
        <v>89</v>
      </c>
      <c r="G80" s="247" t="str">
        <f t="shared" si="6"/>
        <v>Piece</v>
      </c>
      <c r="H80" s="247">
        <f t="shared" si="7"/>
        <v>0</v>
      </c>
      <c r="I80" s="247">
        <f t="shared" si="8"/>
        <v>4</v>
      </c>
      <c r="J80" s="247"/>
    </row>
    <row r="81" spans="1:10">
      <c r="A81" s="251" t="str">
        <f>'DATA ENTRY - REQUEST'!A81</f>
        <v>2025-006</v>
      </c>
      <c r="B81" s="52">
        <f>'DATA ENTRY - REQUEST'!B81</f>
        <v>16</v>
      </c>
      <c r="C81" s="250" t="str">
        <f>Table3[[#This Row],[RIS NO]] &amp; TEXT(Table3[[#This Row],[COUNT (Max10)]], "0;-0")</f>
        <v>2025-00616</v>
      </c>
      <c r="D81" s="245">
        <v>45777</v>
      </c>
      <c r="E81" s="252" t="str">
        <f t="shared" si="9"/>
        <v>Paste - solid w/ waterwell and applicator</v>
      </c>
      <c r="F81" s="247">
        <v>20</v>
      </c>
      <c r="G81" s="247" t="str">
        <f t="shared" si="6"/>
        <v>Piece</v>
      </c>
      <c r="H81" s="247">
        <f t="shared" si="7"/>
        <v>336</v>
      </c>
      <c r="I81" s="247">
        <f t="shared" si="8"/>
        <v>4</v>
      </c>
      <c r="J81" s="247"/>
    </row>
    <row r="82" spans="1:10">
      <c r="A82" s="251" t="str">
        <f>'DATA ENTRY - REQUEST'!A82</f>
        <v>2025-006</v>
      </c>
      <c r="B82" s="52">
        <f>'DATA ENTRY - REQUEST'!B82</f>
        <v>17</v>
      </c>
      <c r="C82" s="250" t="str">
        <f>Table3[[#This Row],[RIS NO]] &amp; TEXT(Table3[[#This Row],[COUNT (Max10)]], "0;-0")</f>
        <v>2025-00617</v>
      </c>
      <c r="D82" s="245">
        <v>45777</v>
      </c>
      <c r="E82" s="252" t="str">
        <f t="shared" si="9"/>
        <v>Ballpoint pen</v>
      </c>
      <c r="F82" s="247">
        <v>20</v>
      </c>
      <c r="G82" s="247" t="str">
        <f t="shared" si="6"/>
        <v>Piece</v>
      </c>
      <c r="H82" s="247">
        <f t="shared" si="7"/>
        <v>337</v>
      </c>
      <c r="I82" s="247">
        <f t="shared" si="8"/>
        <v>4</v>
      </c>
      <c r="J82" s="247"/>
    </row>
    <row r="83" spans="1:10">
      <c r="A83" s="251" t="str">
        <f>'DATA ENTRY - REQUEST'!A83</f>
        <v>2025-007</v>
      </c>
      <c r="B83" s="52">
        <f>'DATA ENTRY - REQUEST'!B83</f>
        <v>1</v>
      </c>
      <c r="C83" s="250" t="str">
        <f>Table3[[#This Row],[RIS NO]] &amp; TEXT(Table3[[#This Row],[COUNT (Max10)]], "0;-0")</f>
        <v>2025-0071</v>
      </c>
      <c r="D83" s="245">
        <v>45777</v>
      </c>
      <c r="E83" s="252" t="str">
        <f t="shared" si="9"/>
        <v>Bond copy paper, A4 size,70gsm 500shts/rm</v>
      </c>
      <c r="F83" s="247">
        <v>2</v>
      </c>
      <c r="G83" s="247" t="str">
        <f t="shared" si="6"/>
        <v>Ream</v>
      </c>
      <c r="H83" s="247">
        <f t="shared" si="7"/>
        <v>2276</v>
      </c>
      <c r="I83" s="247">
        <f t="shared" si="8"/>
        <v>4</v>
      </c>
      <c r="J83" s="247"/>
    </row>
    <row r="84" spans="1:10">
      <c r="A84" s="251" t="str">
        <f>'DATA ENTRY - REQUEST'!A84</f>
        <v>2025-007</v>
      </c>
      <c r="B84" s="52">
        <f>'DATA ENTRY - REQUEST'!B84</f>
        <v>2</v>
      </c>
      <c r="C84" s="250" t="str">
        <f>Table3[[#This Row],[RIS NO]] &amp; TEXT(Table3[[#This Row],[COUNT (Max10)]], "0;-0")</f>
        <v>2025-0072</v>
      </c>
      <c r="D84" s="245">
        <v>45777</v>
      </c>
      <c r="E84" s="252" t="str">
        <f t="shared" si="9"/>
        <v>Bond prem,LEGAL SIZE, 216x330mm,70gsm 500shts/rm</v>
      </c>
      <c r="F84" s="247" t="s">
        <v>90</v>
      </c>
      <c r="G84" s="247" t="str">
        <f t="shared" si="6"/>
        <v>Ream</v>
      </c>
      <c r="H84" s="247">
        <f t="shared" si="7"/>
        <v>2067</v>
      </c>
      <c r="I84" s="247">
        <f t="shared" si="8"/>
        <v>4</v>
      </c>
      <c r="J84" s="247"/>
    </row>
    <row r="85" spans="1:10">
      <c r="A85" s="251" t="str">
        <f>'DATA ENTRY - REQUEST'!A85</f>
        <v>2025-007</v>
      </c>
      <c r="B85" s="52">
        <f>'DATA ENTRY - REQUEST'!B85</f>
        <v>3</v>
      </c>
      <c r="C85" s="250" t="str">
        <f>Table3[[#This Row],[RIS NO]] &amp; TEXT(Table3[[#This Row],[COUNT (Max10)]], "0;-0")</f>
        <v>2025-0073</v>
      </c>
      <c r="D85" s="245">
        <v>45777</v>
      </c>
      <c r="E85" s="252" t="str">
        <f t="shared" si="9"/>
        <v>MEMBER DATA CHANGE REQUEST PAGE 1&amp;2</v>
      </c>
      <c r="F85" s="247" t="s">
        <v>89</v>
      </c>
      <c r="G85" s="247" t="str">
        <f t="shared" si="6"/>
        <v>Ream</v>
      </c>
      <c r="H85" s="247">
        <f t="shared" si="7"/>
        <v>0</v>
      </c>
      <c r="I85" s="247">
        <f t="shared" si="8"/>
        <v>4</v>
      </c>
      <c r="J85" s="247"/>
    </row>
    <row r="86" spans="1:10">
      <c r="A86" s="251" t="str">
        <f>'DATA ENTRY - REQUEST'!A86</f>
        <v>2025-007</v>
      </c>
      <c r="B86" s="52">
        <f>'DATA ENTRY - REQUEST'!B86</f>
        <v>4</v>
      </c>
      <c r="C86" s="250" t="str">
        <f>Table3[[#This Row],[RIS NO]] &amp; TEXT(Table3[[#This Row],[COUNT (Max10)]], "0;-0")</f>
        <v>2025-0074</v>
      </c>
      <c r="D86" s="245">
        <v>45777</v>
      </c>
      <c r="E86" s="252" t="str">
        <f t="shared" si="9"/>
        <v>Alcohol, ethyl, 68%-72%</v>
      </c>
      <c r="F86" s="247" t="s">
        <v>89</v>
      </c>
      <c r="G86" s="247" t="str">
        <f t="shared" si="6"/>
        <v>Gallon</v>
      </c>
      <c r="H86" s="247">
        <f t="shared" si="7"/>
        <v>2617</v>
      </c>
      <c r="I86" s="247">
        <f t="shared" si="8"/>
        <v>4</v>
      </c>
      <c r="J86" s="247"/>
    </row>
    <row r="87" spans="1:10">
      <c r="A87" s="251" t="str">
        <f>'DATA ENTRY - REQUEST'!A87</f>
        <v>2025-007</v>
      </c>
      <c r="B87" s="52">
        <f>'DATA ENTRY - REQUEST'!B87</f>
        <v>5</v>
      </c>
      <c r="C87" s="250" t="str">
        <f>Table3[[#This Row],[RIS NO]] &amp; TEXT(Table3[[#This Row],[COUNT (Max10)]], "0;-0")</f>
        <v>2025-0075</v>
      </c>
      <c r="D87" s="245">
        <v>45777</v>
      </c>
      <c r="E87" s="252" t="str">
        <f t="shared" si="9"/>
        <v>Ballpoint pen</v>
      </c>
      <c r="F87" s="247" t="s">
        <v>89</v>
      </c>
      <c r="G87" s="247" t="str">
        <f t="shared" si="6"/>
        <v>Piece</v>
      </c>
      <c r="H87" s="247">
        <f t="shared" si="7"/>
        <v>337</v>
      </c>
      <c r="I87" s="247">
        <f t="shared" si="8"/>
        <v>4</v>
      </c>
      <c r="J87" s="247"/>
    </row>
    <row r="88" spans="1:10">
      <c r="A88" s="251" t="str">
        <f>'DATA ENTRY - REQUEST'!A88</f>
        <v>2025-007</v>
      </c>
      <c r="B88" s="52">
        <f>'DATA ENTRY - REQUEST'!B88</f>
        <v>6</v>
      </c>
      <c r="C88" s="250" t="str">
        <f>Table3[[#This Row],[RIS NO]] &amp; TEXT(Table3[[#This Row],[COUNT (Max10)]], "0;-0")</f>
        <v>2025-0076</v>
      </c>
      <c r="D88" s="245">
        <v>45777</v>
      </c>
      <c r="E88" s="252" t="str">
        <f t="shared" si="9"/>
        <v>Folder - legal size, 36mm thick (14pts)</v>
      </c>
      <c r="F88" s="247" t="s">
        <v>89</v>
      </c>
      <c r="G88" s="247" t="str">
        <f t="shared" si="6"/>
        <v>C</v>
      </c>
      <c r="H88" s="247">
        <f t="shared" si="7"/>
        <v>330</v>
      </c>
      <c r="I88" s="247">
        <f t="shared" si="8"/>
        <v>4</v>
      </c>
      <c r="J88" s="247"/>
    </row>
    <row r="89" spans="1:10">
      <c r="A89" s="251" t="str">
        <f>'DATA ENTRY - REQUEST'!A89</f>
        <v>2025-007</v>
      </c>
      <c r="B89" s="52">
        <f>'DATA ENTRY - REQUEST'!B89</f>
        <v>7</v>
      </c>
      <c r="C89" s="250" t="str">
        <f>Table3[[#This Row],[RIS NO]] &amp; TEXT(Table3[[#This Row],[COUNT (Max10)]], "0;-0")</f>
        <v>2025-0077</v>
      </c>
      <c r="D89" s="245">
        <v>45777</v>
      </c>
      <c r="E89" s="252" t="str">
        <f t="shared" si="9"/>
        <v>Tape - transparent 1</v>
      </c>
      <c r="F89" s="247" t="s">
        <v>89</v>
      </c>
      <c r="G89" s="247" t="str">
        <f t="shared" si="6"/>
        <v>Roll</v>
      </c>
      <c r="H89" s="247">
        <f t="shared" si="7"/>
        <v>301</v>
      </c>
      <c r="I89" s="247">
        <f t="shared" si="8"/>
        <v>4</v>
      </c>
      <c r="J89" s="247"/>
    </row>
    <row r="90" spans="1:10">
      <c r="A90" s="251" t="str">
        <f>'DATA ENTRY - REQUEST'!A90</f>
        <v>2025-007</v>
      </c>
      <c r="B90" s="52">
        <f>'DATA ENTRY - REQUEST'!B90</f>
        <v>8</v>
      </c>
      <c r="C90" s="250" t="str">
        <f>Table3[[#This Row],[RIS NO]] &amp; TEXT(Table3[[#This Row],[COUNT (Max10)]], "0;-0")</f>
        <v>2025-0078</v>
      </c>
      <c r="D90" s="245">
        <v>45777</v>
      </c>
      <c r="E90" s="252" t="str">
        <f t="shared" si="9"/>
        <v>Packaging tape 2”</v>
      </c>
      <c r="F90" s="247" t="s">
        <v>89</v>
      </c>
      <c r="G90" s="247" t="str">
        <f t="shared" si="6"/>
        <v>Roll</v>
      </c>
      <c r="H90" s="247">
        <f t="shared" si="7"/>
        <v>2537</v>
      </c>
      <c r="I90" s="247">
        <f t="shared" si="8"/>
        <v>4</v>
      </c>
      <c r="J90" s="247"/>
    </row>
    <row r="91" spans="1:10">
      <c r="A91" s="251" t="str">
        <f>'DATA ENTRY - REQUEST'!A91</f>
        <v>2025-007</v>
      </c>
      <c r="B91" s="52">
        <f>'DATA ENTRY - REQUEST'!B91</f>
        <v>9</v>
      </c>
      <c r="C91" s="250" t="str">
        <f>Table3[[#This Row],[RIS NO]] &amp; TEXT(Table3[[#This Row],[COUNT (Max10)]], "0;-0")</f>
        <v>2025-0079</v>
      </c>
      <c r="D91" s="245">
        <v>45777</v>
      </c>
      <c r="E91" s="252" t="str">
        <f t="shared" si="9"/>
        <v>Pencil</v>
      </c>
      <c r="F91" s="247">
        <v>2</v>
      </c>
      <c r="G91" s="247" t="str">
        <f t="shared" si="6"/>
        <v>Piece</v>
      </c>
      <c r="H91" s="247">
        <f t="shared" si="7"/>
        <v>0</v>
      </c>
      <c r="I91" s="247">
        <f t="shared" si="8"/>
        <v>4</v>
      </c>
      <c r="J91" s="247"/>
    </row>
    <row r="92" spans="1:10">
      <c r="A92" s="251" t="str">
        <f>'DATA ENTRY - REQUEST'!A92</f>
        <v>2025-007</v>
      </c>
      <c r="B92" s="52">
        <f>'DATA ENTRY - REQUEST'!B92</f>
        <v>10</v>
      </c>
      <c r="C92" s="250" t="str">
        <f>Table3[[#This Row],[RIS NO]] &amp; TEXT(Table3[[#This Row],[COUNT (Max10)]], "0;-0")</f>
        <v>2025-00710</v>
      </c>
      <c r="D92" s="245">
        <v>45777</v>
      </c>
      <c r="E92" s="252" t="str">
        <f t="shared" si="9"/>
        <v>Paste - solid w/ waterwell and applicator</v>
      </c>
      <c r="F92" s="247" t="s">
        <v>89</v>
      </c>
      <c r="G92" s="247" t="str">
        <f t="shared" si="6"/>
        <v>Piece</v>
      </c>
      <c r="H92" s="247">
        <f t="shared" si="7"/>
        <v>336</v>
      </c>
      <c r="I92" s="247">
        <f t="shared" si="8"/>
        <v>4</v>
      </c>
      <c r="J92" s="247"/>
    </row>
    <row r="93" spans="1:10">
      <c r="A93" s="251" t="str">
        <f>'DATA ENTRY - REQUEST'!A93</f>
        <v>2025-007</v>
      </c>
      <c r="B93" s="52">
        <f>'DATA ENTRY - REQUEST'!B93</f>
        <v>11</v>
      </c>
      <c r="C93" s="250" t="str">
        <f>Table3[[#This Row],[RIS NO]] &amp; TEXT(Table3[[#This Row],[COUNT (Max10)]], "0;-0")</f>
        <v>2025-00711</v>
      </c>
      <c r="D93" s="245">
        <v>45777</v>
      </c>
      <c r="E93" s="252" t="str">
        <f t="shared" si="9"/>
        <v xml:space="preserve">ACOP- SURVIVING LEGAL SPOUSE </v>
      </c>
      <c r="F93" s="247" t="s">
        <v>89</v>
      </c>
      <c r="G93" s="247" t="str">
        <f t="shared" si="6"/>
        <v>Ream</v>
      </c>
      <c r="H93" s="247">
        <f t="shared" si="7"/>
        <v>0</v>
      </c>
      <c r="I93" s="247">
        <f t="shared" si="8"/>
        <v>4</v>
      </c>
      <c r="J93" s="247"/>
    </row>
    <row r="94" spans="1:10">
      <c r="A94" s="251" t="str">
        <f>'DATA ENTRY - REQUEST'!A94</f>
        <v>2025-007</v>
      </c>
      <c r="B94" s="52">
        <f>'DATA ENTRY - REQUEST'!B94</f>
        <v>12</v>
      </c>
      <c r="C94" s="250" t="str">
        <f>Table3[[#This Row],[RIS NO]] &amp; TEXT(Table3[[#This Row],[COUNT (Max10)]], "0;-0")</f>
        <v>2025-00712</v>
      </c>
      <c r="D94" s="245">
        <v>45777</v>
      </c>
      <c r="E94" s="252" t="str">
        <f t="shared" si="9"/>
        <v>Envelope - document, 10 x 15</v>
      </c>
      <c r="F94" s="247" t="s">
        <v>89</v>
      </c>
      <c r="G94" s="247" t="str">
        <f t="shared" si="6"/>
        <v>C</v>
      </c>
      <c r="H94" s="247">
        <f t="shared" si="7"/>
        <v>46</v>
      </c>
      <c r="I94" s="247">
        <f t="shared" si="8"/>
        <v>4</v>
      </c>
      <c r="J94" s="247"/>
    </row>
    <row r="95" spans="1:10">
      <c r="A95" s="251" t="str">
        <f>'DATA ENTRY - REQUEST'!A95</f>
        <v>2025-007</v>
      </c>
      <c r="B95" s="52">
        <f>'DATA ENTRY - REQUEST'!B95</f>
        <v>13</v>
      </c>
      <c r="C95" s="250" t="str">
        <f>Table3[[#This Row],[RIS NO]] &amp; TEXT(Table3[[#This Row],[COUNT (Max10)]], "0;-0")</f>
        <v>2025-00713</v>
      </c>
      <c r="D95" s="245">
        <v>45777</v>
      </c>
      <c r="E95" s="252" t="str">
        <f t="shared" si="9"/>
        <v>Binder clip 2”</v>
      </c>
      <c r="F95" s="247">
        <v>2</v>
      </c>
      <c r="G95" s="247" t="str">
        <f t="shared" si="6"/>
        <v>Box</v>
      </c>
      <c r="H95" s="247">
        <f t="shared" si="7"/>
        <v>2552</v>
      </c>
      <c r="I95" s="247">
        <f t="shared" si="8"/>
        <v>4</v>
      </c>
      <c r="J95" s="247"/>
    </row>
    <row r="96" spans="1:10">
      <c r="A96" s="251" t="str">
        <f>'DATA ENTRY - REQUEST'!A96</f>
        <v>2025-007</v>
      </c>
      <c r="B96" s="52">
        <f>'DATA ENTRY - REQUEST'!B96</f>
        <v>14</v>
      </c>
      <c r="C96" s="250" t="str">
        <f>Table3[[#This Row],[RIS NO]] &amp; TEXT(Table3[[#This Row],[COUNT (Max10)]], "0;-0")</f>
        <v>2025-00714</v>
      </c>
      <c r="D96" s="245">
        <v>45777</v>
      </c>
      <c r="E96" s="252" t="str">
        <f t="shared" si="9"/>
        <v>Binder clip 1”</v>
      </c>
      <c r="F96" s="247">
        <v>2</v>
      </c>
      <c r="G96" s="247" t="str">
        <f t="shared" si="6"/>
        <v>Box</v>
      </c>
      <c r="H96" s="247">
        <f t="shared" si="7"/>
        <v>2550</v>
      </c>
      <c r="I96" s="247">
        <f t="shared" si="8"/>
        <v>4</v>
      </c>
      <c r="J96" s="247"/>
    </row>
    <row r="97" spans="1:10">
      <c r="A97" s="251" t="str">
        <f>'DATA ENTRY - REQUEST'!A97</f>
        <v>2025-008</v>
      </c>
      <c r="B97" s="52">
        <f>'DATA ENTRY - REQUEST'!B97</f>
        <v>1</v>
      </c>
      <c r="C97" s="250" t="str">
        <f>Table3[[#This Row],[RIS NO]] &amp; TEXT(Table3[[#This Row],[COUNT (Max10)]], "0;-0")</f>
        <v>2025-0081</v>
      </c>
      <c r="D97" s="245">
        <v>45793</v>
      </c>
      <c r="E97" s="252" t="str">
        <f t="shared" si="9"/>
        <v>PROPERTY STICKER/TAG</v>
      </c>
      <c r="F97" s="247">
        <v>20</v>
      </c>
      <c r="G97" s="247" t="str">
        <f t="shared" si="6"/>
        <v>-</v>
      </c>
      <c r="H97" s="247" t="str">
        <f t="shared" si="7"/>
        <v>-</v>
      </c>
      <c r="I97" s="247">
        <f t="shared" si="8"/>
        <v>5</v>
      </c>
      <c r="J97" s="247"/>
    </row>
    <row r="98" spans="1:10">
      <c r="A98" s="251" t="str">
        <f>'DATA ENTRY - REQUEST'!A98</f>
        <v>2025-009</v>
      </c>
      <c r="B98" s="52">
        <f>'DATA ENTRY - REQUEST'!B98</f>
        <v>1</v>
      </c>
      <c r="C98" s="250" t="str">
        <f>Table3[[#This Row],[RIS NO]] &amp; TEXT(Table3[[#This Row],[COUNT (Max10)]], "0;-0")</f>
        <v>2025-0091</v>
      </c>
      <c r="D98" s="245">
        <v>45793</v>
      </c>
      <c r="E98" s="252" t="str">
        <f t="shared" si="9"/>
        <v>Bond copy paper, A4 size,70gsm 500shts/rm</v>
      </c>
      <c r="F98" s="247">
        <v>20</v>
      </c>
      <c r="G98" s="247" t="str">
        <f t="shared" si="6"/>
        <v>Ream</v>
      </c>
      <c r="H98" s="247">
        <f t="shared" si="7"/>
        <v>2276</v>
      </c>
      <c r="I98" s="247">
        <f t="shared" si="8"/>
        <v>5</v>
      </c>
      <c r="J98" s="247"/>
    </row>
    <row r="99" spans="1:10">
      <c r="A99" s="251" t="str">
        <f>'DATA ENTRY - REQUEST'!A99</f>
        <v>2025-009</v>
      </c>
      <c r="B99" s="52">
        <f>'DATA ENTRY - REQUEST'!B99</f>
        <v>2</v>
      </c>
      <c r="C99" s="250" t="str">
        <f>Table3[[#This Row],[RIS NO]] &amp; TEXT(Table3[[#This Row],[COUNT (Max10)]], "0;-0")</f>
        <v>2025-0092</v>
      </c>
      <c r="D99" s="245">
        <v>45793</v>
      </c>
      <c r="E99" s="252" t="str">
        <f t="shared" si="9"/>
        <v>Bond prem,LEGAL SIZE, 216x330mm,70gsm 500shts/rm</v>
      </c>
      <c r="F99" s="247">
        <v>2</v>
      </c>
      <c r="G99" s="247" t="str">
        <f t="shared" si="6"/>
        <v>Ream</v>
      </c>
      <c r="H99" s="247">
        <f t="shared" si="7"/>
        <v>2067</v>
      </c>
      <c r="I99" s="247">
        <f t="shared" si="8"/>
        <v>5</v>
      </c>
      <c r="J99" s="247"/>
    </row>
    <row r="100" spans="1:10">
      <c r="A100" s="251" t="str">
        <f>'DATA ENTRY - REQUEST'!A100</f>
        <v>2025-009</v>
      </c>
      <c r="B100" s="52">
        <f>'DATA ENTRY - REQUEST'!B100</f>
        <v>3</v>
      </c>
      <c r="C100" s="250" t="str">
        <f>Table3[[#This Row],[RIS NO]] &amp; TEXT(Table3[[#This Row],[COUNT (Max10)]], "0;-0")</f>
        <v>2025-0093</v>
      </c>
      <c r="D100" s="245">
        <v>45793</v>
      </c>
      <c r="E100" s="252" t="str">
        <f t="shared" si="9"/>
        <v>MEMBER DATA CHANGE REQUEST PAGE 1&amp;2</v>
      </c>
      <c r="F100" s="247" t="s">
        <v>89</v>
      </c>
      <c r="G100" s="247" t="str">
        <f t="shared" ref="G100:G105" si="10">IFERROR(VLOOKUP(E100,SUPPLY2,3,0),"-")</f>
        <v>Ream</v>
      </c>
      <c r="H100" s="247">
        <f t="shared" ref="H100:H114" si="11">IFERROR(VLOOKUP(E100,SUPPLY2,4,0),"-")</f>
        <v>0</v>
      </c>
      <c r="I100" s="247">
        <f t="shared" si="8"/>
        <v>5</v>
      </c>
      <c r="J100" s="247"/>
    </row>
    <row r="101" spans="1:10">
      <c r="A101" s="251" t="str">
        <f>'DATA ENTRY - REQUEST'!A101</f>
        <v>2025-009</v>
      </c>
      <c r="B101" s="52">
        <f>'DATA ENTRY - REQUEST'!B101</f>
        <v>4</v>
      </c>
      <c r="C101" s="250" t="str">
        <f>Table3[[#This Row],[RIS NO]] &amp; TEXT(Table3[[#This Row],[COUNT (Max10)]], "0;-0")</f>
        <v>2025-0094</v>
      </c>
      <c r="D101" s="245">
        <v>45793</v>
      </c>
      <c r="E101" s="252" t="str">
        <f t="shared" si="9"/>
        <v>Alcohol, ethyl, 68%-72%</v>
      </c>
      <c r="F101" s="247" t="s">
        <v>89</v>
      </c>
      <c r="G101" s="247" t="str">
        <f t="shared" si="10"/>
        <v>Gallon</v>
      </c>
      <c r="H101" s="247">
        <f t="shared" si="11"/>
        <v>2617</v>
      </c>
      <c r="I101" s="247">
        <f t="shared" ref="I101:I114" si="12">IFERROR(VLOOKUP(D101,YEAR2023,2,0),"-")</f>
        <v>5</v>
      </c>
      <c r="J101" s="247"/>
    </row>
    <row r="102" spans="1:10">
      <c r="A102" s="251" t="str">
        <f>'DATA ENTRY - REQUEST'!A102</f>
        <v>2025-009</v>
      </c>
      <c r="B102" s="52">
        <f>'DATA ENTRY - REQUEST'!B102</f>
        <v>5</v>
      </c>
      <c r="C102" s="250" t="str">
        <f>Table3[[#This Row],[RIS NO]] &amp; TEXT(Table3[[#This Row],[COUNT (Max10)]], "0;-0")</f>
        <v>2025-0095</v>
      </c>
      <c r="D102" s="245">
        <v>45793</v>
      </c>
      <c r="E102" s="252" t="str">
        <f t="shared" si="9"/>
        <v>Ballpoint pen</v>
      </c>
      <c r="F102" s="247" t="s">
        <v>89</v>
      </c>
      <c r="G102" s="247" t="str">
        <f t="shared" si="10"/>
        <v>Piece</v>
      </c>
      <c r="H102" s="247">
        <f t="shared" si="11"/>
        <v>337</v>
      </c>
      <c r="I102" s="247">
        <f t="shared" si="12"/>
        <v>5</v>
      </c>
      <c r="J102" s="247"/>
    </row>
    <row r="103" spans="1:10">
      <c r="A103" s="251" t="str">
        <f>'DATA ENTRY - REQUEST'!A103</f>
        <v>2025-009</v>
      </c>
      <c r="B103" s="52">
        <f>'DATA ENTRY - REQUEST'!B103</f>
        <v>6</v>
      </c>
      <c r="C103" s="250" t="str">
        <f>Table3[[#This Row],[RIS NO]] &amp; TEXT(Table3[[#This Row],[COUNT (Max10)]], "0;-0")</f>
        <v>2025-0096</v>
      </c>
      <c r="D103" s="245">
        <v>45793</v>
      </c>
      <c r="E103" s="252" t="str">
        <f t="shared" si="9"/>
        <v>Folder - legal size, 36mm thick (14pts)</v>
      </c>
      <c r="F103" s="247">
        <v>5</v>
      </c>
      <c r="G103" s="247" t="str">
        <f t="shared" si="10"/>
        <v>C</v>
      </c>
      <c r="H103" s="247">
        <f t="shared" si="11"/>
        <v>330</v>
      </c>
      <c r="I103" s="247">
        <f t="shared" si="12"/>
        <v>5</v>
      </c>
      <c r="J103" s="247"/>
    </row>
    <row r="104" spans="1:10">
      <c r="A104" s="251" t="str">
        <f>'DATA ENTRY - REQUEST'!A104</f>
        <v>2025-009</v>
      </c>
      <c r="B104" s="52">
        <f>'DATA ENTRY - REQUEST'!B104</f>
        <v>7</v>
      </c>
      <c r="C104" s="250" t="str">
        <f>Table3[[#This Row],[RIS NO]] &amp; TEXT(Table3[[#This Row],[COUNT (Max10)]], "0;-0")</f>
        <v>2025-0097</v>
      </c>
      <c r="D104" s="245">
        <v>45793</v>
      </c>
      <c r="E104" s="252" t="str">
        <f t="shared" si="9"/>
        <v>Tape - transparent 1</v>
      </c>
      <c r="F104" s="247">
        <v>3</v>
      </c>
      <c r="G104" s="247" t="str">
        <f t="shared" si="10"/>
        <v>Roll</v>
      </c>
      <c r="H104" s="247">
        <f t="shared" si="11"/>
        <v>301</v>
      </c>
      <c r="I104" s="247">
        <f t="shared" si="12"/>
        <v>5</v>
      </c>
      <c r="J104" s="247"/>
    </row>
    <row r="105" spans="1:10">
      <c r="A105" s="251" t="str">
        <f>'DATA ENTRY - REQUEST'!A105</f>
        <v>2025-009</v>
      </c>
      <c r="B105" s="52">
        <f>'DATA ENTRY - REQUEST'!B105</f>
        <v>8</v>
      </c>
      <c r="C105" s="250" t="str">
        <f>Table3[[#This Row],[RIS NO]] &amp; TEXT(Table3[[#This Row],[COUNT (Max10)]], "0;-0")</f>
        <v>2025-0098</v>
      </c>
      <c r="D105" s="245">
        <v>45793</v>
      </c>
      <c r="E105" s="252" t="str">
        <f t="shared" si="9"/>
        <v>Packaging tape 2”</v>
      </c>
      <c r="F105" s="247">
        <v>5</v>
      </c>
      <c r="G105" s="247" t="str">
        <f t="shared" si="10"/>
        <v>Roll</v>
      </c>
      <c r="H105" s="247">
        <f t="shared" si="11"/>
        <v>2537</v>
      </c>
      <c r="I105" s="247">
        <f t="shared" si="12"/>
        <v>5</v>
      </c>
      <c r="J105" s="247"/>
    </row>
    <row r="106" spans="1:10">
      <c r="A106" s="251" t="str">
        <f>'DATA ENTRY - REQUEST'!A106</f>
        <v>2025-009</v>
      </c>
      <c r="B106" s="52">
        <f>'DATA ENTRY - REQUEST'!B106</f>
        <v>9</v>
      </c>
      <c r="C106" s="250" t="str">
        <f>Table3[[#This Row],[RIS NO]] &amp; TEXT(Table3[[#This Row],[COUNT (Max10)]], "0;-0")</f>
        <v>2025-0099</v>
      </c>
      <c r="D106" s="245">
        <v>45793</v>
      </c>
      <c r="E106" s="252" t="str">
        <f t="shared" si="9"/>
        <v>Pencil</v>
      </c>
      <c r="F106" s="247" t="s">
        <v>89</v>
      </c>
      <c r="H106" s="247">
        <f t="shared" si="11"/>
        <v>0</v>
      </c>
      <c r="I106" s="247">
        <f t="shared" si="12"/>
        <v>5</v>
      </c>
      <c r="J106" s="247"/>
    </row>
    <row r="107" spans="1:10">
      <c r="A107" s="251" t="str">
        <f>'DATA ENTRY - REQUEST'!A107</f>
        <v>2025-009</v>
      </c>
      <c r="B107" s="52">
        <f>'DATA ENTRY - REQUEST'!B107</f>
        <v>10</v>
      </c>
      <c r="C107" s="250" t="str">
        <f>Table3[[#This Row],[RIS NO]] &amp; TEXT(Table3[[#This Row],[COUNT (Max10)]], "0;-0")</f>
        <v>2025-00910</v>
      </c>
      <c r="D107" s="245">
        <v>45793</v>
      </c>
      <c r="E107" s="252" t="str">
        <f t="shared" si="9"/>
        <v>Paste - solid w/ waterwell and applicator</v>
      </c>
      <c r="F107" s="247">
        <v>2</v>
      </c>
      <c r="G107" s="247" t="str">
        <f t="shared" ref="G107:G114" si="13">IFERROR(VLOOKUP(E107,SUPPLY2,3,0),"-")</f>
        <v>Piece</v>
      </c>
      <c r="H107" s="247">
        <f t="shared" si="11"/>
        <v>336</v>
      </c>
      <c r="I107" s="247">
        <f t="shared" si="12"/>
        <v>5</v>
      </c>
      <c r="J107" s="247"/>
    </row>
    <row r="108" spans="1:10">
      <c r="A108" s="251" t="str">
        <f>'DATA ENTRY - REQUEST'!A108</f>
        <v>2025-009</v>
      </c>
      <c r="B108" s="52">
        <f>'DATA ENTRY - REQUEST'!B108</f>
        <v>11</v>
      </c>
      <c r="C108" s="250" t="str">
        <f>Table3[[#This Row],[RIS NO]] &amp; TEXT(Table3[[#This Row],[COUNT (Max10)]], "0;-0")</f>
        <v>2025-00911</v>
      </c>
      <c r="D108" s="245">
        <v>45793</v>
      </c>
      <c r="E108" s="252" t="str">
        <f t="shared" si="9"/>
        <v xml:space="preserve">ACOP- SURVIVING LEGAL SPOUSE </v>
      </c>
      <c r="F108" s="247" t="s">
        <v>89</v>
      </c>
      <c r="G108" s="247" t="str">
        <f t="shared" si="13"/>
        <v>Ream</v>
      </c>
      <c r="H108" s="247">
        <f t="shared" si="11"/>
        <v>0</v>
      </c>
      <c r="I108" s="247">
        <f t="shared" si="12"/>
        <v>5</v>
      </c>
      <c r="J108" s="247"/>
    </row>
    <row r="109" spans="1:10">
      <c r="A109" s="251" t="str">
        <f>'DATA ENTRY - REQUEST'!A109</f>
        <v>2025-009</v>
      </c>
      <c r="B109" s="52">
        <f>'DATA ENTRY - REQUEST'!B109</f>
        <v>12</v>
      </c>
      <c r="C109" s="250" t="str">
        <f>Table3[[#This Row],[RIS NO]] &amp; TEXT(Table3[[#This Row],[COUNT (Max10)]], "0;-0")</f>
        <v>2025-00912</v>
      </c>
      <c r="D109" s="245">
        <v>45793</v>
      </c>
      <c r="E109" s="252" t="str">
        <f t="shared" si="9"/>
        <v>Envelope - document, 10 x 15</v>
      </c>
      <c r="F109" s="247">
        <v>1</v>
      </c>
      <c r="G109" s="247" t="str">
        <f t="shared" si="13"/>
        <v>C</v>
      </c>
      <c r="H109" s="247">
        <f t="shared" si="11"/>
        <v>46</v>
      </c>
      <c r="I109" s="247">
        <f t="shared" si="12"/>
        <v>5</v>
      </c>
      <c r="J109" s="247"/>
    </row>
    <row r="110" spans="1:10">
      <c r="A110" s="251" t="str">
        <f>'DATA ENTRY - REQUEST'!A110</f>
        <v>2025-009</v>
      </c>
      <c r="B110" s="52">
        <f>'DATA ENTRY - REQUEST'!B110</f>
        <v>13</v>
      </c>
      <c r="C110" s="250" t="str">
        <f>Table3[[#This Row],[RIS NO]] &amp; TEXT(Table3[[#This Row],[COUNT (Max10)]], "0;-0")</f>
        <v>2025-00913</v>
      </c>
      <c r="D110" s="245">
        <v>45793</v>
      </c>
      <c r="E110" s="252" t="str">
        <f t="shared" si="9"/>
        <v>Binder clip 2”</v>
      </c>
      <c r="F110" s="247" t="s">
        <v>89</v>
      </c>
      <c r="G110" s="247" t="str">
        <f t="shared" si="13"/>
        <v>Box</v>
      </c>
      <c r="H110" s="247">
        <f t="shared" si="11"/>
        <v>2552</v>
      </c>
      <c r="I110" s="247">
        <f t="shared" si="12"/>
        <v>5</v>
      </c>
      <c r="J110" s="247"/>
    </row>
    <row r="111" spans="1:10">
      <c r="A111" s="251" t="str">
        <f>'DATA ENTRY - REQUEST'!A111</f>
        <v>2025-009</v>
      </c>
      <c r="B111" s="52">
        <f>'DATA ENTRY - REQUEST'!B111</f>
        <v>14</v>
      </c>
      <c r="C111" s="250" t="str">
        <f>Table3[[#This Row],[RIS NO]] &amp; TEXT(Table3[[#This Row],[COUNT (Max10)]], "0;-0")</f>
        <v>2025-00914</v>
      </c>
      <c r="D111" s="245">
        <v>45793</v>
      </c>
      <c r="E111" s="252" t="str">
        <f t="shared" si="9"/>
        <v>Binder clip 1”</v>
      </c>
      <c r="F111" s="247">
        <v>2</v>
      </c>
      <c r="G111" s="247" t="str">
        <f t="shared" si="13"/>
        <v>Box</v>
      </c>
      <c r="H111" s="247">
        <f t="shared" si="11"/>
        <v>2550</v>
      </c>
      <c r="I111" s="247">
        <f t="shared" si="12"/>
        <v>5</v>
      </c>
      <c r="J111" s="247"/>
    </row>
    <row r="112" spans="1:10">
      <c r="A112" s="251" t="str">
        <f>'DATA ENTRY - REQUEST'!A112</f>
        <v>2025-009</v>
      </c>
      <c r="B112" s="52">
        <f>'DATA ENTRY - REQUEST'!B112</f>
        <v>15</v>
      </c>
      <c r="C112" s="250" t="str">
        <f>Table3[[#This Row],[RIS NO]] &amp; TEXT(Table3[[#This Row],[COUNT (Max10)]], "0;-0")</f>
        <v>2025-00915</v>
      </c>
      <c r="D112" s="245">
        <v>45793</v>
      </c>
      <c r="E112" s="252" t="str">
        <f t="shared" si="9"/>
        <v>Request/Verification Form new Code</v>
      </c>
      <c r="F112" s="247">
        <v>2</v>
      </c>
      <c r="G112" s="247" t="str">
        <f t="shared" si="13"/>
        <v>Piece</v>
      </c>
      <c r="H112" s="247">
        <f t="shared" si="11"/>
        <v>0</v>
      </c>
      <c r="I112" s="247">
        <f t="shared" si="12"/>
        <v>5</v>
      </c>
      <c r="J112" s="247"/>
    </row>
    <row r="113" spans="1:10">
      <c r="A113" s="251" t="str">
        <f>'DATA ENTRY - REQUEST'!A113</f>
        <v>2025-009</v>
      </c>
      <c r="B113" s="52">
        <f>'DATA ENTRY - REQUEST'!B113</f>
        <v>16</v>
      </c>
      <c r="C113" s="250" t="str">
        <f>Table3[[#This Row],[RIS NO]] &amp; TEXT(Table3[[#This Row],[COUNT (Max10)]], "0;-0")</f>
        <v>2025-00916</v>
      </c>
      <c r="D113" s="245">
        <v>45793</v>
      </c>
      <c r="E113" s="252" t="str">
        <f t="shared" si="9"/>
        <v>ACOP- RETIREMENT/DISABILITY</v>
      </c>
      <c r="F113" s="247">
        <v>5</v>
      </c>
      <c r="G113" s="247" t="str">
        <f t="shared" si="13"/>
        <v>Ream</v>
      </c>
      <c r="H113" s="247">
        <f t="shared" si="11"/>
        <v>0</v>
      </c>
      <c r="I113" s="247">
        <f t="shared" si="12"/>
        <v>5</v>
      </c>
      <c r="J113" s="247"/>
    </row>
    <row r="114" spans="1:10">
      <c r="A114" s="251" t="str">
        <f>'DATA ENTRY - REQUEST'!A114</f>
        <v>2025-010</v>
      </c>
      <c r="B114" s="52">
        <f>'DATA ENTRY - REQUEST'!B114</f>
        <v>1</v>
      </c>
      <c r="C114" s="250" t="str">
        <f>Table3[[#This Row],[RIS NO]] &amp; TEXT(Table3[[#This Row],[COUNT (Max10)]], "0;-0")</f>
        <v>2025-0101</v>
      </c>
      <c r="D114" s="245">
        <v>45793</v>
      </c>
      <c r="E114" s="252" t="str">
        <f t="shared" si="9"/>
        <v>Folder - legal size, 36mm thick (14pts)</v>
      </c>
      <c r="F114" s="247">
        <v>5</v>
      </c>
      <c r="G114" s="247" t="str">
        <f t="shared" si="13"/>
        <v>C</v>
      </c>
      <c r="H114" s="247">
        <f t="shared" si="11"/>
        <v>330</v>
      </c>
      <c r="I114" s="247">
        <f t="shared" si="12"/>
        <v>5</v>
      </c>
      <c r="J114" s="247"/>
    </row>
    <row r="115" spans="1:10">
      <c r="A115" s="251" t="str">
        <f>'DATA ENTRY - REQUEST'!A115</f>
        <v>2025-011</v>
      </c>
      <c r="B115" s="52">
        <f>'DATA ENTRY - REQUEST'!B115</f>
        <v>1</v>
      </c>
      <c r="C115" s="250" t="str">
        <f>Table3[[#This Row],[RIS NO]] &amp; TEXT(Table3[[#This Row],[COUNT (Max10)]], "0;-0")</f>
        <v>2025-0111</v>
      </c>
      <c r="D115" s="245">
        <v>45805</v>
      </c>
      <c r="E115" s="252" t="str">
        <f t="shared" si="9"/>
        <v>PROPERTY STICKER/TAG</v>
      </c>
      <c r="F115" s="247">
        <v>20</v>
      </c>
      <c r="G115" s="247" t="str">
        <f t="shared" ref="G115:G161" si="14">IFERROR(VLOOKUP(E115,SUPPLY2,3,0),"-")</f>
        <v>-</v>
      </c>
      <c r="H115" s="247" t="str">
        <f t="shared" ref="H115:H161" si="15">IFERROR(VLOOKUP(E115,SUPPLY2,4,0),"-")</f>
        <v>-</v>
      </c>
      <c r="I115" s="247">
        <f t="shared" ref="I115:I161" si="16">IFERROR(VLOOKUP(D115,YEAR2023,2,0),"-")</f>
        <v>5</v>
      </c>
      <c r="J115" s="247"/>
    </row>
    <row r="116" spans="1:10">
      <c r="A116" s="251" t="str">
        <f>'DATA ENTRY - REQUEST'!A116</f>
        <v>2025-012</v>
      </c>
      <c r="B116" s="52">
        <f>'DATA ENTRY - REQUEST'!B116</f>
        <v>1</v>
      </c>
      <c r="C116" s="250" t="str">
        <f>Table3[[#This Row],[RIS NO]] &amp; TEXT(Table3[[#This Row],[COUNT (Max10)]], "0;-0")</f>
        <v>2025-0121</v>
      </c>
      <c r="D116" s="245">
        <v>45805</v>
      </c>
      <c r="E116" s="252" t="str">
        <f t="shared" si="9"/>
        <v>Bond copy paper, A4 size,70gsm 500shts/rm</v>
      </c>
      <c r="F116" s="247">
        <v>20</v>
      </c>
      <c r="G116" s="247" t="str">
        <f t="shared" si="14"/>
        <v>Ream</v>
      </c>
      <c r="H116" s="247">
        <f t="shared" si="15"/>
        <v>2276</v>
      </c>
      <c r="I116" s="247">
        <f t="shared" si="16"/>
        <v>5</v>
      </c>
      <c r="J116" s="247"/>
    </row>
    <row r="117" spans="1:10">
      <c r="A117" s="251" t="str">
        <f>'DATA ENTRY - REQUEST'!A117</f>
        <v>2025-012</v>
      </c>
      <c r="B117" s="52">
        <f>'DATA ENTRY - REQUEST'!B117</f>
        <v>2</v>
      </c>
      <c r="C117" s="250" t="str">
        <f>Table3[[#This Row],[RIS NO]] &amp; TEXT(Table3[[#This Row],[COUNT (Max10)]], "0;-0")</f>
        <v>2025-0122</v>
      </c>
      <c r="D117" s="245">
        <v>45805</v>
      </c>
      <c r="E117" s="252" t="str">
        <f t="shared" si="9"/>
        <v>Bond prem,LEGAL SIZE, 216x330mm,70gsm 500shts/rm</v>
      </c>
      <c r="F117" s="247">
        <v>3</v>
      </c>
      <c r="G117" s="247" t="str">
        <f t="shared" si="14"/>
        <v>Ream</v>
      </c>
      <c r="H117" s="247">
        <f t="shared" si="15"/>
        <v>2067</v>
      </c>
      <c r="I117" s="247">
        <f t="shared" si="16"/>
        <v>5</v>
      </c>
      <c r="J117" s="247"/>
    </row>
    <row r="118" spans="1:10">
      <c r="A118" s="251" t="str">
        <f>'DATA ENTRY - REQUEST'!A118</f>
        <v>2025-012</v>
      </c>
      <c r="B118" s="52">
        <f>'DATA ENTRY - REQUEST'!B118</f>
        <v>3</v>
      </c>
      <c r="C118" s="250" t="str">
        <f>Table3[[#This Row],[RIS NO]] &amp; TEXT(Table3[[#This Row],[COUNT (Max10)]], "0;-0")</f>
        <v>2025-0123</v>
      </c>
      <c r="D118" s="245">
        <v>45805</v>
      </c>
      <c r="E118" s="252" t="str">
        <f t="shared" si="9"/>
        <v>MEMBER DATA CHANGE REQUEST PAGE 1&amp;2</v>
      </c>
      <c r="F118" s="247" t="s">
        <v>89</v>
      </c>
      <c r="G118" s="247" t="str">
        <f t="shared" si="14"/>
        <v>Ream</v>
      </c>
      <c r="H118" s="247">
        <f t="shared" si="15"/>
        <v>0</v>
      </c>
      <c r="I118" s="247">
        <f t="shared" si="16"/>
        <v>5</v>
      </c>
      <c r="J118" s="247"/>
    </row>
    <row r="119" spans="1:10">
      <c r="A119" s="251" t="str">
        <f>'DATA ENTRY - REQUEST'!A119</f>
        <v>2025-012</v>
      </c>
      <c r="B119" s="52">
        <f>'DATA ENTRY - REQUEST'!B119</f>
        <v>4</v>
      </c>
      <c r="C119" s="250" t="str">
        <f>Table3[[#This Row],[RIS NO]] &amp; TEXT(Table3[[#This Row],[COUNT (Max10)]], "0;-0")</f>
        <v>2025-0124</v>
      </c>
      <c r="D119" s="245">
        <v>45805</v>
      </c>
      <c r="E119" s="252" t="str">
        <f t="shared" si="9"/>
        <v>Alcohol, ethyl, 68%-72%</v>
      </c>
      <c r="F119" s="247" t="s">
        <v>89</v>
      </c>
      <c r="G119" s="247" t="str">
        <f t="shared" si="14"/>
        <v>Gallon</v>
      </c>
      <c r="H119" s="247">
        <f t="shared" si="15"/>
        <v>2617</v>
      </c>
      <c r="I119" s="247">
        <f t="shared" si="16"/>
        <v>5</v>
      </c>
      <c r="J119" s="247"/>
    </row>
    <row r="120" spans="1:10">
      <c r="A120" s="251" t="str">
        <f>'DATA ENTRY - REQUEST'!A120</f>
        <v>2025-012</v>
      </c>
      <c r="B120" s="52">
        <f>'DATA ENTRY - REQUEST'!B120</f>
        <v>5</v>
      </c>
      <c r="C120" s="250" t="str">
        <f>Table3[[#This Row],[RIS NO]] &amp; TEXT(Table3[[#This Row],[COUNT (Max10)]], "0;-0")</f>
        <v>2025-0125</v>
      </c>
      <c r="D120" s="245">
        <v>45805</v>
      </c>
      <c r="E120" s="252" t="str">
        <f t="shared" si="9"/>
        <v>Ballpoint pen</v>
      </c>
      <c r="F120" s="247" t="s">
        <v>89</v>
      </c>
      <c r="G120" s="247" t="str">
        <f t="shared" si="14"/>
        <v>Piece</v>
      </c>
      <c r="H120" s="247">
        <f t="shared" si="15"/>
        <v>337</v>
      </c>
      <c r="I120" s="247">
        <f t="shared" si="16"/>
        <v>5</v>
      </c>
      <c r="J120" s="247"/>
    </row>
    <row r="121" spans="1:10">
      <c r="A121" s="251" t="str">
        <f>'DATA ENTRY - REQUEST'!A121</f>
        <v>2025-012</v>
      </c>
      <c r="B121" s="52">
        <f>'DATA ENTRY - REQUEST'!B121</f>
        <v>6</v>
      </c>
      <c r="C121" s="250" t="str">
        <f>Table3[[#This Row],[RIS NO]] &amp; TEXT(Table3[[#This Row],[COUNT (Max10)]], "0;-0")</f>
        <v>2025-0126</v>
      </c>
      <c r="D121" s="245">
        <v>45805</v>
      </c>
      <c r="E121" s="252" t="str">
        <f t="shared" si="9"/>
        <v>Folder - legal size, 36mm thick (14pts)</v>
      </c>
      <c r="F121" s="247">
        <v>5</v>
      </c>
      <c r="G121" s="247" t="str">
        <f t="shared" si="14"/>
        <v>C</v>
      </c>
      <c r="H121" s="247">
        <f t="shared" si="15"/>
        <v>330</v>
      </c>
      <c r="I121" s="247">
        <f t="shared" si="16"/>
        <v>5</v>
      </c>
      <c r="J121" s="247"/>
    </row>
    <row r="122" spans="1:10">
      <c r="A122" s="251" t="str">
        <f>'DATA ENTRY - REQUEST'!A122</f>
        <v>2025-012</v>
      </c>
      <c r="B122" s="52">
        <f>'DATA ENTRY - REQUEST'!B122</f>
        <v>7</v>
      </c>
      <c r="C122" s="250" t="str">
        <f>Table3[[#This Row],[RIS NO]] &amp; TEXT(Table3[[#This Row],[COUNT (Max10)]], "0;-0")</f>
        <v>2025-0127</v>
      </c>
      <c r="D122" s="245">
        <v>45805</v>
      </c>
      <c r="E122" s="252" t="str">
        <f t="shared" si="9"/>
        <v>Tape - transparent 1</v>
      </c>
      <c r="F122" s="247">
        <v>3</v>
      </c>
      <c r="G122" s="247" t="str">
        <f t="shared" si="14"/>
        <v>Roll</v>
      </c>
      <c r="H122" s="247">
        <f t="shared" si="15"/>
        <v>301</v>
      </c>
      <c r="I122" s="247">
        <f t="shared" si="16"/>
        <v>5</v>
      </c>
      <c r="J122" s="247"/>
    </row>
    <row r="123" spans="1:10">
      <c r="A123" s="251" t="str">
        <f>'DATA ENTRY - REQUEST'!A123</f>
        <v>2025-012</v>
      </c>
      <c r="B123" s="52">
        <f>'DATA ENTRY - REQUEST'!B123</f>
        <v>8</v>
      </c>
      <c r="C123" s="250" t="str">
        <f>Table3[[#This Row],[RIS NO]] &amp; TEXT(Table3[[#This Row],[COUNT (Max10)]], "0;-0")</f>
        <v>2025-0128</v>
      </c>
      <c r="D123" s="245">
        <v>45805</v>
      </c>
      <c r="E123" s="252" t="str">
        <f t="shared" si="9"/>
        <v>Packaging tape 2”</v>
      </c>
      <c r="F123" s="247">
        <v>5</v>
      </c>
      <c r="G123" s="247" t="str">
        <f t="shared" si="14"/>
        <v>Roll</v>
      </c>
      <c r="H123" s="247">
        <f t="shared" si="15"/>
        <v>2537</v>
      </c>
      <c r="I123" s="247">
        <f t="shared" si="16"/>
        <v>5</v>
      </c>
      <c r="J123" s="247"/>
    </row>
    <row r="124" spans="1:10">
      <c r="A124" s="251" t="str">
        <f>'DATA ENTRY - REQUEST'!A124</f>
        <v>2025-012</v>
      </c>
      <c r="B124" s="52">
        <f>'DATA ENTRY - REQUEST'!B124</f>
        <v>9</v>
      </c>
      <c r="C124" s="250" t="str">
        <f>Table3[[#This Row],[RIS NO]] &amp; TEXT(Table3[[#This Row],[COUNT (Max10)]], "0;-0")</f>
        <v>2025-0129</v>
      </c>
      <c r="D124" s="245">
        <v>45805</v>
      </c>
      <c r="E124" s="252" t="str">
        <f t="shared" si="9"/>
        <v>Pencil</v>
      </c>
      <c r="F124" s="247" t="s">
        <v>89</v>
      </c>
      <c r="G124" s="247" t="str">
        <f t="shared" si="14"/>
        <v>Piece</v>
      </c>
      <c r="H124" s="247">
        <f t="shared" si="15"/>
        <v>0</v>
      </c>
      <c r="I124" s="247">
        <f t="shared" si="16"/>
        <v>5</v>
      </c>
      <c r="J124" s="247"/>
    </row>
    <row r="125" spans="1:10">
      <c r="A125" s="251" t="str">
        <f>'DATA ENTRY - REQUEST'!A125</f>
        <v>2025-012</v>
      </c>
      <c r="B125" s="52">
        <f>'DATA ENTRY - REQUEST'!B125</f>
        <v>10</v>
      </c>
      <c r="C125" s="250" t="str">
        <f>Table3[[#This Row],[RIS NO]] &amp; TEXT(Table3[[#This Row],[COUNT (Max10)]], "0;-0")</f>
        <v>2025-01210</v>
      </c>
      <c r="D125" s="245">
        <v>45805</v>
      </c>
      <c r="E125" s="252" t="str">
        <f t="shared" si="9"/>
        <v>Paste - solid w/ waterwell and applicator</v>
      </c>
      <c r="F125" s="247">
        <v>2</v>
      </c>
      <c r="G125" s="247" t="str">
        <f t="shared" si="14"/>
        <v>Piece</v>
      </c>
      <c r="H125" s="247">
        <f t="shared" si="15"/>
        <v>336</v>
      </c>
      <c r="I125" s="247">
        <f t="shared" si="16"/>
        <v>5</v>
      </c>
      <c r="J125" s="247"/>
    </row>
    <row r="126" spans="1:10">
      <c r="A126" s="251" t="str">
        <f>'DATA ENTRY - REQUEST'!A126</f>
        <v>2025-012</v>
      </c>
      <c r="B126" s="52">
        <f>'DATA ENTRY - REQUEST'!B126</f>
        <v>11</v>
      </c>
      <c r="C126" s="250" t="str">
        <f>Table3[[#This Row],[RIS NO]] &amp; TEXT(Table3[[#This Row],[COUNT (Max10)]], "0;-0")</f>
        <v>2025-01211</v>
      </c>
      <c r="D126" s="245">
        <v>45805</v>
      </c>
      <c r="E126" s="252" t="str">
        <f t="shared" si="9"/>
        <v xml:space="preserve">ACOP- SURVIVING LEGAL SPOUSE </v>
      </c>
      <c r="F126" s="247" t="s">
        <v>89</v>
      </c>
      <c r="G126" s="247" t="str">
        <f t="shared" si="14"/>
        <v>Ream</v>
      </c>
      <c r="H126" s="247">
        <f t="shared" si="15"/>
        <v>0</v>
      </c>
      <c r="I126" s="247">
        <f t="shared" si="16"/>
        <v>5</v>
      </c>
      <c r="J126" s="247"/>
    </row>
    <row r="127" spans="1:10">
      <c r="A127" s="251" t="str">
        <f>'DATA ENTRY - REQUEST'!A127</f>
        <v>2025-012</v>
      </c>
      <c r="B127" s="52">
        <f>'DATA ENTRY - REQUEST'!B127</f>
        <v>12</v>
      </c>
      <c r="C127" s="250" t="str">
        <f>Table3[[#This Row],[RIS NO]] &amp; TEXT(Table3[[#This Row],[COUNT (Max10)]], "0;-0")</f>
        <v>2025-01212</v>
      </c>
      <c r="D127" s="245">
        <v>45805</v>
      </c>
      <c r="E127" s="252" t="str">
        <f t="shared" si="9"/>
        <v>Envelope - document, 10 x 15</v>
      </c>
      <c r="F127" s="247">
        <v>2</v>
      </c>
      <c r="G127" s="247" t="str">
        <f t="shared" si="14"/>
        <v>C</v>
      </c>
      <c r="H127" s="247">
        <f t="shared" si="15"/>
        <v>46</v>
      </c>
      <c r="I127" s="247">
        <f t="shared" si="16"/>
        <v>5</v>
      </c>
      <c r="J127" s="247"/>
    </row>
    <row r="128" spans="1:10">
      <c r="A128" s="251" t="str">
        <f>'DATA ENTRY - REQUEST'!A128</f>
        <v>2025-012</v>
      </c>
      <c r="B128" s="52">
        <f>'DATA ENTRY - REQUEST'!B128</f>
        <v>13</v>
      </c>
      <c r="C128" s="250" t="str">
        <f>Table3[[#This Row],[RIS NO]] &amp; TEXT(Table3[[#This Row],[COUNT (Max10)]], "0;-0")</f>
        <v>2025-01213</v>
      </c>
      <c r="D128" s="245">
        <v>45805</v>
      </c>
      <c r="E128" s="252" t="str">
        <f t="shared" si="9"/>
        <v>Binder clip 2”</v>
      </c>
      <c r="F128" s="247">
        <v>2</v>
      </c>
      <c r="G128" s="247" t="str">
        <f t="shared" si="14"/>
        <v>Box</v>
      </c>
      <c r="H128" s="247">
        <f t="shared" si="15"/>
        <v>2552</v>
      </c>
      <c r="I128" s="247">
        <f t="shared" si="16"/>
        <v>5</v>
      </c>
      <c r="J128" s="247"/>
    </row>
    <row r="129" spans="1:10">
      <c r="A129" s="251" t="str">
        <f>'DATA ENTRY - REQUEST'!A129</f>
        <v>2025-012</v>
      </c>
      <c r="B129" s="52">
        <f>'DATA ENTRY - REQUEST'!B129</f>
        <v>14</v>
      </c>
      <c r="C129" s="250" t="str">
        <f>Table3[[#This Row],[RIS NO]] &amp; TEXT(Table3[[#This Row],[COUNT (Max10)]], "0;-0")</f>
        <v>2025-01214</v>
      </c>
      <c r="D129" s="245">
        <v>45805</v>
      </c>
      <c r="E129" s="252" t="str">
        <f t="shared" si="9"/>
        <v>Binder clip 1”</v>
      </c>
      <c r="F129" s="247">
        <v>5</v>
      </c>
      <c r="G129" s="247" t="str">
        <f t="shared" si="14"/>
        <v>Box</v>
      </c>
      <c r="H129" s="247">
        <f t="shared" si="15"/>
        <v>2550</v>
      </c>
      <c r="I129" s="247">
        <f t="shared" si="16"/>
        <v>5</v>
      </c>
      <c r="J129" s="247"/>
    </row>
    <row r="130" spans="1:10">
      <c r="A130" s="251" t="str">
        <f>'DATA ENTRY - REQUEST'!A130</f>
        <v>2025-012</v>
      </c>
      <c r="B130" s="52">
        <f>'DATA ENTRY - REQUEST'!B130</f>
        <v>15</v>
      </c>
      <c r="C130" s="250" t="str">
        <f>Table3[[#This Row],[RIS NO]] &amp; TEXT(Table3[[#This Row],[COUNT (Max10)]], "0;-0")</f>
        <v>2025-01215</v>
      </c>
      <c r="D130" s="245">
        <v>45805</v>
      </c>
      <c r="E130" s="252" t="str">
        <f t="shared" ref="E130:E193" si="17">VLOOKUP(C130,REQUEST1,3,0)</f>
        <v>Request/Verification Form new Code</v>
      </c>
      <c r="F130" s="247">
        <v>5</v>
      </c>
      <c r="G130" s="247" t="str">
        <f t="shared" si="14"/>
        <v>Piece</v>
      </c>
      <c r="H130" s="247">
        <f t="shared" si="15"/>
        <v>0</v>
      </c>
      <c r="I130" s="247">
        <f t="shared" si="16"/>
        <v>5</v>
      </c>
      <c r="J130" s="247"/>
    </row>
    <row r="131" spans="1:10">
      <c r="A131" s="251" t="str">
        <f>'DATA ENTRY - REQUEST'!A131</f>
        <v>2025-012</v>
      </c>
      <c r="B131" s="52">
        <f>'DATA ENTRY - REQUEST'!B131</f>
        <v>16</v>
      </c>
      <c r="C131" s="250" t="str">
        <f>Table3[[#This Row],[RIS NO]] &amp; TEXT(Table3[[#This Row],[COUNT (Max10)]], "0;-0")</f>
        <v>2025-01216</v>
      </c>
      <c r="D131" s="245">
        <v>45831</v>
      </c>
      <c r="E131" s="252" t="str">
        <f t="shared" si="17"/>
        <v>ACOP- RETIREMENT/DISABILITY</v>
      </c>
      <c r="F131" s="247">
        <v>30</v>
      </c>
      <c r="G131" s="247" t="str">
        <f t="shared" si="14"/>
        <v>Ream</v>
      </c>
      <c r="H131" s="247">
        <f t="shared" si="15"/>
        <v>0</v>
      </c>
      <c r="I131" s="247">
        <f t="shared" si="16"/>
        <v>6</v>
      </c>
      <c r="J131" s="247"/>
    </row>
    <row r="132" spans="1:10">
      <c r="A132" s="251" t="str">
        <f>'DATA ENTRY - REQUEST'!A132</f>
        <v>2025-013</v>
      </c>
      <c r="B132" s="52">
        <f>'DATA ENTRY - REQUEST'!B132</f>
        <v>1</v>
      </c>
      <c r="C132" s="250" t="str">
        <f>Table3[[#This Row],[RIS NO]] &amp; TEXT(Table3[[#This Row],[COUNT (Max10)]], "0;-0")</f>
        <v>2025-0131</v>
      </c>
      <c r="D132" s="245">
        <v>45831</v>
      </c>
      <c r="E132" s="252" t="str">
        <f t="shared" si="17"/>
        <v>PAYMENT SLIP-CONTRIBUTION 1</v>
      </c>
      <c r="F132" s="247">
        <v>20</v>
      </c>
      <c r="G132" s="247" t="str">
        <f t="shared" si="14"/>
        <v>Ream</v>
      </c>
      <c r="H132" s="247">
        <f t="shared" si="15"/>
        <v>2521</v>
      </c>
      <c r="I132" s="247">
        <f t="shared" si="16"/>
        <v>6</v>
      </c>
      <c r="J132" s="247"/>
    </row>
    <row r="133" spans="1:10">
      <c r="A133" s="251" t="str">
        <f>'DATA ENTRY - REQUEST'!A133</f>
        <v>2025-013</v>
      </c>
      <c r="B133" s="52">
        <f>'DATA ENTRY - REQUEST'!B133</f>
        <v>2</v>
      </c>
      <c r="C133" s="250" t="str">
        <f>Table3[[#This Row],[RIS NO]] &amp; TEXT(Table3[[#This Row],[COUNT (Max10)]], "0;-0")</f>
        <v>2025-0132</v>
      </c>
      <c r="D133" s="245">
        <v>45831</v>
      </c>
      <c r="E133" s="252" t="str">
        <f t="shared" si="17"/>
        <v>PAYMENT SLIP-CONTRIBUTION 2</v>
      </c>
      <c r="F133" s="247">
        <v>3</v>
      </c>
      <c r="G133" s="247" t="str">
        <f t="shared" si="14"/>
        <v>PCS</v>
      </c>
      <c r="H133" s="247">
        <f t="shared" si="15"/>
        <v>2521</v>
      </c>
      <c r="I133" s="247">
        <f t="shared" si="16"/>
        <v>6</v>
      </c>
      <c r="J133" s="247"/>
    </row>
    <row r="134" spans="1:10">
      <c r="A134" s="251" t="str">
        <f>'DATA ENTRY - REQUEST'!A134</f>
        <v>2025-013</v>
      </c>
      <c r="B134" s="52">
        <f>'DATA ENTRY - REQUEST'!B134</f>
        <v>3</v>
      </c>
      <c r="C134" s="250" t="str">
        <f>Table3[[#This Row],[RIS NO]] &amp; TEXT(Table3[[#This Row],[COUNT (Max10)]], "0;-0")</f>
        <v>2025-0133</v>
      </c>
      <c r="D134" s="245">
        <v>45831</v>
      </c>
      <c r="E134" s="252" t="str">
        <f t="shared" si="17"/>
        <v>PAYMENT SLIP-MEMBER LOAN</v>
      </c>
      <c r="F134" s="247" t="s">
        <v>89</v>
      </c>
      <c r="G134" s="247" t="str">
        <f t="shared" si="14"/>
        <v>Ream</v>
      </c>
      <c r="H134" s="247">
        <f t="shared" si="15"/>
        <v>2576</v>
      </c>
      <c r="I134" s="247">
        <f t="shared" si="16"/>
        <v>6</v>
      </c>
      <c r="J134" s="247"/>
    </row>
    <row r="135" spans="1:10">
      <c r="A135" s="251" t="str">
        <f>'DATA ENTRY - REQUEST'!A135</f>
        <v>2025-014</v>
      </c>
      <c r="B135" s="52">
        <f>'DATA ENTRY - REQUEST'!B135</f>
        <v>1</v>
      </c>
      <c r="C135" s="250" t="str">
        <f>Table3[[#This Row],[RIS NO]] &amp; TEXT(Table3[[#This Row],[COUNT (Max10)]], "0;-0")</f>
        <v>2025-0141</v>
      </c>
      <c r="D135" s="245">
        <v>45831</v>
      </c>
      <c r="E135" s="252" t="str">
        <f t="shared" si="17"/>
        <v>Ribbon – ERC-31 for TMU-950 (epson)</v>
      </c>
      <c r="F135" s="247" t="s">
        <v>89</v>
      </c>
      <c r="G135" s="247" t="str">
        <f t="shared" si="14"/>
        <v>Piece</v>
      </c>
      <c r="H135" s="247">
        <f t="shared" si="15"/>
        <v>137</v>
      </c>
      <c r="I135" s="247">
        <f t="shared" si="16"/>
        <v>6</v>
      </c>
      <c r="J135" s="247"/>
    </row>
    <row r="136" spans="1:10">
      <c r="A136" s="251" t="str">
        <f>'DATA ENTRY - REQUEST'!A136</f>
        <v>2025-015</v>
      </c>
      <c r="B136" s="52">
        <f>'DATA ENTRY - REQUEST'!B136</f>
        <v>1</v>
      </c>
      <c r="C136" s="250" t="str">
        <f>Table3[[#This Row],[RIS NO]] &amp; TEXT(Table3[[#This Row],[COUNT (Max10)]], "0;-0")</f>
        <v>2025-0151</v>
      </c>
      <c r="D136" s="245">
        <v>45831</v>
      </c>
      <c r="E136" s="252" t="str">
        <f t="shared" si="17"/>
        <v>Bond copy paper, A4 size,70gsm 500shts/rm</v>
      </c>
      <c r="F136" s="247" t="s">
        <v>89</v>
      </c>
      <c r="G136" s="247" t="str">
        <f t="shared" si="14"/>
        <v>Ream</v>
      </c>
      <c r="H136" s="247">
        <f t="shared" si="15"/>
        <v>2276</v>
      </c>
      <c r="I136" s="247">
        <f t="shared" si="16"/>
        <v>6</v>
      </c>
      <c r="J136" s="247"/>
    </row>
    <row r="137" spans="1:10">
      <c r="A137" s="251" t="str">
        <f>'DATA ENTRY - REQUEST'!A137</f>
        <v>2025-015</v>
      </c>
      <c r="B137" s="52">
        <f>'DATA ENTRY - REQUEST'!B137</f>
        <v>2</v>
      </c>
      <c r="C137" s="250" t="str">
        <f>Table3[[#This Row],[RIS NO]] &amp; TEXT(Table3[[#This Row],[COUNT (Max10)]], "0;-0")</f>
        <v>2025-0152</v>
      </c>
      <c r="D137" s="245">
        <v>45831</v>
      </c>
      <c r="E137" s="252" t="str">
        <f t="shared" si="17"/>
        <v>Bond prem,LEGAL SIZE, 216x330mm,70gsm 500shts/rm</v>
      </c>
      <c r="F137" s="247">
        <v>5</v>
      </c>
      <c r="G137" s="247" t="str">
        <f t="shared" si="14"/>
        <v>Ream</v>
      </c>
      <c r="H137" s="247">
        <f t="shared" si="15"/>
        <v>2067</v>
      </c>
      <c r="I137" s="247">
        <f t="shared" si="16"/>
        <v>6</v>
      </c>
      <c r="J137" s="247"/>
    </row>
    <row r="138" spans="1:10">
      <c r="A138" s="251" t="str">
        <f>'DATA ENTRY - REQUEST'!A138</f>
        <v>2025-015</v>
      </c>
      <c r="B138" s="52">
        <f>'DATA ENTRY - REQUEST'!B138</f>
        <v>3</v>
      </c>
      <c r="C138" s="250" t="str">
        <f>Table3[[#This Row],[RIS NO]] &amp; TEXT(Table3[[#This Row],[COUNT (Max10)]], "0;-0")</f>
        <v>2025-0153</v>
      </c>
      <c r="D138" s="245">
        <v>45831</v>
      </c>
      <c r="E138" s="252" t="str">
        <f t="shared" si="17"/>
        <v>MEMBER DATA CHANGE REQUEST PAGE 1&amp;2</v>
      </c>
      <c r="F138" s="247">
        <v>3</v>
      </c>
      <c r="G138" s="247" t="str">
        <f t="shared" si="14"/>
        <v>Ream</v>
      </c>
      <c r="H138" s="247">
        <f t="shared" si="15"/>
        <v>0</v>
      </c>
      <c r="I138" s="247">
        <f t="shared" si="16"/>
        <v>6</v>
      </c>
      <c r="J138" s="247"/>
    </row>
    <row r="139" spans="1:10">
      <c r="A139" s="251" t="str">
        <f>'DATA ENTRY - REQUEST'!A139</f>
        <v>2025-015</v>
      </c>
      <c r="B139" s="52">
        <f>'DATA ENTRY - REQUEST'!B139</f>
        <v>4</v>
      </c>
      <c r="C139" s="250" t="str">
        <f>Table3[[#This Row],[RIS NO]] &amp; TEXT(Table3[[#This Row],[COUNT (Max10)]], "0;-0")</f>
        <v>2025-0154</v>
      </c>
      <c r="D139" s="245">
        <v>45831</v>
      </c>
      <c r="E139" s="252" t="str">
        <f t="shared" si="17"/>
        <v>Alcohol, ethyl, 68%-72%</v>
      </c>
      <c r="F139" s="247">
        <v>5</v>
      </c>
      <c r="G139" s="247" t="str">
        <f t="shared" si="14"/>
        <v>Gallon</v>
      </c>
      <c r="H139" s="247">
        <f t="shared" si="15"/>
        <v>2617</v>
      </c>
      <c r="I139" s="247">
        <f t="shared" si="16"/>
        <v>6</v>
      </c>
      <c r="J139" s="247"/>
    </row>
    <row r="140" spans="1:10">
      <c r="A140" s="251" t="str">
        <f>'DATA ENTRY - REQUEST'!A140</f>
        <v>2025-015</v>
      </c>
      <c r="B140" s="52">
        <f>'DATA ENTRY - REQUEST'!B140</f>
        <v>5</v>
      </c>
      <c r="C140" s="250" t="str">
        <f>Table3[[#This Row],[RIS NO]] &amp; TEXT(Table3[[#This Row],[COUNT (Max10)]], "0;-0")</f>
        <v>2025-0155</v>
      </c>
      <c r="D140" s="245">
        <v>45831</v>
      </c>
      <c r="E140" s="252" t="str">
        <f t="shared" si="17"/>
        <v>Ballpoint pen</v>
      </c>
      <c r="F140" s="247" t="s">
        <v>89</v>
      </c>
      <c r="G140" s="247" t="str">
        <f t="shared" si="14"/>
        <v>Piece</v>
      </c>
      <c r="H140" s="247">
        <f t="shared" si="15"/>
        <v>337</v>
      </c>
      <c r="I140" s="247">
        <f t="shared" si="16"/>
        <v>6</v>
      </c>
      <c r="J140" s="247"/>
    </row>
    <row r="141" spans="1:10">
      <c r="A141" s="251" t="str">
        <f>'DATA ENTRY - REQUEST'!A141</f>
        <v>2025-015</v>
      </c>
      <c r="B141" s="52">
        <f>'DATA ENTRY - REQUEST'!B141</f>
        <v>6</v>
      </c>
      <c r="C141" s="250" t="str">
        <f>Table3[[#This Row],[RIS NO]] &amp; TEXT(Table3[[#This Row],[COUNT (Max10)]], "0;-0")</f>
        <v>2025-0156</v>
      </c>
      <c r="D141" s="245">
        <v>45831</v>
      </c>
      <c r="E141" s="252" t="str">
        <f t="shared" si="17"/>
        <v>Folder - legal size, 36mm thick (14pts)</v>
      </c>
      <c r="F141" s="247">
        <v>3</v>
      </c>
      <c r="G141" s="247" t="str">
        <f t="shared" si="14"/>
        <v>C</v>
      </c>
      <c r="H141" s="247">
        <f t="shared" si="15"/>
        <v>330</v>
      </c>
      <c r="I141" s="247">
        <f t="shared" si="16"/>
        <v>6</v>
      </c>
      <c r="J141" s="247"/>
    </row>
    <row r="142" spans="1:10">
      <c r="A142" s="251" t="str">
        <f>'DATA ENTRY - REQUEST'!A142</f>
        <v>2025-015</v>
      </c>
      <c r="B142" s="52">
        <f>'DATA ENTRY - REQUEST'!B142</f>
        <v>7</v>
      </c>
      <c r="C142" s="250" t="str">
        <f>Table3[[#This Row],[RIS NO]] &amp; TEXT(Table3[[#This Row],[COUNT (Max10)]], "0;-0")</f>
        <v>2025-0157</v>
      </c>
      <c r="D142" s="245">
        <v>45831</v>
      </c>
      <c r="E142" s="252" t="str">
        <f t="shared" si="17"/>
        <v>Tape - transparent 1</v>
      </c>
      <c r="F142" s="247" t="s">
        <v>89</v>
      </c>
      <c r="G142" s="247" t="str">
        <f t="shared" si="14"/>
        <v>Roll</v>
      </c>
      <c r="H142" s="247">
        <f t="shared" si="15"/>
        <v>301</v>
      </c>
      <c r="I142" s="247">
        <f t="shared" si="16"/>
        <v>6</v>
      </c>
      <c r="J142" s="247"/>
    </row>
    <row r="143" spans="1:10">
      <c r="A143" s="251" t="str">
        <f>'DATA ENTRY - REQUEST'!A143</f>
        <v>2025-015</v>
      </c>
      <c r="B143" s="52">
        <f>'DATA ENTRY - REQUEST'!B143</f>
        <v>8</v>
      </c>
      <c r="C143" s="250" t="str">
        <f>Table3[[#This Row],[RIS NO]] &amp; TEXT(Table3[[#This Row],[COUNT (Max10)]], "0;-0")</f>
        <v>2025-0158</v>
      </c>
      <c r="D143" s="245">
        <v>45831</v>
      </c>
      <c r="E143" s="252" t="str">
        <f t="shared" si="17"/>
        <v>Packaging tape 2”</v>
      </c>
      <c r="F143" s="247">
        <v>3</v>
      </c>
      <c r="G143" s="247" t="str">
        <f t="shared" si="14"/>
        <v>Roll</v>
      </c>
      <c r="H143" s="247">
        <f t="shared" si="15"/>
        <v>2537</v>
      </c>
      <c r="I143" s="247">
        <f t="shared" si="16"/>
        <v>6</v>
      </c>
      <c r="J143" s="247"/>
    </row>
    <row r="144" spans="1:10">
      <c r="A144" s="251" t="str">
        <f>'DATA ENTRY - REQUEST'!A144</f>
        <v>2025-015</v>
      </c>
      <c r="B144" s="52">
        <f>'DATA ENTRY - REQUEST'!B144</f>
        <v>9</v>
      </c>
      <c r="C144" s="250" t="str">
        <f>Table3[[#This Row],[RIS NO]] &amp; TEXT(Table3[[#This Row],[COUNT (Max10)]], "0;-0")</f>
        <v>2025-0159</v>
      </c>
      <c r="D144" s="245">
        <v>45831</v>
      </c>
      <c r="E144" s="252" t="str">
        <f t="shared" si="17"/>
        <v>Pencil</v>
      </c>
      <c r="F144" s="247">
        <v>5</v>
      </c>
      <c r="G144" s="247" t="str">
        <f t="shared" si="14"/>
        <v>Piece</v>
      </c>
      <c r="H144" s="247">
        <f t="shared" si="15"/>
        <v>0</v>
      </c>
      <c r="I144" s="247">
        <f t="shared" si="16"/>
        <v>6</v>
      </c>
      <c r="J144" s="247"/>
    </row>
    <row r="145" spans="1:10">
      <c r="A145" s="251" t="str">
        <f>'DATA ENTRY - REQUEST'!A145</f>
        <v>2025-015</v>
      </c>
      <c r="B145" s="52">
        <f>'DATA ENTRY - REQUEST'!B145</f>
        <v>10</v>
      </c>
      <c r="C145" s="250" t="str">
        <f>Table3[[#This Row],[RIS NO]] &amp; TEXT(Table3[[#This Row],[COUNT (Max10)]], "0;-0")</f>
        <v>2025-01510</v>
      </c>
      <c r="D145" s="245">
        <v>45831</v>
      </c>
      <c r="E145" s="252" t="str">
        <f t="shared" si="17"/>
        <v>Paste - solid w/ waterwell and applicator</v>
      </c>
      <c r="F145" s="247">
        <v>5</v>
      </c>
      <c r="G145" s="247" t="str">
        <f t="shared" si="14"/>
        <v>Piece</v>
      </c>
      <c r="H145" s="247">
        <f t="shared" si="15"/>
        <v>336</v>
      </c>
      <c r="I145" s="247">
        <f t="shared" si="16"/>
        <v>6</v>
      </c>
      <c r="J145" s="247"/>
    </row>
    <row r="146" spans="1:10">
      <c r="A146" s="251" t="str">
        <f>'DATA ENTRY - REQUEST'!A146</f>
        <v>2025-015</v>
      </c>
      <c r="B146" s="52">
        <f>'DATA ENTRY - REQUEST'!B146</f>
        <v>11</v>
      </c>
      <c r="C146" s="250" t="str">
        <f>Table3[[#This Row],[RIS NO]] &amp; TEXT(Table3[[#This Row],[COUNT (Max10)]], "0;-0")</f>
        <v>2025-01511</v>
      </c>
      <c r="D146" s="245">
        <v>45831</v>
      </c>
      <c r="E146" s="252" t="str">
        <f t="shared" si="17"/>
        <v xml:space="preserve">ACOP- SURVIVING LEGAL SPOUSE </v>
      </c>
      <c r="F146" s="247">
        <v>5</v>
      </c>
      <c r="G146" s="247" t="str">
        <f t="shared" si="14"/>
        <v>Ream</v>
      </c>
      <c r="H146" s="247">
        <f t="shared" si="15"/>
        <v>0</v>
      </c>
      <c r="I146" s="247">
        <f t="shared" si="16"/>
        <v>6</v>
      </c>
      <c r="J146" s="247"/>
    </row>
    <row r="147" spans="1:10">
      <c r="A147" s="251" t="str">
        <f>'DATA ENTRY - REQUEST'!A147</f>
        <v>2025-015</v>
      </c>
      <c r="B147" s="52">
        <f>'DATA ENTRY - REQUEST'!B147</f>
        <v>12</v>
      </c>
      <c r="C147" s="250" t="str">
        <f>Table3[[#This Row],[RIS NO]] &amp; TEXT(Table3[[#This Row],[COUNT (Max10)]], "0;-0")</f>
        <v>2025-01512</v>
      </c>
      <c r="D147" s="245">
        <v>45841</v>
      </c>
      <c r="E147" s="252" t="str">
        <f t="shared" si="17"/>
        <v>Envelope - document, 10 x 15</v>
      </c>
      <c r="F147" s="247">
        <v>50</v>
      </c>
      <c r="G147" s="247" t="str">
        <f t="shared" si="14"/>
        <v>C</v>
      </c>
      <c r="H147" s="247">
        <f t="shared" si="15"/>
        <v>46</v>
      </c>
      <c r="I147" s="247">
        <f t="shared" si="16"/>
        <v>7</v>
      </c>
      <c r="J147" s="247"/>
    </row>
    <row r="148" spans="1:10">
      <c r="A148" s="251" t="str">
        <f>'DATA ENTRY - REQUEST'!A148</f>
        <v>2025-015</v>
      </c>
      <c r="B148" s="52">
        <f>'DATA ENTRY - REQUEST'!B148</f>
        <v>13</v>
      </c>
      <c r="C148" s="250" t="str">
        <f>Table3[[#This Row],[RIS NO]] &amp; TEXT(Table3[[#This Row],[COUNT (Max10)]], "0;-0")</f>
        <v>2025-01513</v>
      </c>
      <c r="D148" s="245">
        <v>45841</v>
      </c>
      <c r="E148" s="252" t="str">
        <f t="shared" si="17"/>
        <v>Request/Verification Form new Code</v>
      </c>
      <c r="F148" s="247">
        <v>20</v>
      </c>
      <c r="G148" s="247" t="str">
        <f t="shared" si="14"/>
        <v>Piece</v>
      </c>
      <c r="H148" s="247">
        <f t="shared" si="15"/>
        <v>0</v>
      </c>
      <c r="I148" s="247">
        <f t="shared" si="16"/>
        <v>7</v>
      </c>
      <c r="J148" s="247"/>
    </row>
    <row r="149" spans="1:10">
      <c r="A149" s="251" t="str">
        <f>'DATA ENTRY - REQUEST'!A149</f>
        <v>2025-015</v>
      </c>
      <c r="B149" s="52">
        <f>'DATA ENTRY - REQUEST'!B149</f>
        <v>14</v>
      </c>
      <c r="C149" s="250" t="str">
        <f>Table3[[#This Row],[RIS NO]] &amp; TEXT(Table3[[#This Row],[COUNT (Max10)]], "0;-0")</f>
        <v>2025-01514</v>
      </c>
      <c r="D149" s="245">
        <v>45841</v>
      </c>
      <c r="E149" s="252" t="str">
        <f t="shared" si="17"/>
        <v>ACOP- RETIREMENT/DISABILITY</v>
      </c>
      <c r="F149" s="247">
        <v>3</v>
      </c>
      <c r="G149" s="247" t="str">
        <f t="shared" si="14"/>
        <v>Ream</v>
      </c>
      <c r="H149" s="247">
        <f t="shared" si="15"/>
        <v>0</v>
      </c>
      <c r="I149" s="247">
        <f t="shared" si="16"/>
        <v>7</v>
      </c>
      <c r="J149" s="247"/>
    </row>
    <row r="150" spans="1:10">
      <c r="A150" s="251" t="str">
        <f>'DATA ENTRY - REQUEST'!A150</f>
        <v>2025-015</v>
      </c>
      <c r="B150" s="52">
        <f>'DATA ENTRY - REQUEST'!B150</f>
        <v>15</v>
      </c>
      <c r="C150" s="250" t="str">
        <f>Table3[[#This Row],[RIS NO]] &amp; TEXT(Table3[[#This Row],[COUNT (Max10)]], "0;-0")</f>
        <v>2025-01515</v>
      </c>
      <c r="D150" s="245">
        <v>45841</v>
      </c>
      <c r="E150" s="252" t="str">
        <f t="shared" si="17"/>
        <v>PAYMENT SLIP-CONTRIBUTION 1</v>
      </c>
      <c r="F150" s="247">
        <v>36</v>
      </c>
      <c r="G150" s="247" t="str">
        <f t="shared" si="14"/>
        <v>Ream</v>
      </c>
      <c r="H150" s="247">
        <f t="shared" si="15"/>
        <v>2521</v>
      </c>
      <c r="I150" s="247">
        <f t="shared" si="16"/>
        <v>7</v>
      </c>
      <c r="J150" s="247"/>
    </row>
    <row r="151" spans="1:10">
      <c r="A151" s="251" t="str">
        <f>'DATA ENTRY - REQUEST'!A151</f>
        <v>2025-015</v>
      </c>
      <c r="B151" s="52">
        <f>'DATA ENTRY - REQUEST'!B151</f>
        <v>16</v>
      </c>
      <c r="C151" s="250" t="str">
        <f>Table3[[#This Row],[RIS NO]] &amp; TEXT(Table3[[#This Row],[COUNT (Max10)]], "0;-0")</f>
        <v>2025-01516</v>
      </c>
      <c r="D151" s="245">
        <v>45841</v>
      </c>
      <c r="E151" s="252" t="str">
        <f t="shared" si="17"/>
        <v>PAYMENT SLIP-MEMBER LOAN</v>
      </c>
      <c r="F151" s="247" t="s">
        <v>89</v>
      </c>
      <c r="G151" s="247" t="str">
        <f t="shared" si="14"/>
        <v>Ream</v>
      </c>
      <c r="H151" s="247">
        <f t="shared" si="15"/>
        <v>2576</v>
      </c>
      <c r="I151" s="247">
        <f t="shared" si="16"/>
        <v>7</v>
      </c>
      <c r="J151" s="247"/>
    </row>
    <row r="152" spans="1:10">
      <c r="A152" s="251" t="str">
        <f>'DATA ENTRY - REQUEST'!A152</f>
        <v>2025-016</v>
      </c>
      <c r="B152" s="52">
        <f>'DATA ENTRY - REQUEST'!B152</f>
        <v>1</v>
      </c>
      <c r="C152" s="250" t="str">
        <f>Table3[[#This Row],[RIS NO]] &amp; TEXT(Table3[[#This Row],[COUNT (Max10)]], "0;-0")</f>
        <v>2025-0161</v>
      </c>
      <c r="D152" s="245">
        <v>45841</v>
      </c>
      <c r="E152" s="252" t="str">
        <f t="shared" si="17"/>
        <v>Bond copy paper, A4 size,70gsm 500shts/rm</v>
      </c>
      <c r="F152" s="247" t="s">
        <v>89</v>
      </c>
      <c r="G152" s="247" t="str">
        <f t="shared" si="14"/>
        <v>Ream</v>
      </c>
      <c r="H152" s="247">
        <f t="shared" si="15"/>
        <v>2276</v>
      </c>
      <c r="I152" s="247">
        <f t="shared" si="16"/>
        <v>7</v>
      </c>
      <c r="J152" s="247"/>
    </row>
    <row r="153" spans="1:10">
      <c r="A153" s="251" t="str">
        <f>'DATA ENTRY - REQUEST'!A153</f>
        <v>2025-016</v>
      </c>
      <c r="B153" s="52">
        <f>'DATA ENTRY - REQUEST'!B153</f>
        <v>2</v>
      </c>
      <c r="C153" s="250" t="str">
        <f>Table3[[#This Row],[RIS NO]] &amp; TEXT(Table3[[#This Row],[COUNT (Max10)]], "0;-0")</f>
        <v>2025-0162</v>
      </c>
      <c r="D153" s="245">
        <v>45841</v>
      </c>
      <c r="E153" s="252" t="str">
        <f t="shared" si="17"/>
        <v>Bond prem,LEGAL SIZE, 216x330mm,70gsm 500shts/rm</v>
      </c>
      <c r="F153" s="247">
        <v>10</v>
      </c>
      <c r="G153" s="247" t="str">
        <f t="shared" si="14"/>
        <v>Ream</v>
      </c>
      <c r="H153" s="247">
        <f t="shared" si="15"/>
        <v>2067</v>
      </c>
      <c r="I153" s="247">
        <f t="shared" si="16"/>
        <v>7</v>
      </c>
      <c r="J153" s="247"/>
    </row>
    <row r="154" spans="1:10">
      <c r="A154" s="251" t="str">
        <f>'DATA ENTRY - REQUEST'!A154</f>
        <v>2025-016</v>
      </c>
      <c r="B154" s="52">
        <f>'DATA ENTRY - REQUEST'!B154</f>
        <v>3</v>
      </c>
      <c r="C154" s="250" t="str">
        <f>Table3[[#This Row],[RIS NO]] &amp; TEXT(Table3[[#This Row],[COUNT (Max10)]], "0;-0")</f>
        <v>2025-0163</v>
      </c>
      <c r="D154" s="245">
        <v>45841</v>
      </c>
      <c r="E154" s="252" t="str">
        <f t="shared" si="17"/>
        <v>MEMBER DATA CHANGE REQUEST PAGE 1&amp;2</v>
      </c>
      <c r="F154" s="247">
        <v>5</v>
      </c>
      <c r="G154" s="247" t="str">
        <f t="shared" si="14"/>
        <v>Ream</v>
      </c>
      <c r="H154" s="247">
        <f t="shared" si="15"/>
        <v>0</v>
      </c>
      <c r="I154" s="247">
        <f t="shared" si="16"/>
        <v>7</v>
      </c>
      <c r="J154" s="247"/>
    </row>
    <row r="155" spans="1:10">
      <c r="A155" s="251" t="str">
        <f>'DATA ENTRY - REQUEST'!A155</f>
        <v>2025-016</v>
      </c>
      <c r="B155" s="52">
        <f>'DATA ENTRY - REQUEST'!B155</f>
        <v>4</v>
      </c>
      <c r="C155" s="250" t="str">
        <f>Table3[[#This Row],[RIS NO]] &amp; TEXT(Table3[[#This Row],[COUNT (Max10)]], "0;-0")</f>
        <v>2025-0164</v>
      </c>
      <c r="D155" s="245">
        <v>45841</v>
      </c>
      <c r="E155" s="252" t="str">
        <f t="shared" si="17"/>
        <v>Alcohol, ethyl, 68%-72%</v>
      </c>
      <c r="F155" s="247">
        <v>5</v>
      </c>
      <c r="G155" s="247" t="str">
        <f t="shared" si="14"/>
        <v>Gallon</v>
      </c>
      <c r="H155" s="247">
        <f t="shared" si="15"/>
        <v>2617</v>
      </c>
      <c r="I155" s="247">
        <f t="shared" si="16"/>
        <v>7</v>
      </c>
      <c r="J155" s="247"/>
    </row>
    <row r="156" spans="1:10">
      <c r="A156" s="251" t="str">
        <f>'DATA ENTRY - REQUEST'!A156</f>
        <v>2025-016</v>
      </c>
      <c r="B156" s="52">
        <f>'DATA ENTRY - REQUEST'!B156</f>
        <v>5</v>
      </c>
      <c r="C156" s="250" t="str">
        <f>Table3[[#This Row],[RIS NO]] &amp; TEXT(Table3[[#This Row],[COUNT (Max10)]], "0;-0")</f>
        <v>2025-0165</v>
      </c>
      <c r="D156" s="245">
        <v>45841</v>
      </c>
      <c r="E156" s="252" t="str">
        <f t="shared" si="17"/>
        <v>Ballpoint pen</v>
      </c>
      <c r="F156" s="247" t="s">
        <v>89</v>
      </c>
      <c r="G156" s="247" t="str">
        <f t="shared" si="14"/>
        <v>Piece</v>
      </c>
      <c r="H156" s="247">
        <f t="shared" si="15"/>
        <v>337</v>
      </c>
      <c r="I156" s="247">
        <f t="shared" si="16"/>
        <v>7</v>
      </c>
      <c r="J156" s="247"/>
    </row>
    <row r="157" spans="1:10">
      <c r="A157" s="251" t="str">
        <f>'DATA ENTRY - REQUEST'!A157</f>
        <v>2025-016</v>
      </c>
      <c r="B157" s="52">
        <f>'DATA ENTRY - REQUEST'!B157</f>
        <v>6</v>
      </c>
      <c r="C157" s="250" t="str">
        <f>Table3[[#This Row],[RIS NO]] &amp; TEXT(Table3[[#This Row],[COUNT (Max10)]], "0;-0")</f>
        <v>2025-0166</v>
      </c>
      <c r="D157" s="245">
        <v>45841</v>
      </c>
      <c r="E157" s="252" t="str">
        <f t="shared" si="17"/>
        <v>Folder - legal size, 36mm thick (14pts)</v>
      </c>
      <c r="F157" s="247">
        <v>3</v>
      </c>
      <c r="G157" s="247" t="str">
        <f t="shared" si="14"/>
        <v>C</v>
      </c>
      <c r="H157" s="247">
        <f t="shared" si="15"/>
        <v>330</v>
      </c>
      <c r="I157" s="247">
        <f t="shared" si="16"/>
        <v>7</v>
      </c>
      <c r="J157" s="247"/>
    </row>
    <row r="158" spans="1:10">
      <c r="A158" s="251" t="str">
        <f>'DATA ENTRY - REQUEST'!A158</f>
        <v>2025-016</v>
      </c>
      <c r="B158" s="52">
        <f>'DATA ENTRY - REQUEST'!B158</f>
        <v>7</v>
      </c>
      <c r="C158" s="250" t="str">
        <f>Table3[[#This Row],[RIS NO]] &amp; TEXT(Table3[[#This Row],[COUNT (Max10)]], "0;-0")</f>
        <v>2025-0167</v>
      </c>
      <c r="D158" s="245">
        <v>45841</v>
      </c>
      <c r="E158" s="252" t="str">
        <f t="shared" si="17"/>
        <v>Tape - transparent 1</v>
      </c>
      <c r="F158" s="247" t="s">
        <v>89</v>
      </c>
      <c r="G158" s="247" t="str">
        <f t="shared" si="14"/>
        <v>Roll</v>
      </c>
      <c r="H158" s="247">
        <f t="shared" si="15"/>
        <v>301</v>
      </c>
      <c r="I158" s="247">
        <f t="shared" si="16"/>
        <v>7</v>
      </c>
      <c r="J158" s="247"/>
    </row>
    <row r="159" spans="1:10">
      <c r="A159" s="251" t="str">
        <f>'DATA ENTRY - REQUEST'!A159</f>
        <v>2025-016</v>
      </c>
      <c r="B159" s="52">
        <f>'DATA ENTRY - REQUEST'!B159</f>
        <v>8</v>
      </c>
      <c r="C159" s="250" t="str">
        <f>Table3[[#This Row],[RIS NO]] &amp; TEXT(Table3[[#This Row],[COUNT (Max10)]], "0;-0")</f>
        <v>2025-0168</v>
      </c>
      <c r="D159" s="245">
        <v>45841</v>
      </c>
      <c r="E159" s="252" t="str">
        <f t="shared" si="17"/>
        <v>Packaging tape 2”</v>
      </c>
      <c r="F159" s="247">
        <v>3</v>
      </c>
      <c r="G159" s="247" t="str">
        <f t="shared" si="14"/>
        <v>Roll</v>
      </c>
      <c r="H159" s="247">
        <f t="shared" si="15"/>
        <v>2537</v>
      </c>
      <c r="I159" s="247">
        <f t="shared" si="16"/>
        <v>7</v>
      </c>
      <c r="J159" s="247"/>
    </row>
    <row r="160" spans="1:10">
      <c r="A160" s="251" t="str">
        <f>'DATA ENTRY - REQUEST'!A160</f>
        <v>2025-016</v>
      </c>
      <c r="B160" s="52">
        <f>'DATA ENTRY - REQUEST'!B160</f>
        <v>9</v>
      </c>
      <c r="C160" s="250" t="str">
        <f>Table3[[#This Row],[RIS NO]] &amp; TEXT(Table3[[#This Row],[COUNT (Max10)]], "0;-0")</f>
        <v>2025-0169</v>
      </c>
      <c r="D160" s="245">
        <v>45841</v>
      </c>
      <c r="E160" s="252" t="str">
        <f t="shared" si="17"/>
        <v>Pencil</v>
      </c>
      <c r="F160" s="247">
        <v>3</v>
      </c>
      <c r="G160" s="247" t="str">
        <f t="shared" si="14"/>
        <v>Piece</v>
      </c>
      <c r="H160" s="247">
        <f t="shared" si="15"/>
        <v>0</v>
      </c>
      <c r="I160" s="247">
        <f t="shared" si="16"/>
        <v>7</v>
      </c>
      <c r="J160" s="247"/>
    </row>
    <row r="161" spans="1:10">
      <c r="A161" s="251" t="str">
        <f>'DATA ENTRY - REQUEST'!A161</f>
        <v>2025-016</v>
      </c>
      <c r="B161" s="52">
        <f>'DATA ENTRY - REQUEST'!B161</f>
        <v>10</v>
      </c>
      <c r="C161" s="250" t="str">
        <f>Table3[[#This Row],[RIS NO]] &amp; TEXT(Table3[[#This Row],[COUNT (Max10)]], "0;-0")</f>
        <v>2025-01610</v>
      </c>
      <c r="D161" s="245">
        <v>45841</v>
      </c>
      <c r="E161" s="252" t="str">
        <f t="shared" si="17"/>
        <v>Paste - solid w/ waterwell and applicator</v>
      </c>
      <c r="F161" s="247">
        <v>5</v>
      </c>
      <c r="G161" s="247" t="str">
        <f t="shared" si="14"/>
        <v>Piece</v>
      </c>
      <c r="H161" s="247">
        <f t="shared" si="15"/>
        <v>336</v>
      </c>
      <c r="I161" s="247">
        <f t="shared" si="16"/>
        <v>7</v>
      </c>
      <c r="J161" s="247"/>
    </row>
    <row r="162" spans="1:10">
      <c r="A162" s="251" t="str">
        <f>'DATA ENTRY - REQUEST'!A162</f>
        <v>2025-016</v>
      </c>
      <c r="B162" s="52">
        <f>'DATA ENTRY - REQUEST'!B162</f>
        <v>11</v>
      </c>
      <c r="C162" s="250" t="str">
        <f>Table3[[#This Row],[RIS NO]] &amp; TEXT(Table3[[#This Row],[COUNT (Max10)]], "0;-0")</f>
        <v>2025-01611</v>
      </c>
      <c r="D162" s="245">
        <v>45852</v>
      </c>
      <c r="E162" s="252" t="str">
        <f t="shared" si="17"/>
        <v xml:space="preserve">ACOP- SURVIVING LEGAL SPOUSE </v>
      </c>
      <c r="F162" s="247" t="s">
        <v>89</v>
      </c>
      <c r="G162" s="247" t="str">
        <f t="shared" ref="G162:G225" si="18">IFERROR(VLOOKUP(E162,SUPPLY2,3,0),"-")</f>
        <v>Ream</v>
      </c>
      <c r="H162" s="247">
        <f t="shared" ref="H162:H225" si="19">IFERROR(VLOOKUP(E162,SUPPLY2,4,0),"-")</f>
        <v>0</v>
      </c>
      <c r="I162" s="247">
        <f t="shared" ref="I162:I225" si="20">IFERROR(VLOOKUP(D162,YEAR2023,2,0),"-")</f>
        <v>7</v>
      </c>
      <c r="J162" s="247"/>
    </row>
    <row r="163" spans="1:10">
      <c r="A163" s="251" t="str">
        <f>'DATA ENTRY - REQUEST'!A163</f>
        <v>2025-016</v>
      </c>
      <c r="B163" s="52">
        <f>'DATA ENTRY - REQUEST'!B163</f>
        <v>12</v>
      </c>
      <c r="C163" s="250" t="str">
        <f>Table3[[#This Row],[RIS NO]] &amp; TEXT(Table3[[#This Row],[COUNT (Max10)]], "0;-0")</f>
        <v>2025-01612</v>
      </c>
      <c r="D163" s="245">
        <v>45852</v>
      </c>
      <c r="E163" s="252" t="str">
        <f t="shared" si="17"/>
        <v>Envelope - document, 10 x 15</v>
      </c>
      <c r="F163" s="247">
        <v>2</v>
      </c>
      <c r="G163" s="247" t="str">
        <f t="shared" si="18"/>
        <v>C</v>
      </c>
      <c r="H163" s="247">
        <f t="shared" si="19"/>
        <v>46</v>
      </c>
      <c r="I163" s="247">
        <f t="shared" si="20"/>
        <v>7</v>
      </c>
      <c r="J163" s="247"/>
    </row>
    <row r="164" spans="1:10">
      <c r="A164" s="251" t="str">
        <f>'DATA ENTRY - REQUEST'!A164</f>
        <v>2025-016</v>
      </c>
      <c r="B164" s="52">
        <f>'DATA ENTRY - REQUEST'!B164</f>
        <v>13</v>
      </c>
      <c r="C164" s="250" t="str">
        <f>Table3[[#This Row],[RIS NO]] &amp; TEXT(Table3[[#This Row],[COUNT (Max10)]], "0;-0")</f>
        <v>2025-01613</v>
      </c>
      <c r="D164" s="245">
        <v>45854</v>
      </c>
      <c r="E164" s="252" t="str">
        <f t="shared" si="17"/>
        <v>Request/Verification Form new Code</v>
      </c>
      <c r="F164" s="247">
        <v>36</v>
      </c>
      <c r="G164" s="247" t="str">
        <f t="shared" si="18"/>
        <v>Piece</v>
      </c>
      <c r="H164" s="247">
        <f t="shared" si="19"/>
        <v>0</v>
      </c>
      <c r="I164" s="247">
        <f t="shared" si="20"/>
        <v>7</v>
      </c>
      <c r="J164" s="247"/>
    </row>
    <row r="165" spans="1:10">
      <c r="A165" s="251" t="str">
        <f>'DATA ENTRY - REQUEST'!A165</f>
        <v>2025-016</v>
      </c>
      <c r="B165" s="52">
        <f>'DATA ENTRY - REQUEST'!B165</f>
        <v>14</v>
      </c>
      <c r="C165" s="250" t="str">
        <f>Table3[[#This Row],[RIS NO]] &amp; TEXT(Table3[[#This Row],[COUNT (Max10)]], "0;-0")</f>
        <v>2025-01614</v>
      </c>
      <c r="D165" s="245">
        <v>45852</v>
      </c>
      <c r="E165" s="252" t="str">
        <f t="shared" si="17"/>
        <v>ACOP- RETIREMENT/DISABILITY</v>
      </c>
      <c r="F165" s="247" t="s">
        <v>89</v>
      </c>
      <c r="G165" s="247" t="str">
        <f t="shared" si="18"/>
        <v>Ream</v>
      </c>
      <c r="H165" s="247">
        <f t="shared" si="19"/>
        <v>0</v>
      </c>
      <c r="I165" s="247">
        <f t="shared" si="20"/>
        <v>7</v>
      </c>
      <c r="J165" s="247"/>
    </row>
    <row r="166" spans="1:10">
      <c r="A166" s="251" t="str">
        <f>'DATA ENTRY - REQUEST'!A166</f>
        <v>2025-016</v>
      </c>
      <c r="B166" s="52">
        <f>'DATA ENTRY - REQUEST'!B166</f>
        <v>15</v>
      </c>
      <c r="C166" s="250" t="str">
        <f>Table3[[#This Row],[RIS NO]] &amp; TEXT(Table3[[#This Row],[COUNT (Max10)]], "0;-0")</f>
        <v>2025-01615</v>
      </c>
      <c r="D166" s="245">
        <v>45852</v>
      </c>
      <c r="E166" s="252" t="str">
        <f t="shared" si="17"/>
        <v>PAYMENT SLIP-CONTRIBUTION 1</v>
      </c>
      <c r="F166" s="247" t="s">
        <v>89</v>
      </c>
      <c r="G166" s="247" t="str">
        <f t="shared" si="18"/>
        <v>Ream</v>
      </c>
      <c r="H166" s="247">
        <f t="shared" si="19"/>
        <v>2521</v>
      </c>
      <c r="I166" s="247">
        <f t="shared" si="20"/>
        <v>7</v>
      </c>
      <c r="J166" s="247"/>
    </row>
    <row r="167" spans="1:10">
      <c r="A167" s="251" t="str">
        <f>'DATA ENTRY - REQUEST'!A167</f>
        <v>2025-016</v>
      </c>
      <c r="B167" s="52">
        <f>'DATA ENTRY - REQUEST'!B167</f>
        <v>16</v>
      </c>
      <c r="C167" s="250" t="str">
        <f>Table3[[#This Row],[RIS NO]] &amp; TEXT(Table3[[#This Row],[COUNT (Max10)]], "0;-0")</f>
        <v>2025-01616</v>
      </c>
      <c r="D167" s="245">
        <v>45852</v>
      </c>
      <c r="E167" s="252" t="str">
        <f t="shared" si="17"/>
        <v>PAYMENT SLIP-MEMBER LOAN</v>
      </c>
      <c r="F167" s="247">
        <v>10</v>
      </c>
      <c r="G167" s="247" t="str">
        <f t="shared" si="18"/>
        <v>Ream</v>
      </c>
      <c r="H167" s="247">
        <f t="shared" si="19"/>
        <v>2576</v>
      </c>
      <c r="I167" s="247">
        <f t="shared" si="20"/>
        <v>7</v>
      </c>
      <c r="J167" s="247"/>
    </row>
    <row r="168" spans="1:10">
      <c r="A168" s="251" t="str">
        <f>'DATA ENTRY - REQUEST'!A168</f>
        <v>2025-017</v>
      </c>
      <c r="B168" s="52">
        <f>'DATA ENTRY - REQUEST'!B168</f>
        <v>1</v>
      </c>
      <c r="C168" s="250" t="str">
        <f>Table3[[#This Row],[RIS NO]] &amp; TEXT(Table3[[#This Row],[COUNT (Max10)]], "0;-0")</f>
        <v>2025-0171</v>
      </c>
      <c r="D168" s="245">
        <v>45852</v>
      </c>
      <c r="E168" s="252" t="str">
        <f t="shared" si="17"/>
        <v>Bond copy paper, A4 size,70gsm 500shts/rm</v>
      </c>
      <c r="F168" s="247">
        <v>5</v>
      </c>
      <c r="G168" s="247" t="str">
        <f t="shared" si="18"/>
        <v>Ream</v>
      </c>
      <c r="H168" s="247">
        <f t="shared" si="19"/>
        <v>2276</v>
      </c>
      <c r="I168" s="247">
        <f t="shared" si="20"/>
        <v>7</v>
      </c>
      <c r="J168" s="247"/>
    </row>
    <row r="169" spans="1:10">
      <c r="A169" s="251" t="str">
        <f>'DATA ENTRY - REQUEST'!A169</f>
        <v>2025-017</v>
      </c>
      <c r="B169" s="52">
        <f>'DATA ENTRY - REQUEST'!B169</f>
        <v>2</v>
      </c>
      <c r="C169" s="250" t="str">
        <f>Table3[[#This Row],[RIS NO]] &amp; TEXT(Table3[[#This Row],[COUNT (Max10)]], "0;-0")</f>
        <v>2025-0172</v>
      </c>
      <c r="D169" s="245">
        <v>45852</v>
      </c>
      <c r="E169" s="252" t="str">
        <f t="shared" si="17"/>
        <v>Bond prem,LEGAL SIZE, 216x330mm,70gsm 500shts/rm</v>
      </c>
      <c r="F169" s="247">
        <v>5</v>
      </c>
      <c r="G169" s="247" t="str">
        <f t="shared" si="18"/>
        <v>Ream</v>
      </c>
      <c r="H169" s="247">
        <f t="shared" si="19"/>
        <v>2067</v>
      </c>
      <c r="I169" s="247">
        <f t="shared" si="20"/>
        <v>7</v>
      </c>
      <c r="J169" s="247"/>
    </row>
    <row r="170" spans="1:10">
      <c r="A170" s="251" t="str">
        <f>'DATA ENTRY - REQUEST'!A170</f>
        <v>2025-017</v>
      </c>
      <c r="B170" s="52">
        <f>'DATA ENTRY - REQUEST'!B170</f>
        <v>3</v>
      </c>
      <c r="C170" s="250" t="str">
        <f>Table3[[#This Row],[RIS NO]] &amp; TEXT(Table3[[#This Row],[COUNT (Max10)]], "0;-0")</f>
        <v>2025-0173</v>
      </c>
      <c r="D170" s="245">
        <v>45852</v>
      </c>
      <c r="E170" s="252" t="str">
        <f t="shared" si="17"/>
        <v>MEMBER DATA CHANGE REQUEST PAGE 1&amp;2</v>
      </c>
      <c r="F170" s="247" t="s">
        <v>89</v>
      </c>
      <c r="G170" s="247" t="str">
        <f t="shared" si="18"/>
        <v>Ream</v>
      </c>
      <c r="H170" s="247">
        <f t="shared" si="19"/>
        <v>0</v>
      </c>
      <c r="I170" s="247">
        <f t="shared" si="20"/>
        <v>7</v>
      </c>
      <c r="J170" s="247"/>
    </row>
    <row r="171" spans="1:10">
      <c r="A171" s="251" t="str">
        <f>'DATA ENTRY - REQUEST'!A171</f>
        <v>2025-017</v>
      </c>
      <c r="B171" s="52">
        <f>'DATA ENTRY - REQUEST'!B171</f>
        <v>4</v>
      </c>
      <c r="C171" s="250" t="str">
        <f>Table3[[#This Row],[RIS NO]] &amp; TEXT(Table3[[#This Row],[COUNT (Max10)]], "0;-0")</f>
        <v>2025-0174</v>
      </c>
      <c r="D171" s="245">
        <v>45852</v>
      </c>
      <c r="E171" s="252" t="str">
        <f t="shared" si="17"/>
        <v>Alcohol, ethyl, 68%-72%</v>
      </c>
      <c r="F171" s="247">
        <v>2</v>
      </c>
      <c r="G171" s="247" t="str">
        <f t="shared" si="18"/>
        <v>Gallon</v>
      </c>
      <c r="H171" s="247">
        <f t="shared" si="19"/>
        <v>2617</v>
      </c>
      <c r="I171" s="247">
        <f t="shared" si="20"/>
        <v>7</v>
      </c>
      <c r="J171" s="247"/>
    </row>
    <row r="172" spans="1:10">
      <c r="A172" s="251" t="str">
        <f>'DATA ENTRY - REQUEST'!A172</f>
        <v>2025-017</v>
      </c>
      <c r="B172" s="52">
        <f>'DATA ENTRY - REQUEST'!B172</f>
        <v>5</v>
      </c>
      <c r="C172" s="250" t="str">
        <f>Table3[[#This Row],[RIS NO]] &amp; TEXT(Table3[[#This Row],[COUNT (Max10)]], "0;-0")</f>
        <v>2025-0175</v>
      </c>
      <c r="D172" s="245">
        <v>45852</v>
      </c>
      <c r="E172" s="252" t="str">
        <f t="shared" si="17"/>
        <v>Ballpoint pen</v>
      </c>
      <c r="F172" s="247" t="s">
        <v>89</v>
      </c>
      <c r="G172" s="247" t="str">
        <f t="shared" si="18"/>
        <v>Piece</v>
      </c>
      <c r="H172" s="247">
        <f t="shared" si="19"/>
        <v>337</v>
      </c>
      <c r="I172" s="247">
        <f t="shared" si="20"/>
        <v>7</v>
      </c>
      <c r="J172" s="247"/>
    </row>
    <row r="173" spans="1:10">
      <c r="A173" s="251" t="str">
        <f>'DATA ENTRY - REQUEST'!A173</f>
        <v>2025-017</v>
      </c>
      <c r="B173" s="52">
        <f>'DATA ENTRY - REQUEST'!B173</f>
        <v>6</v>
      </c>
      <c r="C173" s="250" t="str">
        <f>Table3[[#This Row],[RIS NO]] &amp; TEXT(Table3[[#This Row],[COUNT (Max10)]], "0;-0")</f>
        <v>2025-0176</v>
      </c>
      <c r="D173" s="245">
        <v>45852</v>
      </c>
      <c r="E173" s="252" t="str">
        <f t="shared" si="17"/>
        <v>Folder - legal size, 36mm thick (14pts)</v>
      </c>
      <c r="F173" s="247">
        <v>2</v>
      </c>
      <c r="G173" s="247" t="str">
        <f t="shared" si="18"/>
        <v>C</v>
      </c>
      <c r="H173" s="247">
        <f t="shared" si="19"/>
        <v>330</v>
      </c>
      <c r="I173" s="247">
        <f t="shared" si="20"/>
        <v>7</v>
      </c>
      <c r="J173" s="247"/>
    </row>
    <row r="174" spans="1:10">
      <c r="A174" s="251" t="str">
        <f>'DATA ENTRY - REQUEST'!A174</f>
        <v>2025-017</v>
      </c>
      <c r="B174" s="52">
        <f>'DATA ENTRY - REQUEST'!B174</f>
        <v>7</v>
      </c>
      <c r="C174" s="250" t="str">
        <f>Table3[[#This Row],[RIS NO]] &amp; TEXT(Table3[[#This Row],[COUNT (Max10)]], "0;-0")</f>
        <v>2025-0177</v>
      </c>
      <c r="D174" s="245">
        <v>45852</v>
      </c>
      <c r="E174" s="252" t="str">
        <f t="shared" si="17"/>
        <v>Tape - transparent 1</v>
      </c>
      <c r="F174" s="247">
        <v>5</v>
      </c>
      <c r="G174" s="247" t="str">
        <f t="shared" si="18"/>
        <v>Roll</v>
      </c>
      <c r="H174" s="247">
        <f t="shared" si="19"/>
        <v>301</v>
      </c>
      <c r="I174" s="247">
        <f t="shared" si="20"/>
        <v>7</v>
      </c>
      <c r="J174" s="247"/>
    </row>
    <row r="175" spans="1:10">
      <c r="A175" s="251" t="str">
        <f>'DATA ENTRY - REQUEST'!A175</f>
        <v>2025-017</v>
      </c>
      <c r="B175" s="52">
        <f>'DATA ENTRY - REQUEST'!B175</f>
        <v>8</v>
      </c>
      <c r="C175" s="250" t="str">
        <f>Table3[[#This Row],[RIS NO]] &amp; TEXT(Table3[[#This Row],[COUNT (Max10)]], "0;-0")</f>
        <v>2025-0178</v>
      </c>
      <c r="D175" s="245">
        <v>45852</v>
      </c>
      <c r="E175" s="252" t="str">
        <f t="shared" si="17"/>
        <v>Packaging tape 2”</v>
      </c>
      <c r="F175" s="247">
        <v>3</v>
      </c>
      <c r="G175" s="247" t="str">
        <f t="shared" si="18"/>
        <v>Roll</v>
      </c>
      <c r="H175" s="247">
        <f t="shared" si="19"/>
        <v>2537</v>
      </c>
      <c r="I175" s="247">
        <f t="shared" si="20"/>
        <v>7</v>
      </c>
      <c r="J175" s="247"/>
    </row>
    <row r="176" spans="1:10">
      <c r="A176" s="251" t="str">
        <f>'DATA ENTRY - REQUEST'!A176</f>
        <v>2025-017</v>
      </c>
      <c r="B176" s="52">
        <f>'DATA ENTRY - REQUEST'!B176</f>
        <v>9</v>
      </c>
      <c r="C176" s="250" t="str">
        <f>Table3[[#This Row],[RIS NO]] &amp; TEXT(Table3[[#This Row],[COUNT (Max10)]], "0;-0")</f>
        <v>2025-0179</v>
      </c>
      <c r="D176" s="245">
        <v>45852</v>
      </c>
      <c r="E176" s="252" t="str">
        <f t="shared" si="17"/>
        <v>Pencil</v>
      </c>
      <c r="F176" s="247" t="s">
        <v>89</v>
      </c>
      <c r="G176" s="247" t="str">
        <f t="shared" si="18"/>
        <v>Piece</v>
      </c>
      <c r="H176" s="247">
        <f t="shared" si="19"/>
        <v>0</v>
      </c>
      <c r="I176" s="247">
        <f t="shared" si="20"/>
        <v>7</v>
      </c>
      <c r="J176" s="247"/>
    </row>
    <row r="177" spans="1:10">
      <c r="A177" s="251" t="str">
        <f>'DATA ENTRY - REQUEST'!A177</f>
        <v>2025-017</v>
      </c>
      <c r="B177" s="52">
        <f>'DATA ENTRY - REQUEST'!B177</f>
        <v>10</v>
      </c>
      <c r="C177" s="250" t="str">
        <f>Table3[[#This Row],[RIS NO]] &amp; TEXT(Table3[[#This Row],[COUNT (Max10)]], "0;-0")</f>
        <v>2025-01710</v>
      </c>
      <c r="D177" s="245">
        <v>45852</v>
      </c>
      <c r="E177" s="252" t="str">
        <f t="shared" si="17"/>
        <v>Paste - solid w/ waterwell and applicator</v>
      </c>
      <c r="F177" s="247">
        <v>5</v>
      </c>
      <c r="G177" s="247" t="str">
        <f t="shared" si="18"/>
        <v>Piece</v>
      </c>
      <c r="H177" s="247">
        <f t="shared" si="19"/>
        <v>336</v>
      </c>
      <c r="I177" s="247">
        <f t="shared" si="20"/>
        <v>7</v>
      </c>
      <c r="J177" s="247"/>
    </row>
    <row r="178" spans="1:10">
      <c r="A178" s="251" t="str">
        <f>'DATA ENTRY - REQUEST'!A178</f>
        <v>2025-017</v>
      </c>
      <c r="B178" s="52">
        <f>'DATA ENTRY - REQUEST'!B178</f>
        <v>11</v>
      </c>
      <c r="C178" s="250" t="str">
        <f>Table3[[#This Row],[RIS NO]] &amp; TEXT(Table3[[#This Row],[COUNT (Max10)]], "0;-0")</f>
        <v>2025-01711</v>
      </c>
      <c r="D178" s="245">
        <v>45889</v>
      </c>
      <c r="E178" s="252" t="str">
        <f t="shared" si="17"/>
        <v xml:space="preserve">ACOP- SURVIVING LEGAL SPOUSE </v>
      </c>
      <c r="F178" s="247">
        <v>50</v>
      </c>
      <c r="G178" s="247" t="str">
        <f t="shared" si="18"/>
        <v>Ream</v>
      </c>
      <c r="H178" s="247">
        <f t="shared" si="19"/>
        <v>0</v>
      </c>
      <c r="I178" s="247">
        <f t="shared" si="20"/>
        <v>8</v>
      </c>
      <c r="J178" s="247"/>
    </row>
    <row r="179" spans="1:10">
      <c r="A179" s="251" t="str">
        <f>'DATA ENTRY - REQUEST'!A179</f>
        <v>2025-017</v>
      </c>
      <c r="B179" s="52">
        <f>'DATA ENTRY - REQUEST'!B179</f>
        <v>12</v>
      </c>
      <c r="C179" s="250" t="str">
        <f>Table3[[#This Row],[RIS NO]] &amp; TEXT(Table3[[#This Row],[COUNT (Max10)]], "0;-0")</f>
        <v>2025-01712</v>
      </c>
      <c r="D179" s="245">
        <v>45940</v>
      </c>
      <c r="E179" s="252" t="str">
        <f t="shared" si="17"/>
        <v>Envelope - document, 10 x 15</v>
      </c>
      <c r="F179" s="247">
        <v>30</v>
      </c>
      <c r="G179" s="247" t="str">
        <f t="shared" si="18"/>
        <v>C</v>
      </c>
      <c r="H179" s="247">
        <f t="shared" si="19"/>
        <v>46</v>
      </c>
      <c r="I179" s="247">
        <f t="shared" si="20"/>
        <v>10</v>
      </c>
      <c r="J179" s="247"/>
    </row>
    <row r="180" spans="1:10">
      <c r="A180" s="251" t="str">
        <f>'DATA ENTRY - REQUEST'!A180</f>
        <v>2025-017</v>
      </c>
      <c r="B180" s="52">
        <f>'DATA ENTRY - REQUEST'!B180</f>
        <v>13</v>
      </c>
      <c r="C180" s="250" t="str">
        <f>Table3[[#This Row],[RIS NO]] &amp; TEXT(Table3[[#This Row],[COUNT (Max10)]], "0;-0")</f>
        <v>2025-01713</v>
      </c>
      <c r="D180" s="245">
        <v>45940</v>
      </c>
      <c r="E180" s="252" t="str">
        <f t="shared" si="17"/>
        <v>Request/Verification Form new Code</v>
      </c>
      <c r="F180" s="247">
        <v>30</v>
      </c>
      <c r="G180" s="247" t="str">
        <f t="shared" si="18"/>
        <v>Piece</v>
      </c>
      <c r="H180" s="247">
        <f t="shared" si="19"/>
        <v>0</v>
      </c>
      <c r="I180" s="247">
        <f t="shared" si="20"/>
        <v>10</v>
      </c>
      <c r="J180" s="247"/>
    </row>
    <row r="181" spans="1:10">
      <c r="A181" s="251" t="str">
        <f>'DATA ENTRY - REQUEST'!A181</f>
        <v>2025-017</v>
      </c>
      <c r="B181" s="52">
        <f>'DATA ENTRY - REQUEST'!B181</f>
        <v>14</v>
      </c>
      <c r="C181" s="250" t="str">
        <f>Table3[[#This Row],[RIS NO]] &amp; TEXT(Table3[[#This Row],[COUNT (Max10)]], "0;-0")</f>
        <v>2025-01714</v>
      </c>
      <c r="D181" s="245">
        <v>45940</v>
      </c>
      <c r="E181" s="252" t="str">
        <f t="shared" si="17"/>
        <v>ACOP- RETIREMENT/DISABILITY</v>
      </c>
      <c r="F181" s="247" t="s">
        <v>91</v>
      </c>
      <c r="G181" s="247" t="str">
        <f t="shared" si="18"/>
        <v>Ream</v>
      </c>
      <c r="H181" s="247">
        <f t="shared" si="19"/>
        <v>0</v>
      </c>
      <c r="I181" s="247">
        <f t="shared" si="20"/>
        <v>10</v>
      </c>
      <c r="J181" s="247"/>
    </row>
    <row r="182" spans="1:10">
      <c r="A182" s="251" t="str">
        <f>'DATA ENTRY - REQUEST'!A182</f>
        <v>2025-017</v>
      </c>
      <c r="B182" s="52">
        <f>'DATA ENTRY - REQUEST'!B182</f>
        <v>15</v>
      </c>
      <c r="C182" s="250" t="str">
        <f>Table3[[#This Row],[RIS NO]] &amp; TEXT(Table3[[#This Row],[COUNT (Max10)]], "0;-0")</f>
        <v>2025-01715</v>
      </c>
      <c r="D182" s="245">
        <v>45940</v>
      </c>
      <c r="E182" s="252" t="str">
        <f t="shared" si="17"/>
        <v>PAYMENT SLIP-CONTRIBUTION 1</v>
      </c>
      <c r="F182" s="247" t="s">
        <v>91</v>
      </c>
      <c r="G182" s="247" t="str">
        <f t="shared" si="18"/>
        <v>Ream</v>
      </c>
      <c r="H182" s="247">
        <f t="shared" si="19"/>
        <v>2521</v>
      </c>
      <c r="I182" s="247">
        <f t="shared" si="20"/>
        <v>10</v>
      </c>
      <c r="J182" s="247"/>
    </row>
    <row r="183" spans="1:10">
      <c r="A183" s="251" t="str">
        <f>'DATA ENTRY - REQUEST'!A183</f>
        <v>2025-018</v>
      </c>
      <c r="B183" s="52">
        <f>'DATA ENTRY - REQUEST'!B183</f>
        <v>1</v>
      </c>
      <c r="C183" s="250" t="str">
        <f>Table3[[#This Row],[RIS NO]] &amp; TEXT(Table3[[#This Row],[COUNT (Max10)]], "0;-0")</f>
        <v>2025-0181</v>
      </c>
      <c r="D183" s="245">
        <v>45940</v>
      </c>
      <c r="E183" s="252" t="str">
        <f t="shared" si="17"/>
        <v>Bond prem,LEGAL SIZE, 216x330mm,70gsm 500shts/rm</v>
      </c>
      <c r="F183" s="247">
        <v>10</v>
      </c>
      <c r="G183" s="247" t="str">
        <f t="shared" si="18"/>
        <v>Ream</v>
      </c>
      <c r="H183" s="247">
        <f t="shared" si="19"/>
        <v>2067</v>
      </c>
      <c r="I183" s="247">
        <f t="shared" si="20"/>
        <v>10</v>
      </c>
      <c r="J183" s="247"/>
    </row>
    <row r="184" spans="1:10">
      <c r="A184" s="251" t="str">
        <f>'DATA ENTRY - REQUEST'!A184</f>
        <v>2025-018</v>
      </c>
      <c r="B184" s="52">
        <f>'DATA ENTRY - REQUEST'!B184</f>
        <v>2</v>
      </c>
      <c r="C184" s="250" t="str">
        <f>Table3[[#This Row],[RIS NO]] &amp; TEXT(Table3[[#This Row],[COUNT (Max10)]], "0;-0")</f>
        <v>2025-0182</v>
      </c>
      <c r="D184" s="245">
        <v>45940</v>
      </c>
      <c r="E184" s="252" t="str">
        <f t="shared" si="17"/>
        <v>MEMBER DATA CHANGE REQUEST PAGE 1&amp;2</v>
      </c>
      <c r="F184" s="247">
        <v>10</v>
      </c>
      <c r="G184" s="247" t="str">
        <f t="shared" si="18"/>
        <v>Ream</v>
      </c>
      <c r="H184" s="247">
        <f t="shared" si="19"/>
        <v>0</v>
      </c>
      <c r="I184" s="247">
        <f t="shared" si="20"/>
        <v>10</v>
      </c>
      <c r="J184" s="247"/>
    </row>
    <row r="185" spans="1:10">
      <c r="A185" s="251" t="str">
        <f>'DATA ENTRY - REQUEST'!A185</f>
        <v>2025-018</v>
      </c>
      <c r="B185" s="52">
        <f>'DATA ENTRY - REQUEST'!B185</f>
        <v>3</v>
      </c>
      <c r="C185" s="250" t="str">
        <f>Table3[[#This Row],[RIS NO]] &amp; TEXT(Table3[[#This Row],[COUNT (Max10)]], "0;-0")</f>
        <v>2025-0183</v>
      </c>
      <c r="D185" s="245">
        <v>45940</v>
      </c>
      <c r="E185" s="252" t="str">
        <f t="shared" si="17"/>
        <v>Alcohol, ethyl, 68%-72%</v>
      </c>
      <c r="F185" s="247">
        <v>3</v>
      </c>
      <c r="G185" s="247" t="str">
        <f t="shared" si="18"/>
        <v>Gallon</v>
      </c>
      <c r="H185" s="247">
        <f t="shared" si="19"/>
        <v>2617</v>
      </c>
      <c r="I185" s="247">
        <f t="shared" si="20"/>
        <v>10</v>
      </c>
      <c r="J185" s="247"/>
    </row>
    <row r="186" spans="1:10">
      <c r="A186" s="251" t="str">
        <f>'DATA ENTRY - REQUEST'!A186</f>
        <v>2025-018</v>
      </c>
      <c r="B186" s="52">
        <f>'DATA ENTRY - REQUEST'!B186</f>
        <v>4</v>
      </c>
      <c r="C186" s="250" t="str">
        <f>Table3[[#This Row],[RIS NO]] &amp; TEXT(Table3[[#This Row],[COUNT (Max10)]], "0;-0")</f>
        <v>2025-0184</v>
      </c>
      <c r="D186" s="245">
        <v>45940</v>
      </c>
      <c r="E186" s="252" t="str">
        <f t="shared" si="17"/>
        <v>Ballpoint pen</v>
      </c>
      <c r="F186" s="247" t="s">
        <v>91</v>
      </c>
      <c r="G186" s="247" t="str">
        <f t="shared" si="18"/>
        <v>Piece</v>
      </c>
      <c r="H186" s="247">
        <f t="shared" si="19"/>
        <v>337</v>
      </c>
      <c r="I186" s="247">
        <f t="shared" si="20"/>
        <v>10</v>
      </c>
      <c r="J186" s="247"/>
    </row>
    <row r="187" spans="1:10">
      <c r="A187" s="251" t="str">
        <f>'DATA ENTRY - REQUEST'!A187</f>
        <v>2025-018</v>
      </c>
      <c r="B187" s="52">
        <f>'DATA ENTRY - REQUEST'!B187</f>
        <v>5</v>
      </c>
      <c r="C187" s="250" t="str">
        <f>Table3[[#This Row],[RIS NO]] &amp; TEXT(Table3[[#This Row],[COUNT (Max10)]], "0;-0")</f>
        <v>2025-0185</v>
      </c>
      <c r="D187" s="245">
        <v>45940</v>
      </c>
      <c r="E187" s="252" t="str">
        <f t="shared" si="17"/>
        <v>Folder - legal size, 36mm thick (14pts)</v>
      </c>
      <c r="F187" s="247">
        <v>2</v>
      </c>
      <c r="G187" s="247" t="str">
        <f t="shared" si="18"/>
        <v>C</v>
      </c>
      <c r="H187" s="247">
        <f t="shared" si="19"/>
        <v>330</v>
      </c>
      <c r="I187" s="247">
        <f t="shared" si="20"/>
        <v>10</v>
      </c>
      <c r="J187" s="247"/>
    </row>
    <row r="188" spans="1:10">
      <c r="A188" s="251" t="str">
        <f>'DATA ENTRY - REQUEST'!A188</f>
        <v>2025-018</v>
      </c>
      <c r="B188" s="52">
        <f>'DATA ENTRY - REQUEST'!B188</f>
        <v>6</v>
      </c>
      <c r="C188" s="250" t="str">
        <f>Table3[[#This Row],[RIS NO]] &amp; TEXT(Table3[[#This Row],[COUNT (Max10)]], "0;-0")</f>
        <v>2025-0186</v>
      </c>
      <c r="D188" s="245">
        <v>45940</v>
      </c>
      <c r="E188" s="252" t="str">
        <f t="shared" si="17"/>
        <v>Tape - transparent 1</v>
      </c>
      <c r="F188" s="247">
        <v>1</v>
      </c>
      <c r="G188" s="247" t="str">
        <f t="shared" si="18"/>
        <v>Roll</v>
      </c>
      <c r="H188" s="247">
        <f t="shared" si="19"/>
        <v>301</v>
      </c>
      <c r="I188" s="247">
        <f t="shared" si="20"/>
        <v>10</v>
      </c>
      <c r="J188" s="247"/>
    </row>
    <row r="189" spans="1:10">
      <c r="A189" s="251" t="str">
        <f>'DATA ENTRY - REQUEST'!A189</f>
        <v>2025-018</v>
      </c>
      <c r="B189" s="52">
        <f>'DATA ENTRY - REQUEST'!B189</f>
        <v>7</v>
      </c>
      <c r="C189" s="250" t="str">
        <f>Table3[[#This Row],[RIS NO]] &amp; TEXT(Table3[[#This Row],[COUNT (Max10)]], "0;-0")</f>
        <v>2025-0187</v>
      </c>
      <c r="D189" s="245">
        <v>45940</v>
      </c>
      <c r="E189" s="252" t="str">
        <f t="shared" si="17"/>
        <v>Packaging tape 2”</v>
      </c>
      <c r="F189" s="247">
        <v>2</v>
      </c>
      <c r="G189" s="247" t="str">
        <f t="shared" si="18"/>
        <v>Roll</v>
      </c>
      <c r="H189" s="247">
        <f t="shared" si="19"/>
        <v>2537</v>
      </c>
      <c r="I189" s="247">
        <f t="shared" si="20"/>
        <v>10</v>
      </c>
      <c r="J189" s="247"/>
    </row>
    <row r="190" spans="1:10">
      <c r="A190" s="251" t="str">
        <f>'DATA ENTRY - REQUEST'!A190</f>
        <v>2025-018</v>
      </c>
      <c r="B190" s="52">
        <f>'DATA ENTRY - REQUEST'!B190</f>
        <v>8</v>
      </c>
      <c r="C190" s="250" t="str">
        <f>Table3[[#This Row],[RIS NO]] &amp; TEXT(Table3[[#This Row],[COUNT (Max10)]], "0;-0")</f>
        <v>2025-0188</v>
      </c>
      <c r="D190" s="245">
        <v>45940</v>
      </c>
      <c r="E190" s="252" t="str">
        <f t="shared" si="17"/>
        <v>Pencil</v>
      </c>
      <c r="F190" s="247">
        <v>100</v>
      </c>
      <c r="G190" s="247" t="str">
        <f t="shared" si="18"/>
        <v>Piece</v>
      </c>
      <c r="H190" s="247">
        <f t="shared" si="19"/>
        <v>0</v>
      </c>
      <c r="I190" s="247">
        <f t="shared" si="20"/>
        <v>10</v>
      </c>
      <c r="J190" s="247"/>
    </row>
    <row r="191" spans="1:10">
      <c r="A191" s="251" t="str">
        <f>'DATA ENTRY - REQUEST'!A191</f>
        <v>2025-018</v>
      </c>
      <c r="B191" s="52">
        <f>'DATA ENTRY - REQUEST'!B191</f>
        <v>9</v>
      </c>
      <c r="C191" s="250" t="str">
        <f>Table3[[#This Row],[RIS NO]] &amp; TEXT(Table3[[#This Row],[COUNT (Max10)]], "0;-0")</f>
        <v>2025-0189</v>
      </c>
      <c r="D191" s="245">
        <v>45940</v>
      </c>
      <c r="E191" s="252" t="str">
        <f t="shared" si="17"/>
        <v>Paste - solid w/ waterwell and applicator</v>
      </c>
      <c r="F191" s="247">
        <v>2</v>
      </c>
      <c r="G191" s="247" t="str">
        <f t="shared" si="18"/>
        <v>Piece</v>
      </c>
      <c r="H191" s="247">
        <f t="shared" si="19"/>
        <v>336</v>
      </c>
      <c r="I191" s="247">
        <f t="shared" si="20"/>
        <v>10</v>
      </c>
      <c r="J191" s="247"/>
    </row>
    <row r="192" spans="1:10">
      <c r="A192" s="251" t="str">
        <f>'DATA ENTRY - REQUEST'!A192</f>
        <v>2025-018</v>
      </c>
      <c r="B192" s="52">
        <f>'DATA ENTRY - REQUEST'!B192</f>
        <v>10</v>
      </c>
      <c r="C192" s="250" t="str">
        <f>Table3[[#This Row],[RIS NO]] &amp; TEXT(Table3[[#This Row],[COUNT (Max10)]], "0;-0")</f>
        <v>2025-01810</v>
      </c>
      <c r="D192" s="245">
        <v>45940</v>
      </c>
      <c r="E192" s="252" t="str">
        <f t="shared" si="17"/>
        <v xml:space="preserve">ACOP- SURVIVING LEGAL SPOUSE </v>
      </c>
      <c r="F192" s="247" t="s">
        <v>91</v>
      </c>
      <c r="G192" s="247" t="str">
        <f t="shared" si="18"/>
        <v>Ream</v>
      </c>
      <c r="H192" s="247">
        <f t="shared" si="19"/>
        <v>0</v>
      </c>
      <c r="I192" s="247">
        <f t="shared" si="20"/>
        <v>10</v>
      </c>
      <c r="J192" s="247"/>
    </row>
    <row r="193" spans="1:10">
      <c r="A193" s="251" t="str">
        <f>'DATA ENTRY - REQUEST'!A193</f>
        <v>2025-018</v>
      </c>
      <c r="B193" s="52">
        <f>'DATA ENTRY - REQUEST'!B193</f>
        <v>11</v>
      </c>
      <c r="C193" s="250" t="str">
        <f>Table3[[#This Row],[RIS NO]] &amp; TEXT(Table3[[#This Row],[COUNT (Max10)]], "0;-0")</f>
        <v>2025-01811</v>
      </c>
      <c r="D193" s="245">
        <v>45940</v>
      </c>
      <c r="E193" s="252" t="str">
        <f t="shared" si="17"/>
        <v>Envelope - document, 10 x 15</v>
      </c>
      <c r="F193" s="247" t="s">
        <v>91</v>
      </c>
      <c r="G193" s="247" t="str">
        <f t="shared" si="18"/>
        <v>C</v>
      </c>
      <c r="H193" s="247">
        <f t="shared" si="19"/>
        <v>46</v>
      </c>
      <c r="I193" s="247">
        <f t="shared" si="20"/>
        <v>10</v>
      </c>
      <c r="J193" s="247"/>
    </row>
    <row r="194" spans="1:10">
      <c r="A194" s="251" t="str">
        <f>'DATA ENTRY - REQUEST'!A194</f>
        <v>2025-018</v>
      </c>
      <c r="B194" s="52">
        <f>'DATA ENTRY - REQUEST'!B194</f>
        <v>12</v>
      </c>
      <c r="C194" s="250" t="str">
        <f>Table3[[#This Row],[RIS NO]] &amp; TEXT(Table3[[#This Row],[COUNT (Max10)]], "0;-0")</f>
        <v>2025-01812</v>
      </c>
      <c r="D194" s="245">
        <v>45940</v>
      </c>
      <c r="E194" s="252" t="str">
        <f t="shared" ref="E194:E242" si="21">VLOOKUP(C194,REQUEST1,3,0)</f>
        <v>ACOP- RETIREMENT/DISABILITY</v>
      </c>
      <c r="F194" s="247">
        <v>2</v>
      </c>
      <c r="G194" s="247" t="str">
        <f t="shared" si="18"/>
        <v>Ream</v>
      </c>
      <c r="H194" s="247">
        <f t="shared" si="19"/>
        <v>0</v>
      </c>
      <c r="I194" s="247">
        <f t="shared" si="20"/>
        <v>10</v>
      </c>
      <c r="J194" s="247"/>
    </row>
    <row r="195" spans="1:10">
      <c r="A195" s="251" t="str">
        <f>'DATA ENTRY - REQUEST'!A195</f>
        <v>2025-018</v>
      </c>
      <c r="B195" s="52">
        <f>'DATA ENTRY - REQUEST'!B195</f>
        <v>13</v>
      </c>
      <c r="C195" s="250" t="str">
        <f>Table3[[#This Row],[RIS NO]] &amp; TEXT(Table3[[#This Row],[COUNT (Max10)]], "0;-0")</f>
        <v>2025-01813</v>
      </c>
      <c r="D195" s="245">
        <v>45940</v>
      </c>
      <c r="E195" s="252" t="str">
        <f t="shared" si="21"/>
        <v>PAYMENT SLIP-CONTRIBUTION 1</v>
      </c>
      <c r="F195" s="247">
        <v>1</v>
      </c>
      <c r="G195" s="247" t="str">
        <f t="shared" si="18"/>
        <v>Ream</v>
      </c>
      <c r="H195" s="247">
        <f t="shared" si="19"/>
        <v>2521</v>
      </c>
      <c r="I195" s="247">
        <f t="shared" si="20"/>
        <v>10</v>
      </c>
      <c r="J195" s="247"/>
    </row>
    <row r="196" spans="1:10">
      <c r="A196" s="251" t="str">
        <f>'DATA ENTRY - REQUEST'!A196</f>
        <v>2025-018</v>
      </c>
      <c r="B196" s="52">
        <f>'DATA ENTRY - REQUEST'!B196</f>
        <v>14</v>
      </c>
      <c r="C196" s="250" t="str">
        <f>Table3[[#This Row],[RIS NO]] &amp; TEXT(Table3[[#This Row],[COUNT (Max10)]], "0;-0")</f>
        <v>2025-01814</v>
      </c>
      <c r="D196" s="245">
        <v>45940</v>
      </c>
      <c r="E196" s="252" t="str">
        <f t="shared" si="21"/>
        <v>Staple wire, 5000 pcs</v>
      </c>
      <c r="F196" s="247">
        <v>200</v>
      </c>
      <c r="G196" s="247" t="str">
        <f t="shared" si="18"/>
        <v>Box</v>
      </c>
      <c r="H196" s="247">
        <f t="shared" si="19"/>
        <v>310</v>
      </c>
      <c r="I196" s="247">
        <f t="shared" si="20"/>
        <v>10</v>
      </c>
      <c r="J196" s="247"/>
    </row>
    <row r="197" spans="1:10">
      <c r="A197" s="251" t="str">
        <f>'DATA ENTRY - REQUEST'!A197</f>
        <v>2025-018</v>
      </c>
      <c r="B197" s="52">
        <f>'DATA ENTRY - REQUEST'!B197</f>
        <v>15</v>
      </c>
      <c r="C197" s="250" t="str">
        <f>Table3[[#This Row],[RIS NO]] &amp; TEXT(Table3[[#This Row],[COUNT (Max10)]], "0;-0")</f>
        <v>2025-01815</v>
      </c>
      <c r="D197" s="245">
        <v>45940</v>
      </c>
      <c r="E197" s="252" t="str">
        <f t="shared" si="21"/>
        <v>Binder clip 1”</v>
      </c>
      <c r="F197" s="247">
        <v>20</v>
      </c>
      <c r="G197" s="247" t="str">
        <f t="shared" si="18"/>
        <v>Box</v>
      </c>
      <c r="H197" s="247">
        <f t="shared" si="19"/>
        <v>2550</v>
      </c>
      <c r="I197" s="247">
        <f t="shared" si="20"/>
        <v>10</v>
      </c>
      <c r="J197" s="247"/>
    </row>
    <row r="198" spans="1:10">
      <c r="A198" s="251" t="str">
        <f>'DATA ENTRY - REQUEST'!A198</f>
        <v>2025-018</v>
      </c>
      <c r="B198" s="52">
        <f>'DATA ENTRY - REQUEST'!B198</f>
        <v>16</v>
      </c>
      <c r="C198" s="250" t="str">
        <f>Table3[[#This Row],[RIS NO]] &amp; TEXT(Table3[[#This Row],[COUNT (Max10)]], "0;-0")</f>
        <v>2025-01816</v>
      </c>
      <c r="D198" s="245">
        <v>45940</v>
      </c>
      <c r="E198" s="252" t="str">
        <f t="shared" si="21"/>
        <v>Paper clip, 100 pcs</v>
      </c>
      <c r="F198" s="247" t="s">
        <v>91</v>
      </c>
      <c r="G198" s="247" t="str">
        <f t="shared" si="18"/>
        <v>Box</v>
      </c>
      <c r="H198" s="247">
        <f t="shared" si="19"/>
        <v>306</v>
      </c>
      <c r="I198" s="247">
        <f t="shared" si="20"/>
        <v>10</v>
      </c>
      <c r="J198" s="247"/>
    </row>
    <row r="199" spans="1:10">
      <c r="A199" s="251" t="str">
        <f>'DATA ENTRY - REQUEST'!A199</f>
        <v>2025-019</v>
      </c>
      <c r="B199" s="52">
        <f>'DATA ENTRY - REQUEST'!B199</f>
        <v>1</v>
      </c>
      <c r="C199" s="250" t="str">
        <f>Table3[[#This Row],[RIS NO]] &amp; TEXT(Table3[[#This Row],[COUNT (Max10)]], "0;-0")</f>
        <v>2025-0191</v>
      </c>
      <c r="D199" s="245">
        <v>45940</v>
      </c>
      <c r="E199" s="252" t="str">
        <f t="shared" si="21"/>
        <v>Bond copy paper, A4 size,70gsm 500shts/rm</v>
      </c>
      <c r="F199" s="247">
        <v>5</v>
      </c>
      <c r="G199" s="247" t="str">
        <f t="shared" si="18"/>
        <v>Ream</v>
      </c>
      <c r="H199" s="247">
        <f t="shared" si="19"/>
        <v>2276</v>
      </c>
      <c r="I199" s="247">
        <f t="shared" si="20"/>
        <v>10</v>
      </c>
      <c r="J199" s="247"/>
    </row>
    <row r="200" spans="1:10">
      <c r="A200" s="251" t="str">
        <f>'DATA ENTRY - REQUEST'!A200</f>
        <v>2025-019</v>
      </c>
      <c r="B200" s="52">
        <f>'DATA ENTRY - REQUEST'!B200</f>
        <v>2</v>
      </c>
      <c r="C200" s="250" t="str">
        <f>Table3[[#This Row],[RIS NO]] &amp; TEXT(Table3[[#This Row],[COUNT (Max10)]], "0;-0")</f>
        <v>2025-0192</v>
      </c>
      <c r="D200" s="245">
        <v>45940</v>
      </c>
      <c r="E200" s="252" t="str">
        <f t="shared" si="21"/>
        <v>Bond prem,LEGAL SIZE, 216x330mm,70gsm 500shts/rm</v>
      </c>
      <c r="F200" s="247" t="s">
        <v>91</v>
      </c>
      <c r="G200" s="247" t="str">
        <f t="shared" si="18"/>
        <v>Ream</v>
      </c>
      <c r="H200" s="247">
        <f t="shared" si="19"/>
        <v>2067</v>
      </c>
      <c r="I200" s="247">
        <f t="shared" si="20"/>
        <v>10</v>
      </c>
      <c r="J200" s="247"/>
    </row>
    <row r="201" spans="1:10">
      <c r="A201" s="251" t="str">
        <f>'DATA ENTRY - REQUEST'!A201</f>
        <v>2025-019</v>
      </c>
      <c r="B201" s="52">
        <f>'DATA ENTRY - REQUEST'!B201</f>
        <v>3</v>
      </c>
      <c r="C201" s="250" t="str">
        <f>Table3[[#This Row],[RIS NO]] &amp; TEXT(Table3[[#This Row],[COUNT (Max10)]], "0;-0")</f>
        <v>2025-0193</v>
      </c>
      <c r="D201" s="245">
        <v>45940</v>
      </c>
      <c r="E201" s="252" t="str">
        <f t="shared" si="21"/>
        <v>Staple wire, 5000 pcs</v>
      </c>
      <c r="F201" s="247" t="s">
        <v>91</v>
      </c>
      <c r="G201" s="247" t="str">
        <f t="shared" si="18"/>
        <v>Box</v>
      </c>
      <c r="H201" s="247">
        <f t="shared" si="19"/>
        <v>310</v>
      </c>
      <c r="I201" s="247">
        <f t="shared" si="20"/>
        <v>10</v>
      </c>
      <c r="J201" s="247"/>
    </row>
    <row r="202" spans="1:10">
      <c r="A202" s="251" t="str">
        <f>'DATA ENTRY - REQUEST'!A202</f>
        <v>2025-019</v>
      </c>
      <c r="B202" s="52">
        <f>'DATA ENTRY - REQUEST'!B202</f>
        <v>4</v>
      </c>
      <c r="C202" s="250" t="str">
        <f>Table3[[#This Row],[RIS NO]] &amp; TEXT(Table3[[#This Row],[COUNT (Max10)]], "0;-0")</f>
        <v>2025-0194</v>
      </c>
      <c r="D202" s="245">
        <v>45940</v>
      </c>
      <c r="E202" s="252" t="str">
        <f t="shared" si="21"/>
        <v>Binder clip 1”</v>
      </c>
      <c r="F202" s="247" t="s">
        <v>91</v>
      </c>
      <c r="G202" s="247" t="str">
        <f t="shared" si="18"/>
        <v>Box</v>
      </c>
      <c r="H202" s="247">
        <f t="shared" si="19"/>
        <v>2550</v>
      </c>
      <c r="I202" s="247">
        <f t="shared" si="20"/>
        <v>10</v>
      </c>
      <c r="J202" s="247"/>
    </row>
    <row r="203" spans="1:10">
      <c r="A203" s="251" t="str">
        <f>'DATA ENTRY - REQUEST'!A203</f>
        <v>2025-019</v>
      </c>
      <c r="B203" s="52">
        <f>'DATA ENTRY - REQUEST'!B203</f>
        <v>5</v>
      </c>
      <c r="C203" s="250" t="str">
        <f>Table3[[#This Row],[RIS NO]] &amp; TEXT(Table3[[#This Row],[COUNT (Max10)]], "0;-0")</f>
        <v>2025-0195</v>
      </c>
      <c r="D203" s="245">
        <v>45940</v>
      </c>
      <c r="E203" s="252" t="str">
        <f t="shared" si="21"/>
        <v>Tape - transparent 1</v>
      </c>
      <c r="F203" s="247" t="s">
        <v>91</v>
      </c>
      <c r="G203" s="247" t="str">
        <f t="shared" si="18"/>
        <v>Roll</v>
      </c>
      <c r="H203" s="247">
        <f t="shared" si="19"/>
        <v>301</v>
      </c>
      <c r="I203" s="247">
        <f t="shared" si="20"/>
        <v>10</v>
      </c>
      <c r="J203" s="247"/>
    </row>
    <row r="204" spans="1:10">
      <c r="A204" s="251" t="str">
        <f>'DATA ENTRY - REQUEST'!A204</f>
        <v>2025-019</v>
      </c>
      <c r="B204" s="52">
        <f>'DATA ENTRY - REQUEST'!B204</f>
        <v>6</v>
      </c>
      <c r="C204" s="250" t="str">
        <f>Table3[[#This Row],[RIS NO]] &amp; TEXT(Table3[[#This Row],[COUNT (Max10)]], "0;-0")</f>
        <v>2025-0196</v>
      </c>
      <c r="D204" s="245">
        <v>45959</v>
      </c>
      <c r="E204" s="252" t="str">
        <f t="shared" si="21"/>
        <v>Tape - masking 1</v>
      </c>
      <c r="F204" s="247" t="s">
        <v>92</v>
      </c>
      <c r="G204" s="247" t="str">
        <f t="shared" si="18"/>
        <v>Roll</v>
      </c>
      <c r="H204" s="247">
        <f t="shared" si="19"/>
        <v>300</v>
      </c>
      <c r="I204" s="247">
        <f t="shared" si="20"/>
        <v>10</v>
      </c>
      <c r="J204" s="247"/>
    </row>
    <row r="205" spans="1:10">
      <c r="A205" s="251" t="str">
        <f>'DATA ENTRY - REQUEST'!A205</f>
        <v>2025-019</v>
      </c>
      <c r="B205" s="52">
        <f>'DATA ENTRY - REQUEST'!B205</f>
        <v>7</v>
      </c>
      <c r="C205" s="250" t="str">
        <f>Table3[[#This Row],[RIS NO]] &amp; TEXT(Table3[[#This Row],[COUNT (Max10)]], "0;-0")</f>
        <v>2025-0197</v>
      </c>
      <c r="D205" s="245">
        <v>45959</v>
      </c>
      <c r="E205" s="252" t="str">
        <f t="shared" si="21"/>
        <v>PAYMENT SLIP-CONTRIBUTION 1</v>
      </c>
      <c r="F205" s="247" t="s">
        <v>92</v>
      </c>
      <c r="G205" s="247" t="str">
        <f t="shared" si="18"/>
        <v>Ream</v>
      </c>
      <c r="H205" s="247">
        <f t="shared" si="19"/>
        <v>2521</v>
      </c>
      <c r="I205" s="247">
        <f t="shared" si="20"/>
        <v>10</v>
      </c>
      <c r="J205" s="247"/>
    </row>
    <row r="206" spans="1:10">
      <c r="A206" s="251" t="str">
        <f>'DATA ENTRY - REQUEST'!A206</f>
        <v>2025-019</v>
      </c>
      <c r="B206" s="52">
        <f>'DATA ENTRY - REQUEST'!B206</f>
        <v>8</v>
      </c>
      <c r="C206" s="250" t="str">
        <f>Table3[[#This Row],[RIS NO]] &amp; TEXT(Table3[[#This Row],[COUNT (Max10)]], "0;-0")</f>
        <v>2025-0198</v>
      </c>
      <c r="D206" s="245">
        <v>45959</v>
      </c>
      <c r="E206" s="252" t="str">
        <f t="shared" si="21"/>
        <v>Paste - solid w/ waterwell and applicator</v>
      </c>
      <c r="F206" s="247" t="s">
        <v>91</v>
      </c>
      <c r="G206" s="247" t="str">
        <f t="shared" si="18"/>
        <v>Piece</v>
      </c>
      <c r="H206" s="247">
        <f t="shared" si="19"/>
        <v>336</v>
      </c>
      <c r="I206" s="247">
        <f t="shared" si="20"/>
        <v>10</v>
      </c>
      <c r="J206" s="247"/>
    </row>
    <row r="207" spans="1:10">
      <c r="A207" s="251" t="str">
        <f>'DATA ENTRY - REQUEST'!A207</f>
        <v>2025-019</v>
      </c>
      <c r="B207" s="52">
        <f>'DATA ENTRY - REQUEST'!B207</f>
        <v>9</v>
      </c>
      <c r="C207" s="250" t="str">
        <f>Table3[[#This Row],[RIS NO]] &amp; TEXT(Table3[[#This Row],[COUNT (Max10)]], "0;-0")</f>
        <v>2025-0199</v>
      </c>
      <c r="D207" s="245">
        <v>45959</v>
      </c>
      <c r="E207" s="252" t="str">
        <f t="shared" si="21"/>
        <v xml:space="preserve">ACOP- SURVIVING LEGAL SPOUSE </v>
      </c>
      <c r="F207" s="247" t="s">
        <v>91</v>
      </c>
      <c r="G207" s="247" t="str">
        <f t="shared" si="18"/>
        <v>Ream</v>
      </c>
      <c r="H207" s="247">
        <f t="shared" si="19"/>
        <v>0</v>
      </c>
      <c r="I207" s="247">
        <f>IFERROR(VLOOKUP(D207,YEAR2023,2,0),"-")</f>
        <v>10</v>
      </c>
      <c r="J207" s="247"/>
    </row>
    <row r="208" spans="1:10">
      <c r="A208" s="251" t="str">
        <f>'DATA ENTRY - REQUEST'!A208</f>
        <v>2025-019</v>
      </c>
      <c r="B208" s="52">
        <f>'DATA ENTRY - REQUEST'!B208</f>
        <v>10</v>
      </c>
      <c r="C208" s="250" t="str">
        <f>Table3[[#This Row],[RIS NO]] &amp; TEXT(Table3[[#This Row],[COUNT (Max10)]], "0;-0")</f>
        <v>2025-01910</v>
      </c>
      <c r="D208" s="245">
        <v>45959</v>
      </c>
      <c r="E208" s="252" t="str">
        <f t="shared" si="21"/>
        <v>Envelope - document, 10 x 15</v>
      </c>
      <c r="F208" s="247">
        <v>10</v>
      </c>
      <c r="G208" s="247" t="str">
        <f t="shared" si="18"/>
        <v>C</v>
      </c>
      <c r="H208" s="247">
        <f t="shared" si="19"/>
        <v>46</v>
      </c>
      <c r="I208" s="247">
        <f t="shared" si="20"/>
        <v>10</v>
      </c>
      <c r="J208" s="247"/>
    </row>
    <row r="209" spans="1:10">
      <c r="A209" s="251" t="str">
        <f>'DATA ENTRY - REQUEST'!A209</f>
        <v>2025-019</v>
      </c>
      <c r="B209" s="52">
        <f>'DATA ENTRY - REQUEST'!B209</f>
        <v>11</v>
      </c>
      <c r="C209" s="250" t="str">
        <f>Table3[[#This Row],[RIS NO]] &amp; TEXT(Table3[[#This Row],[COUNT (Max10)]], "0;-0")</f>
        <v>2025-01911</v>
      </c>
      <c r="D209" s="245">
        <v>45959</v>
      </c>
      <c r="E209" s="252" t="str">
        <f t="shared" si="21"/>
        <v>ACOP- RETIREMENT/DISABILITY</v>
      </c>
      <c r="F209" s="247">
        <v>10</v>
      </c>
      <c r="G209" s="247" t="str">
        <f t="shared" si="18"/>
        <v>Ream</v>
      </c>
      <c r="H209" s="247">
        <f t="shared" si="19"/>
        <v>0</v>
      </c>
      <c r="I209" s="247">
        <f t="shared" si="20"/>
        <v>10</v>
      </c>
      <c r="J209" s="247"/>
    </row>
    <row r="210" spans="1:10">
      <c r="A210" s="251" t="str">
        <f>'DATA ENTRY - REQUEST'!A210</f>
        <v>2025-019</v>
      </c>
      <c r="B210" s="52">
        <f>'DATA ENTRY - REQUEST'!B210</f>
        <v>12</v>
      </c>
      <c r="C210" s="250" t="str">
        <f>Table3[[#This Row],[RIS NO]] &amp; TEXT(Table3[[#This Row],[COUNT (Max10)]], "0;-0")</f>
        <v>2025-01912</v>
      </c>
      <c r="D210" s="245">
        <v>45959</v>
      </c>
      <c r="E210" s="252" t="str">
        <f t="shared" si="21"/>
        <v>Ballpoint pen</v>
      </c>
      <c r="F210" s="247">
        <v>3</v>
      </c>
      <c r="G210" s="247" t="str">
        <f t="shared" si="18"/>
        <v>Piece</v>
      </c>
      <c r="H210" s="247">
        <f t="shared" si="19"/>
        <v>337</v>
      </c>
      <c r="I210" s="247">
        <f t="shared" si="20"/>
        <v>10</v>
      </c>
      <c r="J210" s="247"/>
    </row>
    <row r="211" spans="1:10">
      <c r="A211" s="251" t="str">
        <f>'DATA ENTRY - REQUEST'!A211</f>
        <v>2025-019</v>
      </c>
      <c r="B211" s="52">
        <f>'DATA ENTRY - REQUEST'!B211</f>
        <v>13</v>
      </c>
      <c r="C211" s="250" t="str">
        <f>Table3[[#This Row],[RIS NO]] &amp; TEXT(Table3[[#This Row],[COUNT (Max10)]], "0;-0")</f>
        <v>2025-01913</v>
      </c>
      <c r="D211" s="245">
        <v>45959</v>
      </c>
      <c r="E211" s="252" t="str">
        <f t="shared" si="21"/>
        <v>ACOP-  REPRESENTATIVE PAYEE OF DEPENDENT</v>
      </c>
      <c r="F211" s="247" t="s">
        <v>91</v>
      </c>
      <c r="G211" s="247" t="str">
        <f t="shared" si="18"/>
        <v>Ream</v>
      </c>
      <c r="H211" s="247">
        <f t="shared" si="19"/>
        <v>0</v>
      </c>
      <c r="I211" s="247">
        <f t="shared" si="20"/>
        <v>10</v>
      </c>
      <c r="J211" s="247"/>
    </row>
    <row r="212" spans="1:10">
      <c r="A212" s="251" t="str">
        <f>'DATA ENTRY - REQUEST'!A212</f>
        <v>2025-019</v>
      </c>
      <c r="B212" s="52">
        <f>'DATA ENTRY - REQUEST'!B212</f>
        <v>14</v>
      </c>
      <c r="C212" s="250" t="str">
        <f>Table3[[#This Row],[RIS NO]] &amp; TEXT(Table3[[#This Row],[COUNT (Max10)]], "0;-0")</f>
        <v>2025-01914</v>
      </c>
      <c r="D212" s="245">
        <v>45959</v>
      </c>
      <c r="E212" s="252" t="str">
        <f t="shared" si="21"/>
        <v>MEMBER DATA CHANGE REQUEST PAGE 1&amp;2</v>
      </c>
      <c r="F212" s="247" t="s">
        <v>91</v>
      </c>
      <c r="G212" s="247" t="str">
        <f t="shared" si="18"/>
        <v>Ream</v>
      </c>
      <c r="H212" s="247">
        <f t="shared" si="19"/>
        <v>0</v>
      </c>
      <c r="I212" s="247">
        <f t="shared" si="20"/>
        <v>10</v>
      </c>
      <c r="J212" s="247"/>
    </row>
    <row r="213" spans="1:10">
      <c r="A213" s="251" t="str">
        <f>'DATA ENTRY - REQUEST'!A213</f>
        <v>2025-019</v>
      </c>
      <c r="B213" s="52">
        <f>'DATA ENTRY - REQUEST'!B213</f>
        <v>15</v>
      </c>
      <c r="C213" s="250" t="str">
        <f>Table3[[#This Row],[RIS NO]] &amp; TEXT(Table3[[#This Row],[COUNT (Max10)]], "0;-0")</f>
        <v>2025-01915</v>
      </c>
      <c r="D213" s="245">
        <v>45959</v>
      </c>
      <c r="E213" s="252" t="str">
        <f t="shared" si="21"/>
        <v>MEMBER'S/CLAIMANT'S PHOTO SIGNATURE CARD</v>
      </c>
      <c r="F213" s="247">
        <v>1</v>
      </c>
      <c r="G213" s="247" t="str">
        <f t="shared" si="18"/>
        <v>Ream</v>
      </c>
      <c r="H213" s="247">
        <f t="shared" si="19"/>
        <v>1976</v>
      </c>
      <c r="I213" s="247">
        <f t="shared" si="20"/>
        <v>10</v>
      </c>
      <c r="J213" s="247"/>
    </row>
    <row r="214" spans="1:10">
      <c r="A214" s="251" t="str">
        <f>'DATA ENTRY - REQUEST'!A214</f>
        <v>2025-019</v>
      </c>
      <c r="B214" s="52">
        <f>'DATA ENTRY - REQUEST'!B214</f>
        <v>16</v>
      </c>
      <c r="C214" s="250" t="str">
        <f>Table3[[#This Row],[RIS NO]] &amp; TEXT(Table3[[#This Row],[COUNT (Max10)]], "0;-0")</f>
        <v>2025-01916</v>
      </c>
      <c r="D214" s="245">
        <v>45959</v>
      </c>
      <c r="E214" s="252" t="str">
        <f t="shared" si="21"/>
        <v>Ribbon – ERC-31 for TMU-950 (epson)</v>
      </c>
      <c r="F214" s="247">
        <v>2</v>
      </c>
      <c r="G214" s="247" t="str">
        <f t="shared" si="18"/>
        <v>Piece</v>
      </c>
      <c r="H214" s="247">
        <f t="shared" si="19"/>
        <v>137</v>
      </c>
      <c r="I214" s="247">
        <f t="shared" si="20"/>
        <v>10</v>
      </c>
      <c r="J214" s="247"/>
    </row>
    <row r="215" spans="1:10">
      <c r="A215" s="251" t="str">
        <f>'DATA ENTRY - REQUEST'!A215</f>
        <v>2025-019</v>
      </c>
      <c r="B215" s="52">
        <f>'DATA ENTRY - REQUEST'!B215</f>
        <v>17</v>
      </c>
      <c r="C215" s="250" t="str">
        <f>Table3[[#This Row],[RIS NO]] &amp; TEXT(Table3[[#This Row],[COUNT (Max10)]], "0;-0")</f>
        <v>2025-01917</v>
      </c>
      <c r="D215" s="245">
        <v>45959</v>
      </c>
      <c r="E215" s="252" t="str">
        <f t="shared" si="21"/>
        <v>Folder - legal size, 36mm thick (14pts)</v>
      </c>
      <c r="F215" s="247">
        <v>100</v>
      </c>
      <c r="G215" s="247" t="str">
        <f t="shared" si="18"/>
        <v>C</v>
      </c>
      <c r="H215" s="247">
        <f t="shared" si="19"/>
        <v>330</v>
      </c>
      <c r="I215" s="247">
        <f t="shared" si="20"/>
        <v>10</v>
      </c>
      <c r="J215" s="247"/>
    </row>
    <row r="216" spans="1:10">
      <c r="A216" s="251" t="str">
        <f>'DATA ENTRY - REQUEST'!A216</f>
        <v>2025-019</v>
      </c>
      <c r="B216" s="52">
        <f>'DATA ENTRY - REQUEST'!B216</f>
        <v>18</v>
      </c>
      <c r="C216" s="250" t="str">
        <f>Table3[[#This Row],[RIS NO]] &amp; TEXT(Table3[[#This Row],[COUNT (Max10)]], "0;-0")</f>
        <v>2025-01918</v>
      </c>
      <c r="D216" s="245">
        <v>45959</v>
      </c>
      <c r="E216" s="252" t="str">
        <f t="shared" si="21"/>
        <v xml:space="preserve">Cerfificate of registration - employer </v>
      </c>
      <c r="F216" s="247" t="s">
        <v>91</v>
      </c>
      <c r="G216" s="247" t="str">
        <f t="shared" si="18"/>
        <v>-</v>
      </c>
      <c r="H216" s="247" t="str">
        <f t="shared" si="19"/>
        <v>-</v>
      </c>
      <c r="I216" s="247">
        <f t="shared" si="20"/>
        <v>10</v>
      </c>
      <c r="J216" s="247"/>
    </row>
    <row r="217" spans="1:10">
      <c r="A217" s="251" t="str">
        <f>'DATA ENTRY - REQUEST'!A217</f>
        <v>2025-020</v>
      </c>
      <c r="B217" s="52">
        <f>'DATA ENTRY - REQUEST'!B217</f>
        <v>1</v>
      </c>
      <c r="C217" s="250" t="str">
        <f>Table3[[#This Row],[RIS NO]] &amp; TEXT(Table3[[#This Row],[COUNT (Max10)]], "0;-0")</f>
        <v>2025-0201</v>
      </c>
      <c r="D217" s="245">
        <v>45959</v>
      </c>
      <c r="E217" s="252" t="str">
        <f t="shared" si="21"/>
        <v>Alcohol, ethyl, 68%-72% (500ml)</v>
      </c>
      <c r="F217" s="247">
        <v>5</v>
      </c>
      <c r="G217" s="247" t="str">
        <f t="shared" si="18"/>
        <v>Bottle</v>
      </c>
      <c r="H217" s="247">
        <f t="shared" si="19"/>
        <v>2618</v>
      </c>
      <c r="I217" s="247">
        <f t="shared" si="20"/>
        <v>10</v>
      </c>
      <c r="J217" s="247"/>
    </row>
    <row r="218" spans="1:10">
      <c r="A218" s="251" t="str">
        <f>'DATA ENTRY - REQUEST'!A219</f>
        <v>2025-021</v>
      </c>
      <c r="B218" s="52">
        <f>'DATA ENTRY - REQUEST'!B218</f>
        <v>1</v>
      </c>
      <c r="C218" s="250" t="str">
        <f>Table3[[#This Row],[RIS NO]] &amp; TEXT(Table3[[#This Row],[COUNT (Max10)]], "0;-0")</f>
        <v>2025-0211</v>
      </c>
      <c r="D218" s="245">
        <v>45959</v>
      </c>
      <c r="E218" s="252" t="str">
        <f t="shared" si="21"/>
        <v>Bond copy paper, A4 size,70gsm 500shts/rm</v>
      </c>
      <c r="F218" s="247" t="s">
        <v>93</v>
      </c>
      <c r="G218" s="247" t="str">
        <f t="shared" si="18"/>
        <v>Ream</v>
      </c>
      <c r="H218" s="247">
        <f t="shared" si="19"/>
        <v>2276</v>
      </c>
      <c r="I218" s="247">
        <f t="shared" si="20"/>
        <v>10</v>
      </c>
      <c r="J218" s="247"/>
    </row>
    <row r="219" spans="1:10">
      <c r="A219" s="251" t="str">
        <f>'DATA ENTRY - REQUEST'!A219</f>
        <v>2025-021</v>
      </c>
      <c r="B219" s="52">
        <f>'DATA ENTRY - REQUEST'!B219</f>
        <v>2</v>
      </c>
      <c r="C219" s="250" t="str">
        <f>Table3[[#This Row],[RIS NO]] &amp; TEXT(Table3[[#This Row],[COUNT (Max10)]], "0;-0")</f>
        <v>2025-0212</v>
      </c>
      <c r="D219" s="245">
        <v>45959</v>
      </c>
      <c r="E219" s="252" t="str">
        <f t="shared" si="21"/>
        <v>Bond prem,LEGAL SIZE, 216x330mm,70gsm 500shts/rm</v>
      </c>
      <c r="F219" s="247" t="s">
        <v>93</v>
      </c>
      <c r="G219" s="247" t="str">
        <f t="shared" si="18"/>
        <v>Ream</v>
      </c>
      <c r="H219" s="247">
        <f t="shared" si="19"/>
        <v>2067</v>
      </c>
      <c r="I219" s="247">
        <f t="shared" si="20"/>
        <v>10</v>
      </c>
      <c r="J219" s="247"/>
    </row>
    <row r="220" spans="1:10">
      <c r="A220" s="251" t="str">
        <f>'DATA ENTRY - REQUEST'!A220</f>
        <v>2025-021</v>
      </c>
      <c r="B220" s="52">
        <f>'DATA ENTRY - REQUEST'!B220</f>
        <v>3</v>
      </c>
      <c r="C220" s="250" t="str">
        <f>Table3[[#This Row],[RIS NO]] &amp; TEXT(Table3[[#This Row],[COUNT (Max10)]], "0;-0")</f>
        <v>2025-0213</v>
      </c>
      <c r="D220" s="245">
        <v>45959</v>
      </c>
      <c r="E220" s="252" t="str">
        <f t="shared" si="21"/>
        <v>Staple wire, 5000 pcs</v>
      </c>
      <c r="F220" s="247">
        <v>100</v>
      </c>
      <c r="G220" s="247" t="str">
        <f t="shared" si="18"/>
        <v>Box</v>
      </c>
      <c r="H220" s="247">
        <f t="shared" si="19"/>
        <v>310</v>
      </c>
      <c r="I220" s="247">
        <f t="shared" si="20"/>
        <v>10</v>
      </c>
      <c r="J220" s="247"/>
    </row>
    <row r="221" spans="1:10">
      <c r="A221" s="251" t="str">
        <f>'DATA ENTRY - REQUEST'!A221</f>
        <v>2025-021</v>
      </c>
      <c r="B221" s="52">
        <f>'DATA ENTRY - REQUEST'!B221</f>
        <v>4</v>
      </c>
      <c r="C221" s="250" t="str">
        <f>Table3[[#This Row],[RIS NO]] &amp; TEXT(Table3[[#This Row],[COUNT (Max10)]], "0;-0")</f>
        <v>2025-0214</v>
      </c>
      <c r="D221" s="245">
        <v>45959</v>
      </c>
      <c r="E221" s="252" t="str">
        <f t="shared" si="21"/>
        <v>Binder clip 1”</v>
      </c>
      <c r="F221" s="247">
        <v>50</v>
      </c>
      <c r="G221" s="247" t="str">
        <f t="shared" si="18"/>
        <v>Box</v>
      </c>
      <c r="H221" s="247">
        <f t="shared" si="19"/>
        <v>2550</v>
      </c>
      <c r="I221" s="247">
        <f t="shared" si="20"/>
        <v>10</v>
      </c>
      <c r="J221" s="247"/>
    </row>
    <row r="222" spans="1:10">
      <c r="A222" s="251" t="str">
        <f>'DATA ENTRY - REQUEST'!A222</f>
        <v>2025-021</v>
      </c>
      <c r="B222" s="52">
        <f>'DATA ENTRY - REQUEST'!B222</f>
        <v>5</v>
      </c>
      <c r="C222" s="250" t="str">
        <f>Table3[[#This Row],[RIS NO]] &amp; TEXT(Table3[[#This Row],[COUNT (Max10)]], "0;-0")</f>
        <v>2025-0215</v>
      </c>
      <c r="D222" s="245">
        <v>45959</v>
      </c>
      <c r="E222" s="252" t="str">
        <f t="shared" si="21"/>
        <v>Tape - transparent 1</v>
      </c>
      <c r="F222" s="247" t="s">
        <v>91</v>
      </c>
      <c r="G222" s="247" t="str">
        <f t="shared" si="18"/>
        <v>Roll</v>
      </c>
      <c r="H222" s="247">
        <f t="shared" si="19"/>
        <v>301</v>
      </c>
      <c r="I222" s="247">
        <f t="shared" si="20"/>
        <v>10</v>
      </c>
      <c r="J222" s="247"/>
    </row>
    <row r="223" spans="1:10">
      <c r="A223" s="251" t="str">
        <f>'DATA ENTRY - REQUEST'!A223</f>
        <v>2025-021</v>
      </c>
      <c r="B223" s="52">
        <f>'DATA ENTRY - REQUEST'!B223</f>
        <v>6</v>
      </c>
      <c r="C223" s="250" t="str">
        <f>Table3[[#This Row],[RIS NO]] &amp; TEXT(Table3[[#This Row],[COUNT (Max10)]], "0;-0")</f>
        <v>2025-0216</v>
      </c>
      <c r="D223" s="245">
        <v>45959</v>
      </c>
      <c r="E223" s="252" t="str">
        <f t="shared" si="21"/>
        <v>Tape - masking 1</v>
      </c>
      <c r="F223" s="247">
        <v>5</v>
      </c>
      <c r="G223" s="247" t="str">
        <f t="shared" si="18"/>
        <v>Roll</v>
      </c>
      <c r="H223" s="247">
        <f t="shared" si="19"/>
        <v>300</v>
      </c>
      <c r="I223" s="247">
        <f t="shared" si="20"/>
        <v>10</v>
      </c>
      <c r="J223" s="247"/>
    </row>
    <row r="224" spans="1:10">
      <c r="A224" s="251" t="str">
        <f>'DATA ENTRY - REQUEST'!A224</f>
        <v>2025-021</v>
      </c>
      <c r="B224" s="52">
        <f>'DATA ENTRY - REQUEST'!B224</f>
        <v>7</v>
      </c>
      <c r="C224" s="250" t="str">
        <f>Table3[[#This Row],[RIS NO]] &amp; TEXT(Table3[[#This Row],[COUNT (Max10)]], "0;-0")</f>
        <v>2025-0217</v>
      </c>
      <c r="D224" s="245">
        <v>45959</v>
      </c>
      <c r="E224" s="252" t="str">
        <f t="shared" si="21"/>
        <v>PAYMENT SLIP-CONTRIBUTION 1</v>
      </c>
      <c r="F224" s="247" t="s">
        <v>91</v>
      </c>
      <c r="G224" s="247" t="str">
        <f t="shared" si="18"/>
        <v>Ream</v>
      </c>
      <c r="H224" s="247">
        <f t="shared" si="19"/>
        <v>2521</v>
      </c>
      <c r="I224" s="247">
        <f t="shared" si="20"/>
        <v>10</v>
      </c>
      <c r="J224" s="247"/>
    </row>
    <row r="225" spans="1:10">
      <c r="A225" s="251" t="str">
        <f>'DATA ENTRY - REQUEST'!A225</f>
        <v>2025-021</v>
      </c>
      <c r="B225" s="52">
        <f>'DATA ENTRY - REQUEST'!B225</f>
        <v>8</v>
      </c>
      <c r="C225" s="250" t="str">
        <f>Table3[[#This Row],[RIS NO]] &amp; TEXT(Table3[[#This Row],[COUNT (Max10)]], "0;-0")</f>
        <v>2025-0218</v>
      </c>
      <c r="D225" s="245">
        <v>45959</v>
      </c>
      <c r="E225" s="252" t="str">
        <f t="shared" si="21"/>
        <v>Paste - solid w/ waterwell and applicator</v>
      </c>
      <c r="F225" s="247" t="s">
        <v>91</v>
      </c>
      <c r="G225" s="247" t="str">
        <f t="shared" si="18"/>
        <v>Piece</v>
      </c>
      <c r="H225" s="247">
        <f t="shared" si="19"/>
        <v>336</v>
      </c>
      <c r="I225" s="247">
        <f t="shared" si="20"/>
        <v>10</v>
      </c>
      <c r="J225" s="247"/>
    </row>
    <row r="226" spans="1:10">
      <c r="A226" s="251" t="str">
        <f>'DATA ENTRY - REQUEST'!A226</f>
        <v>2025-021</v>
      </c>
      <c r="B226" s="52">
        <f>'DATA ENTRY - REQUEST'!B226</f>
        <v>9</v>
      </c>
      <c r="C226" s="250" t="str">
        <f>Table3[[#This Row],[RIS NO]] &amp; TEXT(Table3[[#This Row],[COUNT (Max10)]], "0;-0")</f>
        <v>2025-0219</v>
      </c>
      <c r="D226" s="245">
        <v>45959</v>
      </c>
      <c r="E226" s="252" t="str">
        <f t="shared" si="21"/>
        <v xml:space="preserve">ACOP- SURVIVING LEGAL SPOUSE </v>
      </c>
      <c r="F226" s="247" t="s">
        <v>91</v>
      </c>
      <c r="G226" s="247" t="str">
        <f t="shared" ref="G226:G239" si="22">IFERROR(VLOOKUP(E226,SUPPLY2,3,0),"-")</f>
        <v>Ream</v>
      </c>
      <c r="H226" s="247">
        <f t="shared" ref="H226:H239" si="23">IFERROR(VLOOKUP(E226,SUPPLY2,4,0),"-")</f>
        <v>0</v>
      </c>
      <c r="I226" s="247">
        <f t="shared" ref="I226:I239" si="24">IFERROR(VLOOKUP(D226,YEAR2023,2,0),"-")</f>
        <v>10</v>
      </c>
      <c r="J226" s="247"/>
    </row>
    <row r="227" spans="1:10">
      <c r="A227" s="251" t="str">
        <f>'DATA ENTRY - REQUEST'!A227</f>
        <v>2025-021</v>
      </c>
      <c r="B227" s="52">
        <f>'DATA ENTRY - REQUEST'!B227</f>
        <v>10</v>
      </c>
      <c r="C227" s="250" t="str">
        <f>Table3[[#This Row],[RIS NO]] &amp; TEXT(Table3[[#This Row],[COUNT (Max10)]], "0;-0")</f>
        <v>2025-02110</v>
      </c>
      <c r="D227" s="245">
        <v>45959</v>
      </c>
      <c r="E227" s="252" t="str">
        <f t="shared" si="21"/>
        <v>Envelope - document, 10 x 15</v>
      </c>
      <c r="F227" s="247">
        <v>1</v>
      </c>
      <c r="G227" s="247" t="str">
        <f t="shared" si="22"/>
        <v>C</v>
      </c>
      <c r="H227" s="247">
        <f t="shared" si="23"/>
        <v>46</v>
      </c>
      <c r="I227" s="247">
        <f t="shared" si="24"/>
        <v>10</v>
      </c>
      <c r="J227" s="247"/>
    </row>
    <row r="228" spans="1:10">
      <c r="A228" s="251" t="str">
        <f>'DATA ENTRY - REQUEST'!A228</f>
        <v>2025-021</v>
      </c>
      <c r="B228" s="52">
        <f>'DATA ENTRY - REQUEST'!B228</f>
        <v>11</v>
      </c>
      <c r="C228" s="250" t="str">
        <f>Table3[[#This Row],[RIS NO]] &amp; TEXT(Table3[[#This Row],[COUNT (Max10)]], "0;-0")</f>
        <v>2025-02111</v>
      </c>
      <c r="D228" s="245">
        <v>45959</v>
      </c>
      <c r="E228" s="252" t="str">
        <f t="shared" si="21"/>
        <v>ACOP- RETIREMENT/DISABILITY</v>
      </c>
      <c r="F228" s="247">
        <v>2</v>
      </c>
      <c r="G228" s="247" t="str">
        <f t="shared" si="22"/>
        <v>Ream</v>
      </c>
      <c r="H228" s="247">
        <f t="shared" si="23"/>
        <v>0</v>
      </c>
      <c r="I228" s="247">
        <f t="shared" si="24"/>
        <v>10</v>
      </c>
      <c r="J228" s="247"/>
    </row>
    <row r="229" spans="1:10">
      <c r="A229" s="251" t="str">
        <f>'DATA ENTRY - REQUEST'!A229</f>
        <v>2025-021</v>
      </c>
      <c r="B229" s="52">
        <f>'DATA ENTRY - REQUEST'!B229</f>
        <v>12</v>
      </c>
      <c r="C229" s="250" t="str">
        <f>Table3[[#This Row],[RIS NO]] &amp; TEXT(Table3[[#This Row],[COUNT (Max10)]], "0;-0")</f>
        <v>2025-02112</v>
      </c>
      <c r="D229" s="245">
        <v>45959</v>
      </c>
      <c r="E229" s="252" t="str">
        <f t="shared" si="21"/>
        <v>Ballpoint pen</v>
      </c>
      <c r="F229" s="247">
        <v>100</v>
      </c>
      <c r="G229" s="247" t="str">
        <f t="shared" si="22"/>
        <v>Piece</v>
      </c>
      <c r="H229" s="247">
        <f t="shared" si="23"/>
        <v>337</v>
      </c>
      <c r="I229" s="247">
        <f t="shared" si="24"/>
        <v>10</v>
      </c>
      <c r="J229" s="247"/>
    </row>
    <row r="230" spans="1:10">
      <c r="A230" s="251" t="str">
        <f>'DATA ENTRY - REQUEST'!A230</f>
        <v>2025-021</v>
      </c>
      <c r="B230" s="52">
        <f>'DATA ENTRY - REQUEST'!B230</f>
        <v>13</v>
      </c>
      <c r="C230" s="250" t="str">
        <f>Table3[[#This Row],[RIS NO]] &amp; TEXT(Table3[[#This Row],[COUNT (Max10)]], "0;-0")</f>
        <v>2025-02113</v>
      </c>
      <c r="D230" s="245">
        <v>45959</v>
      </c>
      <c r="E230" s="252" t="str">
        <f t="shared" si="21"/>
        <v>ACOP-  REPRESENTATIVE PAYEE OF DEPENDENT</v>
      </c>
      <c r="F230" s="247">
        <v>50</v>
      </c>
      <c r="G230" s="247" t="str">
        <f t="shared" si="22"/>
        <v>Ream</v>
      </c>
      <c r="H230" s="247">
        <f t="shared" si="23"/>
        <v>0</v>
      </c>
      <c r="I230" s="247">
        <f t="shared" si="24"/>
        <v>10</v>
      </c>
      <c r="J230" s="247"/>
    </row>
    <row r="231" spans="1:10">
      <c r="A231" s="251" t="str">
        <f>'DATA ENTRY - REQUEST'!A231</f>
        <v>2025-021</v>
      </c>
      <c r="B231" s="52">
        <f>'DATA ENTRY - REQUEST'!B231</f>
        <v>14</v>
      </c>
      <c r="C231" s="250" t="str">
        <f>Table3[[#This Row],[RIS NO]] &amp; TEXT(Table3[[#This Row],[COUNT (Max10)]], "0;-0")</f>
        <v>2025-02114</v>
      </c>
      <c r="D231" s="245">
        <v>45959</v>
      </c>
      <c r="E231" s="252" t="str">
        <f t="shared" si="21"/>
        <v>MEMBER DATA CHANGE REQUEST PAGE 1&amp;2</v>
      </c>
      <c r="F231" s="247" t="s">
        <v>91</v>
      </c>
      <c r="G231" s="247" t="str">
        <f t="shared" si="22"/>
        <v>Ream</v>
      </c>
      <c r="H231" s="247">
        <f t="shared" si="23"/>
        <v>0</v>
      </c>
      <c r="I231" s="247">
        <f t="shared" si="24"/>
        <v>10</v>
      </c>
      <c r="J231" s="247"/>
    </row>
    <row r="232" spans="1:10">
      <c r="A232" s="251" t="str">
        <f>'DATA ENTRY - REQUEST'!A232</f>
        <v>2025-021</v>
      </c>
      <c r="B232" s="52">
        <f>'DATA ENTRY - REQUEST'!B232</f>
        <v>15</v>
      </c>
      <c r="C232" s="250" t="str">
        <f>Table3[[#This Row],[RIS NO]] &amp; TEXT(Table3[[#This Row],[COUNT (Max10)]], "0;-0")</f>
        <v>2025-02115</v>
      </c>
      <c r="D232" s="245">
        <v>45959</v>
      </c>
      <c r="E232" s="252" t="str">
        <f t="shared" si="21"/>
        <v>MEMBER'S/CLAIMANT'S PHOTO SIGNATURE CARD</v>
      </c>
      <c r="F232" s="247">
        <v>5</v>
      </c>
      <c r="G232" s="247" t="str">
        <f t="shared" si="22"/>
        <v>Ream</v>
      </c>
      <c r="H232" s="247">
        <f t="shared" si="23"/>
        <v>1976</v>
      </c>
      <c r="I232" s="247">
        <f t="shared" si="24"/>
        <v>10</v>
      </c>
      <c r="J232" s="247"/>
    </row>
    <row r="233" spans="1:10">
      <c r="A233" s="251" t="str">
        <f>'DATA ENTRY - REQUEST'!A233</f>
        <v>2025-021</v>
      </c>
      <c r="B233" s="52">
        <f>'DATA ENTRY - REQUEST'!B233</f>
        <v>16</v>
      </c>
      <c r="C233" s="250" t="str">
        <f>Table3[[#This Row],[RIS NO]] &amp; TEXT(Table3[[#This Row],[COUNT (Max10)]], "0;-0")</f>
        <v>2025-02116</v>
      </c>
      <c r="D233" s="245">
        <v>45959</v>
      </c>
      <c r="E233" s="252" t="str">
        <f t="shared" si="21"/>
        <v>Ribbon – ERC-31 for TMU-950 (epson)</v>
      </c>
      <c r="F233" s="247">
        <v>2</v>
      </c>
      <c r="G233" s="247" t="str">
        <f t="shared" si="22"/>
        <v>Piece</v>
      </c>
      <c r="H233" s="247">
        <f t="shared" si="23"/>
        <v>137</v>
      </c>
      <c r="I233" s="247">
        <f t="shared" si="24"/>
        <v>10</v>
      </c>
      <c r="J233" s="247"/>
    </row>
    <row r="234" spans="1:10">
      <c r="A234" s="251" t="str">
        <f>'DATA ENTRY - REQUEST'!A234</f>
        <v>2025-021</v>
      </c>
      <c r="B234" s="52">
        <f>'DATA ENTRY - REQUEST'!B234</f>
        <v>17</v>
      </c>
      <c r="C234" s="250" t="str">
        <f>Table3[[#This Row],[RIS NO]] &amp; TEXT(Table3[[#This Row],[COUNT (Max10)]], "0;-0")</f>
        <v>2025-02117</v>
      </c>
      <c r="D234" s="245">
        <v>45959</v>
      </c>
      <c r="E234" s="252" t="str">
        <f t="shared" si="21"/>
        <v>Folder - legal size, 36mm thick (14pts)</v>
      </c>
      <c r="F234" s="247">
        <v>1</v>
      </c>
      <c r="G234" s="247" t="str">
        <f t="shared" si="22"/>
        <v>C</v>
      </c>
      <c r="H234" s="247">
        <f t="shared" si="23"/>
        <v>330</v>
      </c>
      <c r="I234" s="247">
        <f t="shared" si="24"/>
        <v>10</v>
      </c>
      <c r="J234" s="247"/>
    </row>
    <row r="235" spans="1:10">
      <c r="A235" s="251" t="str">
        <f>'DATA ENTRY - REQUEST'!A235</f>
        <v>2025-021</v>
      </c>
      <c r="B235" s="52">
        <f>'DATA ENTRY - REQUEST'!B235</f>
        <v>18</v>
      </c>
      <c r="C235" s="250" t="str">
        <f>Table3[[#This Row],[RIS NO]] &amp; TEXT(Table3[[#This Row],[COUNT (Max10)]], "0;-0")</f>
        <v>2025-02118</v>
      </c>
      <c r="D235" s="245">
        <v>45959</v>
      </c>
      <c r="E235" s="252" t="str">
        <f t="shared" si="21"/>
        <v xml:space="preserve">Cerfificate of registration - employer </v>
      </c>
      <c r="F235" s="247">
        <v>100</v>
      </c>
      <c r="G235" s="247" t="str">
        <f t="shared" si="22"/>
        <v>-</v>
      </c>
      <c r="H235" s="247" t="str">
        <f t="shared" si="23"/>
        <v>-</v>
      </c>
      <c r="I235" s="247">
        <f t="shared" si="24"/>
        <v>10</v>
      </c>
      <c r="J235" s="247"/>
    </row>
    <row r="236" spans="1:10">
      <c r="A236" s="251" t="str">
        <f>'DATA ENTRY - REQUEST'!A236</f>
        <v>2025-021</v>
      </c>
      <c r="B236" s="52">
        <f>'DATA ENTRY - REQUEST'!B236</f>
        <v>19</v>
      </c>
      <c r="C236" s="250" t="str">
        <f>Table3[[#This Row],[RIS NO]] &amp; TEXT(Table3[[#This Row],[COUNT (Max10)]], "0;-0")</f>
        <v>2025-02119</v>
      </c>
      <c r="D236" s="245">
        <v>45959</v>
      </c>
      <c r="E236" s="252" t="str">
        <f t="shared" si="21"/>
        <v>Alcohol, ethyl, 68%-72% (500ml)</v>
      </c>
      <c r="F236" s="247">
        <v>50</v>
      </c>
      <c r="G236" s="247" t="str">
        <f t="shared" si="22"/>
        <v>Bottle</v>
      </c>
      <c r="H236" s="247">
        <f t="shared" si="23"/>
        <v>2618</v>
      </c>
      <c r="I236" s="247">
        <f t="shared" si="24"/>
        <v>10</v>
      </c>
      <c r="J236" s="247"/>
    </row>
    <row r="237" spans="1:10">
      <c r="A237" s="251" t="str">
        <f>'DATA ENTRY - REQUEST'!A237</f>
        <v>2025-021</v>
      </c>
      <c r="B237" s="52">
        <f>'DATA ENTRY - REQUEST'!B237</f>
        <v>20</v>
      </c>
      <c r="C237" s="250" t="str">
        <f>Table3[[#This Row],[RIS NO]] &amp; TEXT(Table3[[#This Row],[COUNT (Max10)]], "0;-0")</f>
        <v>2025-02120</v>
      </c>
      <c r="D237" s="245">
        <v>45959</v>
      </c>
      <c r="E237" s="252" t="str">
        <f t="shared" si="21"/>
        <v>Paper clip big</v>
      </c>
      <c r="F237" s="247" t="s">
        <v>91</v>
      </c>
      <c r="G237" s="247" t="str">
        <f t="shared" si="22"/>
        <v>Box</v>
      </c>
      <c r="H237" s="247">
        <f t="shared" si="23"/>
        <v>2538</v>
      </c>
      <c r="I237" s="247">
        <f t="shared" si="24"/>
        <v>10</v>
      </c>
      <c r="J237" s="247"/>
    </row>
    <row r="238" spans="1:10">
      <c r="A238" s="251" t="str">
        <f>'DATA ENTRY - REQUEST'!A238</f>
        <v>2025-021</v>
      </c>
      <c r="B238" s="52">
        <f>'DATA ENTRY - REQUEST'!B238</f>
        <v>21</v>
      </c>
      <c r="C238" s="250" t="str">
        <f>Table3[[#This Row],[RIS NO]] &amp; TEXT(Table3[[#This Row],[COUNT (Max10)]], "0;-0")</f>
        <v>2025-02121</v>
      </c>
      <c r="D238" s="245">
        <v>45959</v>
      </c>
      <c r="E238" s="252" t="str">
        <f t="shared" si="21"/>
        <v>Paper clip, 100 pcs</v>
      </c>
      <c r="F238" s="247">
        <v>5</v>
      </c>
      <c r="G238" s="247" t="str">
        <f t="shared" si="22"/>
        <v>Box</v>
      </c>
      <c r="H238" s="247">
        <f t="shared" si="23"/>
        <v>306</v>
      </c>
      <c r="I238" s="247">
        <f t="shared" si="24"/>
        <v>10</v>
      </c>
      <c r="J238" s="247"/>
    </row>
    <row r="239" spans="1:10">
      <c r="A239" s="251" t="str">
        <f>'DATA ENTRY - REQUEST'!A239</f>
        <v>2025-021</v>
      </c>
      <c r="B239" s="52">
        <f>'DATA ENTRY - REQUEST'!B239</f>
        <v>22</v>
      </c>
      <c r="C239" s="250" t="str">
        <f>Table3[[#This Row],[RIS NO]] &amp; TEXT(Table3[[#This Row],[COUNT (Max10)]], "0;-0")</f>
        <v>2025-02122</v>
      </c>
      <c r="D239" s="245">
        <v>45959</v>
      </c>
      <c r="E239" s="252" t="str">
        <f t="shared" si="21"/>
        <v>Correction tape</v>
      </c>
      <c r="F239" s="247" t="s">
        <v>91</v>
      </c>
      <c r="G239" s="247" t="str">
        <f t="shared" si="22"/>
        <v>Piece</v>
      </c>
      <c r="H239" s="247">
        <f t="shared" si="23"/>
        <v>1960</v>
      </c>
      <c r="I239" s="247">
        <f t="shared" si="24"/>
        <v>10</v>
      </c>
      <c r="J239" s="247"/>
    </row>
    <row r="240" spans="1:10">
      <c r="A240" s="251" t="str">
        <f>'DATA ENTRY - REQUEST'!A240</f>
        <v>2025-021</v>
      </c>
      <c r="B240" s="52">
        <f>'DATA ENTRY - REQUEST'!B240</f>
        <v>23</v>
      </c>
      <c r="C240" s="250" t="str">
        <f>Table3[[#This Row],[RIS NO]] &amp; TEXT(Table3[[#This Row],[COUNT (Max10)]], "0;-0")</f>
        <v>2025-02123</v>
      </c>
      <c r="D240" s="245">
        <v>45959</v>
      </c>
      <c r="E240" s="252" t="str">
        <f t="shared" si="21"/>
        <v>Paste - solid w/ waterwell and applicator</v>
      </c>
      <c r="F240" s="247" t="s">
        <v>91</v>
      </c>
      <c r="G240" s="247" t="str">
        <f>IFERROR(VLOOKUP(E240,SUPPLY2,3,0),"-")</f>
        <v>Piece</v>
      </c>
      <c r="H240" s="247">
        <f>IFERROR(VLOOKUP(E240,SUPPLY2,4,0),"-")</f>
        <v>336</v>
      </c>
      <c r="I240" s="247">
        <f>IFERROR(VLOOKUP(D240,YEAR2023,2,0),"-")</f>
        <v>10</v>
      </c>
      <c r="J240" s="247"/>
    </row>
    <row r="241" spans="1:10">
      <c r="A241" s="251" t="str">
        <f>'DATA ENTRY - REQUEST'!A241</f>
        <v>2025-021</v>
      </c>
      <c r="B241" s="52">
        <f>'DATA ENTRY - REQUEST'!B241</f>
        <v>24</v>
      </c>
      <c r="C241" s="250" t="str">
        <f>Table3[[#This Row],[RIS NO]] &amp; TEXT(Table3[[#This Row],[COUNT (Max10)]], "0;-0")</f>
        <v>2025-02124</v>
      </c>
      <c r="D241" s="245">
        <v>45959</v>
      </c>
      <c r="E241" s="252" t="str">
        <f t="shared" si="21"/>
        <v>Binder clip 3/4”</v>
      </c>
      <c r="F241" s="247" t="s">
        <v>91</v>
      </c>
      <c r="G241" s="247" t="str">
        <f>IFERROR(VLOOKUP(E241,SUPPLY2,3,0),"-")</f>
        <v>Box</v>
      </c>
      <c r="H241" s="247">
        <f>IFERROR(VLOOKUP(E241,SUPPLY2,4,0),"-")</f>
        <v>2546</v>
      </c>
      <c r="I241" s="247">
        <f>IFERROR(VLOOKUP(D241,YEAR2023,2,0),"-")</f>
        <v>10</v>
      </c>
      <c r="J241" s="247"/>
    </row>
    <row r="242" spans="1:10">
      <c r="A242" s="251" t="str">
        <f>'DATA ENTRY - REQUEST'!A242</f>
        <v>2025-021</v>
      </c>
      <c r="B242" s="52">
        <f>'DATA ENTRY - REQUEST'!B242</f>
        <v>25</v>
      </c>
      <c r="C242" s="250" t="str">
        <f>Table3[[#This Row],[RIS NO]] &amp; TEXT(Table3[[#This Row],[COUNT (Max10)]], "0;-0")</f>
        <v>2025-02125</v>
      </c>
      <c r="D242" s="245">
        <v>45959</v>
      </c>
      <c r="E242" s="252" t="str">
        <f t="shared" si="21"/>
        <v>Binder clip 2”</v>
      </c>
      <c r="F242" s="247">
        <v>1</v>
      </c>
      <c r="G242" s="247" t="str">
        <f>IFERROR(VLOOKUP(E242,SUPPLY2,3,0),"-")</f>
        <v>Box</v>
      </c>
      <c r="H242" s="247">
        <f>IFERROR(VLOOKUP(E242,SUPPLY2,4,0),"-")</f>
        <v>2552</v>
      </c>
      <c r="I242" s="247">
        <f>IFERROR(VLOOKUP(D242,YEAR2023,2,0),"-")</f>
        <v>10</v>
      </c>
      <c r="J242" s="247"/>
    </row>
    <row r="243" spans="1:10">
      <c r="A243" s="251" t="s">
        <v>74</v>
      </c>
      <c r="B243" s="52">
        <v>1</v>
      </c>
      <c r="C243" s="250" t="str">
        <f>Table3[[#This Row],[RIS NO]] &amp; TEXT(Table3[[#This Row],[COUNT (Max10)]], "0;-0")</f>
        <v>8-1451161</v>
      </c>
      <c r="D243" s="245">
        <v>45968</v>
      </c>
      <c r="E243" s="252" t="s">
        <v>10</v>
      </c>
      <c r="F243" s="247">
        <v>20</v>
      </c>
      <c r="G243" s="247" t="str">
        <f>IFERROR(VLOOKUP(E243,SUPPLY2,3,0),"-")</f>
        <v>Ream</v>
      </c>
      <c r="H243" s="247">
        <f>IFERROR(VLOOKUP(E243,SUPPLY2,4,0),"-")</f>
        <v>2276</v>
      </c>
      <c r="I243" s="247">
        <f>IFERROR(VLOOKUP(D243,YEAR2023,2,0),"-")</f>
        <v>11</v>
      </c>
      <c r="J243" s="247"/>
    </row>
    <row r="244" spans="1:10">
      <c r="A244" s="251" t="s">
        <v>74</v>
      </c>
      <c r="B244" s="52">
        <v>2</v>
      </c>
      <c r="C244" s="250" t="str">
        <f>Table3[[#This Row],[RIS NO]] &amp; TEXT(Table3[[#This Row],[COUNT (Max10)]], "0;-0")</f>
        <v>8-1451162</v>
      </c>
      <c r="D244" s="245">
        <v>45968</v>
      </c>
      <c r="E244" s="252" t="s">
        <v>12</v>
      </c>
      <c r="F244" s="247">
        <v>15</v>
      </c>
      <c r="G244" s="247" t="str">
        <f>IFERROR(VLOOKUP(E244,SUPPLY2,3,0),"-")</f>
        <v>Ream</v>
      </c>
      <c r="H244" s="247">
        <f>IFERROR(VLOOKUP(E244,SUPPLY2,4,0),"-")</f>
        <v>2067</v>
      </c>
      <c r="I244" s="247">
        <f>IFERROR(VLOOKUP(D244,YEAR2023,2,0),"-")</f>
        <v>11</v>
      </c>
      <c r="J244" s="247"/>
    </row>
    <row r="245" spans="1:10">
      <c r="A245" s="251" t="s">
        <v>94</v>
      </c>
      <c r="B245" s="52">
        <v>30</v>
      </c>
      <c r="C245" s="250"/>
      <c r="D245" s="245">
        <v>46014</v>
      </c>
      <c r="E245" s="252" t="s">
        <v>10</v>
      </c>
      <c r="F245" s="247">
        <v>30</v>
      </c>
      <c r="G245" s="247" t="s">
        <v>95</v>
      </c>
      <c r="H245" s="247">
        <v>2276</v>
      </c>
      <c r="I245" s="247">
        <v>12</v>
      </c>
      <c r="J245" s="247"/>
    </row>
    <row r="246" spans="1:10">
      <c r="A246" s="251" t="s">
        <v>94</v>
      </c>
      <c r="B246" s="52">
        <v>15</v>
      </c>
      <c r="C246" s="250"/>
      <c r="E246" s="252" t="s">
        <v>12</v>
      </c>
      <c r="F246" s="247">
        <v>15</v>
      </c>
      <c r="G246" s="247" t="s">
        <v>95</v>
      </c>
      <c r="H246" s="247">
        <v>2067</v>
      </c>
      <c r="I246" s="247">
        <v>12</v>
      </c>
      <c r="J246" s="247"/>
    </row>
    <row r="247" spans="1:10">
      <c r="A247" s="251" t="s">
        <v>75</v>
      </c>
      <c r="B247" s="52">
        <v>1</v>
      </c>
      <c r="C247" s="250" t="s">
        <v>96</v>
      </c>
      <c r="D247" s="245">
        <v>46050</v>
      </c>
      <c r="E247" s="252" t="s">
        <v>10</v>
      </c>
      <c r="F247" s="247">
        <v>30</v>
      </c>
      <c r="G247" s="247" t="s">
        <v>95</v>
      </c>
      <c r="H247" s="247">
        <v>2276</v>
      </c>
      <c r="I247" s="247">
        <v>1</v>
      </c>
      <c r="J247" s="247"/>
    </row>
    <row r="248" spans="1:10">
      <c r="A248" s="251" t="s">
        <v>75</v>
      </c>
      <c r="B248" s="52">
        <v>2</v>
      </c>
      <c r="C248" s="250" t="s">
        <v>97</v>
      </c>
      <c r="D248" s="245">
        <v>46050</v>
      </c>
      <c r="E248" s="252" t="s">
        <v>30</v>
      </c>
      <c r="F248" s="247" t="s">
        <v>91</v>
      </c>
      <c r="G248" s="247" t="s">
        <v>98</v>
      </c>
      <c r="H248" s="247">
        <v>310</v>
      </c>
      <c r="I248" s="247">
        <v>1</v>
      </c>
      <c r="J248" s="247"/>
    </row>
    <row r="249" spans="1:10">
      <c r="A249" s="251" t="s">
        <v>75</v>
      </c>
      <c r="B249" s="52">
        <v>3</v>
      </c>
      <c r="C249" s="250" t="s">
        <v>99</v>
      </c>
      <c r="D249" s="245">
        <v>46050</v>
      </c>
      <c r="E249" s="252" t="s">
        <v>25</v>
      </c>
      <c r="F249" s="247" t="s">
        <v>91</v>
      </c>
      <c r="G249" s="247" t="s">
        <v>98</v>
      </c>
      <c r="H249" s="247">
        <v>2250</v>
      </c>
      <c r="I249" s="247">
        <v>1</v>
      </c>
      <c r="J249" s="247"/>
    </row>
    <row r="250" spans="1:10">
      <c r="A250" s="251" t="s">
        <v>75</v>
      </c>
      <c r="B250" s="52">
        <v>4</v>
      </c>
      <c r="C250" s="250" t="s">
        <v>100</v>
      </c>
      <c r="D250" s="245">
        <v>46050</v>
      </c>
      <c r="E250" s="252" t="s">
        <v>15</v>
      </c>
      <c r="F250" s="247">
        <v>20</v>
      </c>
      <c r="G250" s="247" t="s">
        <v>101</v>
      </c>
      <c r="H250" s="247">
        <v>301</v>
      </c>
      <c r="I250" s="247">
        <v>1</v>
      </c>
      <c r="J250" s="247"/>
    </row>
    <row r="251" spans="1:10">
      <c r="A251" s="251" t="s">
        <v>75</v>
      </c>
      <c r="B251" s="52">
        <v>5</v>
      </c>
      <c r="C251" s="250" t="s">
        <v>102</v>
      </c>
      <c r="D251" s="245">
        <v>46050</v>
      </c>
      <c r="E251" s="252" t="s">
        <v>19</v>
      </c>
      <c r="F251" s="247">
        <v>20</v>
      </c>
      <c r="G251" s="247" t="s">
        <v>101</v>
      </c>
      <c r="H251" s="247">
        <v>300</v>
      </c>
      <c r="I251" s="247">
        <v>1</v>
      </c>
      <c r="J251" s="247"/>
    </row>
    <row r="252" spans="1:10">
      <c r="A252" s="251" t="s">
        <v>75</v>
      </c>
      <c r="B252" s="52">
        <v>6</v>
      </c>
      <c r="C252" s="250" t="s">
        <v>103</v>
      </c>
      <c r="D252" s="245">
        <v>46050</v>
      </c>
      <c r="E252" s="252" t="s">
        <v>38</v>
      </c>
      <c r="F252" s="247">
        <v>10</v>
      </c>
      <c r="G252" s="247" t="s">
        <v>104</v>
      </c>
      <c r="H252" s="247">
        <v>50</v>
      </c>
      <c r="I252" s="247">
        <v>1</v>
      </c>
      <c r="J252" s="247"/>
    </row>
    <row r="253" spans="1:10">
      <c r="A253" s="251" t="s">
        <v>75</v>
      </c>
      <c r="B253" s="52">
        <v>7</v>
      </c>
      <c r="C253" s="250" t="s">
        <v>105</v>
      </c>
      <c r="D253" s="245">
        <v>46050</v>
      </c>
      <c r="E253" s="252" t="s">
        <v>17</v>
      </c>
      <c r="F253" s="247" t="s">
        <v>91</v>
      </c>
      <c r="G253" s="247" t="s">
        <v>106</v>
      </c>
      <c r="H253" s="247">
        <v>336</v>
      </c>
      <c r="I253" s="247">
        <v>1</v>
      </c>
      <c r="J253" s="247"/>
    </row>
    <row r="254" spans="1:10">
      <c r="A254" s="251" t="s">
        <v>75</v>
      </c>
      <c r="B254" s="52">
        <v>8</v>
      </c>
      <c r="C254" s="250" t="s">
        <v>107</v>
      </c>
      <c r="D254" s="245">
        <v>46050</v>
      </c>
      <c r="E254" s="252" t="s">
        <v>34</v>
      </c>
      <c r="F254" s="247">
        <v>5</v>
      </c>
      <c r="G254" s="247" t="s">
        <v>104</v>
      </c>
      <c r="H254" s="247">
        <v>1976</v>
      </c>
      <c r="I254" s="247">
        <v>1</v>
      </c>
      <c r="J254" s="247"/>
    </row>
    <row r="255" spans="1:10">
      <c r="A255" s="251" t="s">
        <v>75</v>
      </c>
      <c r="B255" s="52">
        <v>9</v>
      </c>
      <c r="C255" s="250" t="s">
        <v>108</v>
      </c>
      <c r="D255" s="245">
        <v>46050</v>
      </c>
      <c r="E255" s="252" t="s">
        <v>14</v>
      </c>
      <c r="F255" s="247" t="s">
        <v>109</v>
      </c>
      <c r="G255" s="247" t="s">
        <v>110</v>
      </c>
      <c r="H255" s="247">
        <v>46</v>
      </c>
      <c r="I255" s="247">
        <v>1</v>
      </c>
      <c r="J255" s="247"/>
    </row>
    <row r="256" spans="1:10">
      <c r="A256" s="251" t="s">
        <v>75</v>
      </c>
      <c r="B256" s="52">
        <v>10</v>
      </c>
      <c r="C256" s="250" t="s">
        <v>111</v>
      </c>
      <c r="D256" s="245">
        <v>46050</v>
      </c>
      <c r="E256" s="252" t="s">
        <v>18</v>
      </c>
      <c r="F256" s="247">
        <v>200</v>
      </c>
      <c r="G256" s="247" t="s">
        <v>106</v>
      </c>
      <c r="H256" s="247">
        <v>337</v>
      </c>
      <c r="I256" s="247">
        <v>1</v>
      </c>
      <c r="J256" s="247"/>
    </row>
    <row r="257" spans="1:10">
      <c r="A257" s="251" t="s">
        <v>75</v>
      </c>
      <c r="B257" s="52">
        <v>11</v>
      </c>
      <c r="C257" s="250" t="s">
        <v>112</v>
      </c>
      <c r="D257" s="245">
        <v>46050</v>
      </c>
      <c r="E257" s="252" t="s">
        <v>33</v>
      </c>
      <c r="F257" s="247">
        <v>5</v>
      </c>
      <c r="G257" s="247" t="s">
        <v>104</v>
      </c>
      <c r="H257" s="247">
        <v>0</v>
      </c>
      <c r="I257" s="247">
        <v>1</v>
      </c>
      <c r="J257" s="247"/>
    </row>
    <row r="258" spans="1:10">
      <c r="A258" s="251" t="s">
        <v>75</v>
      </c>
      <c r="B258" s="52">
        <v>12</v>
      </c>
      <c r="C258" s="250" t="s">
        <v>113</v>
      </c>
      <c r="D258" s="245">
        <v>46050</v>
      </c>
      <c r="E258" s="252" t="s">
        <v>60</v>
      </c>
      <c r="F258" s="247">
        <v>10</v>
      </c>
      <c r="G258" s="247" t="s">
        <v>104</v>
      </c>
      <c r="H258" s="247">
        <v>1976</v>
      </c>
      <c r="I258" s="247">
        <v>1</v>
      </c>
      <c r="J258" s="247"/>
    </row>
    <row r="259" spans="1:10">
      <c r="A259" s="251" t="s">
        <v>75</v>
      </c>
      <c r="B259" s="52">
        <v>13</v>
      </c>
      <c r="C259" s="250" t="s">
        <v>114</v>
      </c>
      <c r="D259" s="245">
        <v>46050</v>
      </c>
      <c r="E259" s="252" t="s">
        <v>53</v>
      </c>
      <c r="F259" s="247">
        <v>5</v>
      </c>
      <c r="G259" s="247" t="s">
        <v>106</v>
      </c>
      <c r="H259" s="247">
        <v>137</v>
      </c>
      <c r="I259" s="247">
        <v>1</v>
      </c>
      <c r="J259" s="247"/>
    </row>
    <row r="260" spans="1:10">
      <c r="A260" s="251" t="s">
        <v>75</v>
      </c>
      <c r="B260" s="52">
        <v>14</v>
      </c>
      <c r="C260" s="250" t="s">
        <v>115</v>
      </c>
      <c r="D260" s="245">
        <v>46050</v>
      </c>
      <c r="E260" s="252" t="s">
        <v>13</v>
      </c>
      <c r="F260" s="247" t="s">
        <v>109</v>
      </c>
      <c r="G260" s="247" t="s">
        <v>110</v>
      </c>
      <c r="H260" s="247">
        <v>330</v>
      </c>
      <c r="I260" s="247">
        <v>1</v>
      </c>
      <c r="J260" s="247"/>
    </row>
    <row r="261" spans="1:10">
      <c r="A261" s="251" t="s">
        <v>75</v>
      </c>
      <c r="B261" s="52">
        <v>15</v>
      </c>
      <c r="C261" s="250" t="s">
        <v>116</v>
      </c>
      <c r="D261" s="245">
        <v>46050</v>
      </c>
      <c r="E261" s="252" t="s">
        <v>117</v>
      </c>
      <c r="F261" s="247">
        <v>100</v>
      </c>
      <c r="G261" s="247" t="s">
        <v>106</v>
      </c>
      <c r="H261" s="247">
        <v>2377</v>
      </c>
      <c r="I261" s="247">
        <v>1</v>
      </c>
      <c r="J261" s="247"/>
    </row>
    <row r="262" spans="1:10">
      <c r="A262" s="251" t="s">
        <v>75</v>
      </c>
      <c r="B262" s="52">
        <v>16</v>
      </c>
      <c r="C262" s="250" t="s">
        <v>118</v>
      </c>
      <c r="D262" s="245">
        <v>46050</v>
      </c>
      <c r="E262" s="252" t="s">
        <v>63</v>
      </c>
      <c r="F262" s="247">
        <v>50</v>
      </c>
      <c r="G262" s="247" t="s">
        <v>119</v>
      </c>
      <c r="H262" s="247">
        <v>2618</v>
      </c>
      <c r="I262" s="247">
        <v>1</v>
      </c>
      <c r="J262" s="247"/>
    </row>
    <row r="263" spans="1:10">
      <c r="A263" s="251" t="s">
        <v>75</v>
      </c>
      <c r="B263" s="52">
        <v>17</v>
      </c>
      <c r="C263" s="250" t="s">
        <v>120</v>
      </c>
      <c r="D263" s="245">
        <v>46050</v>
      </c>
      <c r="E263" s="252" t="s">
        <v>65</v>
      </c>
      <c r="F263" s="247" t="s">
        <v>91</v>
      </c>
      <c r="G263" s="247" t="s">
        <v>121</v>
      </c>
      <c r="H263" s="247">
        <v>2538</v>
      </c>
      <c r="I263" s="247">
        <v>1</v>
      </c>
      <c r="J263" s="247"/>
    </row>
    <row r="264" spans="1:10">
      <c r="A264" s="251" t="s">
        <v>75</v>
      </c>
      <c r="B264" s="52">
        <v>18</v>
      </c>
      <c r="C264" s="250" t="s">
        <v>122</v>
      </c>
      <c r="D264" s="245">
        <v>46050</v>
      </c>
      <c r="E264" s="252" t="s">
        <v>58</v>
      </c>
      <c r="F264" s="247" t="s">
        <v>91</v>
      </c>
      <c r="G264" s="247" t="str">
        <f>IFERROR(VLOOKUP(E264,SUPPLY2,3,0),"-")</f>
        <v>Box</v>
      </c>
      <c r="H264" s="247">
        <f>IFERROR(VLOOKUP(E264,SUPPLY2,4,0),"-")</f>
        <v>306</v>
      </c>
      <c r="I264" s="247">
        <v>1</v>
      </c>
      <c r="J264" s="247"/>
    </row>
    <row r="265" spans="1:10">
      <c r="A265" s="251" t="s">
        <v>75</v>
      </c>
      <c r="B265" s="52">
        <v>19</v>
      </c>
      <c r="C265" s="250" t="s">
        <v>123</v>
      </c>
      <c r="D265" s="245">
        <v>46050</v>
      </c>
      <c r="E265" s="252" t="s">
        <v>20</v>
      </c>
      <c r="F265" s="247" t="s">
        <v>91</v>
      </c>
      <c r="G265" s="247" t="str">
        <f>IFERROR(VLOOKUP(E265,SUPPLY2,3,0),"-")</f>
        <v>Piece</v>
      </c>
      <c r="H265" s="247">
        <f>IFERROR(VLOOKUP(E265,SUPPLY2,4,0),"-")</f>
        <v>1960</v>
      </c>
      <c r="I265" s="247">
        <v>1</v>
      </c>
      <c r="J265" s="247"/>
    </row>
    <row r="266" spans="1:10">
      <c r="A266" s="251" t="s">
        <v>75</v>
      </c>
      <c r="B266" s="52">
        <v>20</v>
      </c>
      <c r="C266" s="250" t="s">
        <v>124</v>
      </c>
      <c r="D266" s="245">
        <v>46050</v>
      </c>
      <c r="E266" s="252" t="s">
        <v>66</v>
      </c>
      <c r="F266" s="247" t="s">
        <v>91</v>
      </c>
      <c r="G266" s="247" t="str">
        <f>IFERROR(VLOOKUP(E266,SUPPLY2,3,0),"-")</f>
        <v>Box</v>
      </c>
      <c r="H266" s="247">
        <f>IFERROR(VLOOKUP(E266,SUPPLY2,4,0),"-")</f>
        <v>2546</v>
      </c>
      <c r="I266" s="247">
        <v>1</v>
      </c>
      <c r="J266" s="247"/>
    </row>
    <row r="267" spans="1:10">
      <c r="A267" s="251" t="s">
        <v>75</v>
      </c>
      <c r="B267" s="52">
        <v>21</v>
      </c>
      <c r="C267" s="250" t="s">
        <v>125</v>
      </c>
      <c r="D267" s="245">
        <v>46050</v>
      </c>
      <c r="E267" s="252" t="s">
        <v>43</v>
      </c>
      <c r="F267" s="247" t="s">
        <v>91</v>
      </c>
      <c r="G267" s="247" t="str">
        <f>IFERROR(VLOOKUP(E267,SUPPLY2,3,0),"-")</f>
        <v>Box</v>
      </c>
      <c r="H267" s="247">
        <f>IFERROR(VLOOKUP(E267,SUPPLY2,4,0),"-")</f>
        <v>2552</v>
      </c>
      <c r="I267" s="247">
        <v>1</v>
      </c>
      <c r="J267" s="247"/>
    </row>
    <row r="268" spans="1:10">
      <c r="A268" s="251" t="s">
        <v>75</v>
      </c>
      <c r="B268" s="52">
        <v>22</v>
      </c>
      <c r="C268" s="250" t="s">
        <v>126</v>
      </c>
      <c r="D268" s="245">
        <v>46050</v>
      </c>
      <c r="E268" s="252" t="s">
        <v>68</v>
      </c>
      <c r="F268" s="247">
        <v>2</v>
      </c>
      <c r="G268" s="247" t="s">
        <v>106</v>
      </c>
      <c r="H268" s="247">
        <v>2676</v>
      </c>
      <c r="I268" s="247">
        <v>1</v>
      </c>
      <c r="J268" s="247"/>
    </row>
    <row r="269" spans="1:10">
      <c r="A269" s="251" t="s">
        <v>75</v>
      </c>
      <c r="B269" s="52">
        <v>23</v>
      </c>
      <c r="C269" s="250" t="s">
        <v>127</v>
      </c>
      <c r="D269" s="245">
        <v>46050</v>
      </c>
      <c r="E269" s="252" t="s">
        <v>70</v>
      </c>
      <c r="F269" s="247">
        <v>50</v>
      </c>
      <c r="G269" s="247" t="str">
        <f>IFERROR(VLOOKUP(E269,SUPPLY2,3,0),"-")</f>
        <v>Roll</v>
      </c>
      <c r="H269" s="247">
        <f>IFERROR(VLOOKUP(E269,SUPPLY2,4,0),"-")</f>
        <v>2629</v>
      </c>
      <c r="I269" s="247">
        <v>1</v>
      </c>
      <c r="J269" s="247"/>
    </row>
    <row r="270" spans="1:10">
      <c r="A270" s="251" t="s">
        <v>75</v>
      </c>
      <c r="B270" s="52">
        <v>24</v>
      </c>
      <c r="C270" s="250" t="s">
        <v>128</v>
      </c>
      <c r="D270" s="245">
        <v>46050</v>
      </c>
      <c r="E270" s="252" t="s">
        <v>129</v>
      </c>
      <c r="F270" s="247">
        <v>5</v>
      </c>
      <c r="G270" s="247" t="s">
        <v>104</v>
      </c>
      <c r="H270" s="247">
        <v>2526</v>
      </c>
      <c r="I270" s="247">
        <v>1</v>
      </c>
      <c r="J270" s="247"/>
    </row>
    <row r="271" spans="1:10">
      <c r="A271" s="251" t="s">
        <v>76</v>
      </c>
      <c r="B271" s="52">
        <v>1</v>
      </c>
      <c r="C271" s="250" t="str">
        <f>Table3[[#This Row],[RIS NO]] &amp; TEXT(Table3[[#This Row],[COUNT (Max10)]], "0;-0")</f>
        <v>2026-0021</v>
      </c>
      <c r="D271" s="245">
        <v>46076</v>
      </c>
      <c r="E271" s="252" t="s">
        <v>10</v>
      </c>
      <c r="F271" s="247">
        <v>5</v>
      </c>
      <c r="G271" s="247" t="str">
        <f>IFERROR(VLOOKUP(E271,SUPPLY2,3,0),"-")</f>
        <v>Ream</v>
      </c>
      <c r="H271" s="247">
        <f t="shared" ref="H271:H277" si="25">IFERROR(VLOOKUP(E271,SUPPLY2,4,0),"-")</f>
        <v>2276</v>
      </c>
      <c r="I271" s="247">
        <v>2</v>
      </c>
      <c r="J271" s="247"/>
    </row>
    <row r="272" spans="1:10">
      <c r="A272" s="251" t="s">
        <v>76</v>
      </c>
      <c r="B272" s="52">
        <v>2</v>
      </c>
      <c r="C272" s="250" t="str">
        <f>Table3[[#This Row],[RIS NO]] &amp; TEXT(Table3[[#This Row],[COUNT (Max10)]], "0;-0")</f>
        <v>2026-0022</v>
      </c>
      <c r="D272" s="245">
        <v>46076</v>
      </c>
      <c r="E272" s="252" t="s">
        <v>30</v>
      </c>
      <c r="F272" s="247" t="s">
        <v>91</v>
      </c>
      <c r="G272" s="247" t="str">
        <f>IFERROR(VLOOKUP(E272,SUPPLY2,3,0),"-")</f>
        <v>Box</v>
      </c>
      <c r="H272" s="247">
        <f t="shared" si="25"/>
        <v>310</v>
      </c>
      <c r="I272" s="247">
        <v>2</v>
      </c>
      <c r="J272" s="247"/>
    </row>
    <row r="273" spans="1:10">
      <c r="A273" s="251" t="s">
        <v>76</v>
      </c>
      <c r="B273" s="52">
        <v>3</v>
      </c>
      <c r="C273" s="250" t="str">
        <f>Table3[[#This Row],[RIS NO]] &amp; TEXT(Table3[[#This Row],[COUNT (Max10)]], "0;-0")</f>
        <v>2026-0023</v>
      </c>
      <c r="D273" s="245">
        <v>46076</v>
      </c>
      <c r="E273" s="252" t="s">
        <v>25</v>
      </c>
      <c r="F273" s="247" t="s">
        <v>91</v>
      </c>
      <c r="G273" s="247" t="str">
        <f>IFERROR(VLOOKUP(E273,SUPPLY2,3,0),"-")</f>
        <v>Box</v>
      </c>
      <c r="H273" s="247">
        <f t="shared" si="25"/>
        <v>2550</v>
      </c>
      <c r="I273" s="247">
        <v>2</v>
      </c>
      <c r="J273" s="247"/>
    </row>
    <row r="274" spans="1:10">
      <c r="A274" s="251" t="s">
        <v>76</v>
      </c>
      <c r="B274" s="52">
        <v>4</v>
      </c>
      <c r="C274" s="250" t="str">
        <f>Table3[[#This Row],[RIS NO]] &amp; TEXT(Table3[[#This Row],[COUNT (Max10)]], "0;-0")</f>
        <v>2026-0024</v>
      </c>
      <c r="D274" s="245">
        <v>46076</v>
      </c>
      <c r="E274" s="252" t="s">
        <v>15</v>
      </c>
      <c r="F274" s="247" t="s">
        <v>91</v>
      </c>
      <c r="G274" s="247" t="str">
        <f>IFERROR(VLOOKUP(E274,SUPPLY2,3,0),"-")</f>
        <v>Roll</v>
      </c>
      <c r="H274" s="247">
        <f t="shared" si="25"/>
        <v>301</v>
      </c>
      <c r="I274" s="247">
        <v>2</v>
      </c>
      <c r="J274" s="247"/>
    </row>
    <row r="275" spans="1:10">
      <c r="A275" s="251" t="s">
        <v>76</v>
      </c>
      <c r="B275" s="52">
        <v>5</v>
      </c>
      <c r="C275" s="250" t="str">
        <f>Table3[[#This Row],[RIS NO]] &amp; TEXT(Table3[[#This Row],[COUNT (Max10)]], "0;-0")</f>
        <v>2026-0025</v>
      </c>
      <c r="D275" s="245">
        <v>46076</v>
      </c>
      <c r="E275" s="252" t="s">
        <v>19</v>
      </c>
      <c r="F275" s="247">
        <v>10</v>
      </c>
      <c r="G275" s="247" t="str">
        <f>IFERROR(VLOOKUP(E275,SUPPLY2,3,0),"-")</f>
        <v>Roll</v>
      </c>
      <c r="H275" s="247">
        <f t="shared" si="25"/>
        <v>300</v>
      </c>
      <c r="I275" s="247">
        <v>2</v>
      </c>
      <c r="J275" s="247"/>
    </row>
    <row r="276" spans="1:10">
      <c r="A276" s="251" t="s">
        <v>76</v>
      </c>
      <c r="B276" s="52">
        <v>6</v>
      </c>
      <c r="C276" s="250" t="str">
        <f>Table3[[#This Row],[RIS NO]] &amp; TEXT(Table3[[#This Row],[COUNT (Max10)]], "0;-0")</f>
        <v>2026-0026</v>
      </c>
      <c r="D276" s="245">
        <v>46076</v>
      </c>
      <c r="E276" s="252" t="s">
        <v>38</v>
      </c>
      <c r="F276" s="247">
        <v>5</v>
      </c>
      <c r="G276" s="247" t="s">
        <v>104</v>
      </c>
      <c r="H276" s="247">
        <f t="shared" si="25"/>
        <v>2521</v>
      </c>
      <c r="I276" s="247">
        <v>2</v>
      </c>
      <c r="J276" s="247"/>
    </row>
    <row r="277" spans="1:10">
      <c r="A277" s="251" t="s">
        <v>76</v>
      </c>
      <c r="B277" s="52">
        <v>7</v>
      </c>
      <c r="C277" s="250" t="str">
        <f>Table3[[#This Row],[RIS NO]] &amp; TEXT(Table3[[#This Row],[COUNT (Max10)]], "0;-0")</f>
        <v>2026-0027</v>
      </c>
      <c r="D277" s="245">
        <v>46076</v>
      </c>
      <c r="E277" s="252" t="s">
        <v>17</v>
      </c>
      <c r="F277" s="247" t="s">
        <v>91</v>
      </c>
      <c r="G277" s="247" t="s">
        <v>106</v>
      </c>
      <c r="H277" s="247">
        <f t="shared" si="25"/>
        <v>336</v>
      </c>
      <c r="I277" s="247">
        <v>2</v>
      </c>
      <c r="J277" s="247"/>
    </row>
    <row r="278" spans="1:10">
      <c r="A278" s="251" t="s">
        <v>76</v>
      </c>
      <c r="B278" s="52">
        <v>8</v>
      </c>
      <c r="C278" s="250" t="str">
        <f>Table3[[#This Row],[RIS NO]] &amp; TEXT(Table3[[#This Row],[COUNT (Max10)]], "0;-0")</f>
        <v>2026-0028</v>
      </c>
      <c r="D278" s="245">
        <v>46076</v>
      </c>
      <c r="E278" s="252" t="s">
        <v>34</v>
      </c>
      <c r="F278" s="247">
        <v>3</v>
      </c>
      <c r="G278" s="247" t="str">
        <f t="shared" ref="G278:G284" si="26">IFERROR(VLOOKUP(E278,SUPPLY2,3,0),"-")</f>
        <v>Ream</v>
      </c>
      <c r="H278" s="247">
        <v>2797</v>
      </c>
      <c r="I278" s="247">
        <v>2</v>
      </c>
      <c r="J278" s="247"/>
    </row>
    <row r="279" spans="1:10">
      <c r="A279" s="251" t="s">
        <v>76</v>
      </c>
      <c r="B279" s="52">
        <v>9</v>
      </c>
      <c r="C279" s="250" t="str">
        <f>Table3[[#This Row],[RIS NO]] &amp; TEXT(Table3[[#This Row],[COUNT (Max10)]], "0;-0")</f>
        <v>2026-0029</v>
      </c>
      <c r="D279" s="245">
        <v>46076</v>
      </c>
      <c r="E279" s="252" t="s">
        <v>14</v>
      </c>
      <c r="F279" s="247">
        <v>2</v>
      </c>
      <c r="G279" s="247" t="str">
        <f t="shared" si="26"/>
        <v>C</v>
      </c>
      <c r="H279" s="247">
        <f>IFERROR(VLOOKUP(E279,SUPPLY2,4,0),"-")</f>
        <v>46</v>
      </c>
      <c r="I279" s="247">
        <v>2</v>
      </c>
      <c r="J279" s="247"/>
    </row>
    <row r="280" spans="1:10">
      <c r="A280" s="251" t="s">
        <v>76</v>
      </c>
      <c r="B280" s="52">
        <v>10</v>
      </c>
      <c r="C280" s="250" t="str">
        <f>Table3[[#This Row],[RIS NO]] &amp; TEXT(Table3[[#This Row],[COUNT (Max10)]], "0;-0")</f>
        <v>2026-00210</v>
      </c>
      <c r="D280" s="245">
        <v>46076</v>
      </c>
      <c r="E280" s="252" t="s">
        <v>18</v>
      </c>
      <c r="F280" s="247">
        <v>200</v>
      </c>
      <c r="G280" s="247" t="str">
        <f t="shared" si="26"/>
        <v>Piece</v>
      </c>
      <c r="H280" s="247">
        <f>IFERROR(VLOOKUP(E280,SUPPLY2,4,0),"-")</f>
        <v>337</v>
      </c>
      <c r="I280" s="247">
        <v>2</v>
      </c>
      <c r="J280" s="247"/>
    </row>
    <row r="281" spans="1:10">
      <c r="A281" s="251" t="s">
        <v>76</v>
      </c>
      <c r="B281" s="52">
        <v>11</v>
      </c>
      <c r="C281" s="250" t="str">
        <f>Table3[[#This Row],[RIS NO]] &amp; TEXT(Table3[[#This Row],[COUNT (Max10)]], "0;-0")</f>
        <v>2026-00211</v>
      </c>
      <c r="D281" s="245">
        <v>46076</v>
      </c>
      <c r="E281" s="252" t="s">
        <v>33</v>
      </c>
      <c r="F281" s="345"/>
      <c r="G281" s="247" t="str">
        <f t="shared" si="26"/>
        <v>Ream</v>
      </c>
      <c r="H281" s="247" t="s">
        <v>130</v>
      </c>
      <c r="I281" s="247">
        <v>2</v>
      </c>
      <c r="J281" s="247"/>
    </row>
    <row r="282" spans="1:10">
      <c r="A282" s="251" t="s">
        <v>76</v>
      </c>
      <c r="B282" s="52">
        <v>12</v>
      </c>
      <c r="C282" s="250" t="str">
        <f>Table3[[#This Row],[RIS NO]] &amp; TEXT(Table3[[#This Row],[COUNT (Max10)]], "0;-0")</f>
        <v>2026-00212</v>
      </c>
      <c r="D282" s="245">
        <v>46076</v>
      </c>
      <c r="E282" s="252" t="s">
        <v>60</v>
      </c>
      <c r="F282" s="247">
        <v>3</v>
      </c>
      <c r="G282" s="247" t="str">
        <f t="shared" si="26"/>
        <v>Ream</v>
      </c>
      <c r="H282" s="247">
        <f>IFERROR(VLOOKUP(E282,SUPPLY2,4,0),"-")</f>
        <v>1976</v>
      </c>
      <c r="I282" s="247">
        <v>2</v>
      </c>
      <c r="J282" s="247"/>
    </row>
    <row r="283" spans="1:10">
      <c r="A283" s="251" t="s">
        <v>76</v>
      </c>
      <c r="B283" s="52">
        <v>13</v>
      </c>
      <c r="C283" s="250" t="str">
        <f>Table3[[#This Row],[RIS NO]] &amp; TEXT(Table3[[#This Row],[COUNT (Max10)]], "0;-0")</f>
        <v>2026-00213</v>
      </c>
      <c r="D283" s="245">
        <v>46076</v>
      </c>
      <c r="E283" s="252" t="s">
        <v>53</v>
      </c>
      <c r="F283" s="247">
        <v>5</v>
      </c>
      <c r="G283" s="247" t="str">
        <f t="shared" si="26"/>
        <v>Piece</v>
      </c>
      <c r="H283" s="247">
        <f>IFERROR(VLOOKUP(E283,SUPPLY2,4,0),"-")</f>
        <v>137</v>
      </c>
      <c r="I283" s="247">
        <v>2</v>
      </c>
      <c r="J283" s="247"/>
    </row>
    <row r="284" spans="1:10">
      <c r="A284" s="251" t="s">
        <v>76</v>
      </c>
      <c r="B284" s="52">
        <v>14</v>
      </c>
      <c r="C284" s="250" t="str">
        <f>Table3[[#This Row],[RIS NO]] &amp; TEXT(Table3[[#This Row],[COUNT (Max10)]], "0;-0")</f>
        <v>2026-00214</v>
      </c>
      <c r="D284" s="245">
        <v>46076</v>
      </c>
      <c r="E284" s="252" t="s">
        <v>13</v>
      </c>
      <c r="F284" s="247" t="s">
        <v>91</v>
      </c>
      <c r="G284" s="247" t="str">
        <f t="shared" si="26"/>
        <v>C</v>
      </c>
      <c r="H284" s="247">
        <f>IFERROR(VLOOKUP(E284,SUPPLY2,4,0),"-")</f>
        <v>330</v>
      </c>
      <c r="I284" s="247">
        <v>2</v>
      </c>
      <c r="J284" s="247"/>
    </row>
    <row r="285" spans="1:10">
      <c r="A285" s="251" t="s">
        <v>76</v>
      </c>
      <c r="B285" s="52">
        <v>15</v>
      </c>
      <c r="C285" s="250" t="str">
        <f>Table3[[#This Row],[RIS NO]] &amp; TEXT(Table3[[#This Row],[COUNT (Max10)]], "0;-0")</f>
        <v>2026-00215</v>
      </c>
      <c r="D285" s="245">
        <v>46076</v>
      </c>
      <c r="E285" s="252" t="s">
        <v>131</v>
      </c>
      <c r="F285" s="247">
        <v>100</v>
      </c>
      <c r="G285" s="247" t="s">
        <v>106</v>
      </c>
      <c r="H285" s="247">
        <v>2377</v>
      </c>
      <c r="I285" s="247">
        <v>2</v>
      </c>
      <c r="J285" s="247"/>
    </row>
    <row r="286" spans="1:10">
      <c r="A286" s="251" t="s">
        <v>76</v>
      </c>
      <c r="B286" s="52">
        <v>16</v>
      </c>
      <c r="C286" s="250" t="str">
        <f>Table3[[#This Row],[RIS NO]] &amp; TEXT(Table3[[#This Row],[COUNT (Max10)]], "0;-0")</f>
        <v>2026-00216</v>
      </c>
      <c r="D286" s="245">
        <v>46076</v>
      </c>
      <c r="E286" s="252" t="s">
        <v>63</v>
      </c>
      <c r="F286" s="247" t="s">
        <v>91</v>
      </c>
      <c r="G286" s="247" t="str">
        <f t="shared" ref="G286:G291" si="27">IFERROR(VLOOKUP(E286,SUPPLY2,3,0),"-")</f>
        <v>Bottle</v>
      </c>
      <c r="H286" s="247">
        <f t="shared" ref="H286:H291" si="28">IFERROR(VLOOKUP(E286,SUPPLY2,4,0),"-")</f>
        <v>2618</v>
      </c>
      <c r="I286" s="247">
        <v>2</v>
      </c>
      <c r="J286" s="247"/>
    </row>
    <row r="287" spans="1:10">
      <c r="A287" s="251" t="s">
        <v>76</v>
      </c>
      <c r="B287" s="52">
        <v>17</v>
      </c>
      <c r="C287" s="250" t="str">
        <f>Table3[[#This Row],[RIS NO]] &amp; TEXT(Table3[[#This Row],[COUNT (Max10)]], "0;-0")</f>
        <v>2026-00217</v>
      </c>
      <c r="D287" s="245">
        <v>46076</v>
      </c>
      <c r="E287" s="252" t="s">
        <v>65</v>
      </c>
      <c r="F287" s="247" t="s">
        <v>91</v>
      </c>
      <c r="G287" s="247" t="str">
        <f t="shared" si="27"/>
        <v>Box</v>
      </c>
      <c r="H287" s="247">
        <f t="shared" si="28"/>
        <v>2538</v>
      </c>
      <c r="I287" s="247">
        <v>2</v>
      </c>
      <c r="J287" s="247"/>
    </row>
    <row r="288" spans="1:10">
      <c r="A288" s="251" t="s">
        <v>76</v>
      </c>
      <c r="B288" s="52">
        <v>18</v>
      </c>
      <c r="C288" s="250" t="str">
        <f>Table3[[#This Row],[RIS NO]] &amp; TEXT(Table3[[#This Row],[COUNT (Max10)]], "0;-0")</f>
        <v>2026-00218</v>
      </c>
      <c r="D288" s="245">
        <v>46076</v>
      </c>
      <c r="E288" s="252" t="s">
        <v>58</v>
      </c>
      <c r="F288" s="247" t="s">
        <v>91</v>
      </c>
      <c r="G288" s="247" t="str">
        <f t="shared" si="27"/>
        <v>Box</v>
      </c>
      <c r="H288" s="247">
        <f t="shared" si="28"/>
        <v>306</v>
      </c>
      <c r="I288" s="247">
        <v>2</v>
      </c>
      <c r="J288" s="247"/>
    </row>
    <row r="289" spans="1:10">
      <c r="A289" s="251" t="s">
        <v>76</v>
      </c>
      <c r="B289" s="52">
        <v>19</v>
      </c>
      <c r="C289" s="250" t="str">
        <f>Table3[[#This Row],[RIS NO]] &amp; TEXT(Table3[[#This Row],[COUNT (Max10)]], "0;-0")</f>
        <v>2026-00219</v>
      </c>
      <c r="D289" s="245">
        <v>46076</v>
      </c>
      <c r="E289" s="252" t="s">
        <v>20</v>
      </c>
      <c r="F289" s="247" t="s">
        <v>91</v>
      </c>
      <c r="G289" s="247" t="str">
        <f t="shared" si="27"/>
        <v>Piece</v>
      </c>
      <c r="H289" s="247">
        <f t="shared" si="28"/>
        <v>1960</v>
      </c>
      <c r="I289" s="247">
        <v>2</v>
      </c>
      <c r="J289" s="247"/>
    </row>
    <row r="290" spans="1:10">
      <c r="A290" s="251" t="s">
        <v>76</v>
      </c>
      <c r="B290" s="52">
        <v>20</v>
      </c>
      <c r="C290" s="250" t="str">
        <f>Table3[[#This Row],[RIS NO]] &amp; TEXT(Table3[[#This Row],[COUNT (Max10)]], "0;-0")</f>
        <v>2026-00220</v>
      </c>
      <c r="D290" s="245">
        <v>46076</v>
      </c>
      <c r="E290" s="252" t="s">
        <v>66</v>
      </c>
      <c r="F290" s="247" t="s">
        <v>91</v>
      </c>
      <c r="G290" s="247" t="str">
        <f t="shared" si="27"/>
        <v>Box</v>
      </c>
      <c r="H290" s="247">
        <f t="shared" si="28"/>
        <v>2546</v>
      </c>
      <c r="I290" s="247">
        <v>2</v>
      </c>
      <c r="J290" s="247"/>
    </row>
    <row r="291" spans="1:10">
      <c r="A291" s="251" t="s">
        <v>76</v>
      </c>
      <c r="B291" s="52">
        <v>21</v>
      </c>
      <c r="C291" s="250" t="str">
        <f>Table3[[#This Row],[RIS NO]] &amp; TEXT(Table3[[#This Row],[COUNT (Max10)]], "0;-0")</f>
        <v>2026-00221</v>
      </c>
      <c r="D291" s="245">
        <v>46076</v>
      </c>
      <c r="E291" s="252" t="s">
        <v>43</v>
      </c>
      <c r="F291" s="247" t="s">
        <v>91</v>
      </c>
      <c r="G291" s="247" t="str">
        <f t="shared" si="27"/>
        <v>Box</v>
      </c>
      <c r="H291" s="247">
        <f t="shared" si="28"/>
        <v>2552</v>
      </c>
      <c r="I291" s="247">
        <v>2</v>
      </c>
      <c r="J291" s="247"/>
    </row>
    <row r="292" spans="1:10">
      <c r="A292" s="251" t="s">
        <v>76</v>
      </c>
      <c r="B292" s="52">
        <v>22</v>
      </c>
      <c r="C292" s="250" t="s">
        <v>132</v>
      </c>
      <c r="D292" s="245">
        <v>46076</v>
      </c>
      <c r="E292" s="252" t="s">
        <v>68</v>
      </c>
      <c r="F292" s="247">
        <v>2</v>
      </c>
      <c r="G292" s="247" t="s">
        <v>106</v>
      </c>
      <c r="H292" s="247">
        <v>2676</v>
      </c>
      <c r="I292" s="247">
        <v>2</v>
      </c>
      <c r="J292" s="247"/>
    </row>
    <row r="293" spans="1:10">
      <c r="A293" s="251" t="s">
        <v>76</v>
      </c>
      <c r="B293" s="52">
        <v>23</v>
      </c>
      <c r="C293" s="250" t="str">
        <f>Table3[[#This Row],[RIS NO]] &amp; TEXT(Table3[[#This Row],[COUNT (Max10)]], "0;-0")</f>
        <v>2026-00223</v>
      </c>
      <c r="D293" s="245">
        <v>46076</v>
      </c>
      <c r="E293" s="252" t="s">
        <v>70</v>
      </c>
      <c r="F293" s="247">
        <v>50</v>
      </c>
      <c r="G293" s="247" t="s">
        <v>133</v>
      </c>
      <c r="H293" s="247">
        <v>2629</v>
      </c>
      <c r="I293" s="247">
        <v>2</v>
      </c>
      <c r="J293" s="247"/>
    </row>
    <row r="294" spans="1:10">
      <c r="A294" s="251" t="s">
        <v>76</v>
      </c>
      <c r="B294" s="52">
        <v>24</v>
      </c>
      <c r="C294" s="250" t="str">
        <f>Table3[[#This Row],[RIS NO]] &amp; TEXT(Table3[[#This Row],[COUNT (Max10)]], "0;-0")</f>
        <v>2026-00224</v>
      </c>
      <c r="D294" s="245">
        <v>46076</v>
      </c>
      <c r="E294" s="252" t="s">
        <v>129</v>
      </c>
      <c r="F294" s="247">
        <v>3</v>
      </c>
      <c r="G294" s="247" t="s">
        <v>104</v>
      </c>
      <c r="H294" s="247" t="s">
        <v>134</v>
      </c>
      <c r="I294" s="247">
        <v>2</v>
      </c>
      <c r="J294" s="247"/>
    </row>
    <row r="295" spans="1:10">
      <c r="A295" s="251" t="s">
        <v>76</v>
      </c>
      <c r="B295" s="52">
        <v>25</v>
      </c>
      <c r="C295" s="250" t="str">
        <f>Table3[[#This Row],[RIS NO]] &amp; TEXT(Table3[[#This Row],[COUNT (Max10)]], "0;-0")</f>
        <v>2026-00225</v>
      </c>
      <c r="D295" s="245">
        <v>46076</v>
      </c>
      <c r="E295" s="252" t="s">
        <v>36</v>
      </c>
      <c r="F295" s="247">
        <v>3</v>
      </c>
      <c r="G295" s="247" t="s">
        <v>104</v>
      </c>
      <c r="H295" s="247">
        <v>2796</v>
      </c>
      <c r="I295" s="247">
        <v>2</v>
      </c>
      <c r="J295" s="247"/>
    </row>
    <row r="296" spans="1:10">
      <c r="A296" s="251" t="s">
        <v>76</v>
      </c>
      <c r="B296" s="52">
        <v>26</v>
      </c>
      <c r="C296" s="250" t="str">
        <f>Table3[[#This Row],[RIS NO]] &amp; TEXT(Table3[[#This Row],[COUNT (Max10)]], "0;-0")</f>
        <v>2026-00226</v>
      </c>
      <c r="D296" s="245">
        <v>46076</v>
      </c>
      <c r="E296" s="252" t="s">
        <v>35</v>
      </c>
      <c r="F296" s="247" t="s">
        <v>135</v>
      </c>
      <c r="G296" s="247" t="str">
        <f t="shared" ref="G296:G327" si="29">IFERROR(VLOOKUP(E296,SUPPLY2,3,0),"-")</f>
        <v>Ream</v>
      </c>
      <c r="H296" s="247">
        <f t="shared" ref="H296:H327" si="30">IFERROR(VLOOKUP(E296,SUPPLY2,4,0),"-")</f>
        <v>0</v>
      </c>
      <c r="I296" s="247">
        <v>2</v>
      </c>
      <c r="J296" s="247"/>
    </row>
    <row r="297" spans="1:10">
      <c r="A297" s="251" t="s">
        <v>77</v>
      </c>
      <c r="B297" s="52">
        <v>1</v>
      </c>
      <c r="C297" s="250" t="s">
        <v>136</v>
      </c>
      <c r="D297" s="245">
        <v>46108</v>
      </c>
      <c r="E297" s="246" t="s">
        <v>12</v>
      </c>
      <c r="F297" s="247">
        <v>5</v>
      </c>
      <c r="G297" s="247" t="str">
        <f t="shared" si="29"/>
        <v>Ream</v>
      </c>
      <c r="H297" s="247">
        <f t="shared" si="30"/>
        <v>2067</v>
      </c>
      <c r="J297" s="247"/>
    </row>
    <row r="298" spans="1:10">
      <c r="A298" s="251" t="s">
        <v>77</v>
      </c>
      <c r="B298" s="52">
        <v>2</v>
      </c>
      <c r="C298" s="250" t="str">
        <f>Table3[[#This Row],[RIS NO]] &amp; TEXT(Table3[[#This Row],[COUNT (Max10)]], "0;-0")</f>
        <v>2026-0032</v>
      </c>
      <c r="D298" s="245">
        <v>46108</v>
      </c>
      <c r="E298" s="246" t="s">
        <v>10</v>
      </c>
      <c r="F298" s="247" t="s">
        <v>137</v>
      </c>
      <c r="G298" s="247" t="str">
        <f t="shared" si="29"/>
        <v>Ream</v>
      </c>
      <c r="H298" s="247">
        <f t="shared" si="30"/>
        <v>2276</v>
      </c>
      <c r="J298" s="247"/>
    </row>
    <row r="299" spans="1:10">
      <c r="A299" s="251" t="s">
        <v>77</v>
      </c>
      <c r="B299" s="52">
        <v>3</v>
      </c>
      <c r="C299" s="250" t="str">
        <f>Table3[[#This Row],[RIS NO]] &amp; TEXT(Table3[[#This Row],[COUNT (Max10)]], "0;-0")</f>
        <v>2026-0033</v>
      </c>
      <c r="D299" s="245">
        <v>46108</v>
      </c>
      <c r="E299" s="246" t="s">
        <v>30</v>
      </c>
      <c r="F299" s="247" t="s">
        <v>137</v>
      </c>
      <c r="G299" s="247" t="str">
        <f t="shared" si="29"/>
        <v>Box</v>
      </c>
      <c r="H299" s="247">
        <f t="shared" si="30"/>
        <v>310</v>
      </c>
      <c r="J299" s="247"/>
    </row>
    <row r="300" spans="1:10">
      <c r="A300" s="251" t="s">
        <v>77</v>
      </c>
      <c r="B300" s="52">
        <v>4</v>
      </c>
      <c r="C300" s="250" t="str">
        <f>Table3[[#This Row],[RIS NO]] &amp; TEXT(Table3[[#This Row],[COUNT (Max10)]], "0;-0")</f>
        <v>2026-0034</v>
      </c>
      <c r="D300" s="245">
        <v>46108</v>
      </c>
      <c r="E300" s="246" t="s">
        <v>25</v>
      </c>
      <c r="F300" s="247" t="s">
        <v>137</v>
      </c>
      <c r="G300" s="247" t="str">
        <f t="shared" si="29"/>
        <v>Box</v>
      </c>
      <c r="H300" s="247">
        <f t="shared" si="30"/>
        <v>2550</v>
      </c>
      <c r="J300" s="247"/>
    </row>
    <row r="301" spans="1:10">
      <c r="A301" s="251" t="s">
        <v>77</v>
      </c>
      <c r="B301" s="52">
        <v>5</v>
      </c>
      <c r="C301" s="250" t="str">
        <f>Table3[[#This Row],[RIS NO]] &amp; TEXT(Table3[[#This Row],[COUNT (Max10)]], "0;-0")</f>
        <v>2026-0035</v>
      </c>
      <c r="D301" s="245">
        <v>46108</v>
      </c>
      <c r="E301" s="246" t="s">
        <v>38</v>
      </c>
      <c r="F301" s="247" t="s">
        <v>137</v>
      </c>
      <c r="G301" s="247" t="str">
        <f t="shared" si="29"/>
        <v>Ream</v>
      </c>
      <c r="H301" s="247">
        <f t="shared" si="30"/>
        <v>2521</v>
      </c>
      <c r="J301" s="247"/>
    </row>
    <row r="302" spans="1:10">
      <c r="A302" s="251" t="s">
        <v>77</v>
      </c>
      <c r="B302" s="52">
        <v>6</v>
      </c>
      <c r="C302" s="250" t="str">
        <f>Table3[[#This Row],[RIS NO]] &amp; TEXT(Table3[[#This Row],[COUNT (Max10)]], "0;-0")</f>
        <v>2026-0036</v>
      </c>
      <c r="D302" s="245">
        <v>46108</v>
      </c>
      <c r="E302" s="246" t="s">
        <v>17</v>
      </c>
      <c r="F302" s="247" t="s">
        <v>137</v>
      </c>
      <c r="G302" s="247" t="str">
        <f t="shared" si="29"/>
        <v>Piece</v>
      </c>
      <c r="H302" s="247">
        <f t="shared" si="30"/>
        <v>336</v>
      </c>
      <c r="J302" s="247"/>
    </row>
    <row r="303" spans="1:10">
      <c r="A303" s="251" t="s">
        <v>77</v>
      </c>
      <c r="B303" s="52">
        <v>7</v>
      </c>
      <c r="C303" s="250" t="str">
        <f>Table3[[#This Row],[RIS NO]] &amp; TEXT(Table3[[#This Row],[COUNT (Max10)]], "0;-0")</f>
        <v>2026-0037</v>
      </c>
      <c r="D303" s="245">
        <v>46108</v>
      </c>
      <c r="E303" s="246" t="s">
        <v>34</v>
      </c>
      <c r="F303" s="247" t="s">
        <v>137</v>
      </c>
      <c r="G303" s="247" t="str">
        <f t="shared" si="29"/>
        <v>Ream</v>
      </c>
      <c r="H303" s="247">
        <f t="shared" si="30"/>
        <v>0</v>
      </c>
      <c r="J303" s="247"/>
    </row>
    <row r="304" spans="1:10">
      <c r="A304" s="251" t="s">
        <v>77</v>
      </c>
      <c r="B304" s="52">
        <v>8</v>
      </c>
      <c r="C304" s="250" t="str">
        <f>Table3[[#This Row],[RIS NO]] &amp; TEXT(Table3[[#This Row],[COUNT (Max10)]], "0;-0")</f>
        <v>2026-0038</v>
      </c>
      <c r="D304" s="245">
        <v>46108</v>
      </c>
      <c r="E304" s="246" t="s">
        <v>14</v>
      </c>
      <c r="F304" s="247">
        <v>2</v>
      </c>
      <c r="G304" s="247" t="str">
        <f t="shared" si="29"/>
        <v>C</v>
      </c>
      <c r="H304" s="247">
        <f t="shared" si="30"/>
        <v>46</v>
      </c>
      <c r="J304" s="247"/>
    </row>
    <row r="305" spans="1:10">
      <c r="A305" s="251" t="s">
        <v>77</v>
      </c>
      <c r="B305" s="52">
        <v>9</v>
      </c>
      <c r="C305" s="250" t="str">
        <f>Table3[[#This Row],[RIS NO]] &amp; TEXT(Table3[[#This Row],[COUNT (Max10)]], "0;-0")</f>
        <v>2026-0039</v>
      </c>
      <c r="D305" s="245">
        <v>46108</v>
      </c>
      <c r="E305" s="246" t="s">
        <v>33</v>
      </c>
      <c r="F305" s="247" t="s">
        <v>137</v>
      </c>
      <c r="G305" s="247" t="str">
        <f t="shared" si="29"/>
        <v>Ream</v>
      </c>
      <c r="H305" s="247">
        <f t="shared" si="30"/>
        <v>0</v>
      </c>
      <c r="J305" s="247"/>
    </row>
    <row r="306" spans="1:10">
      <c r="A306" s="251" t="s">
        <v>77</v>
      </c>
      <c r="B306" s="52">
        <v>10</v>
      </c>
      <c r="C306" s="250" t="str">
        <f>Table3[[#This Row],[RIS NO]] &amp; TEXT(Table3[[#This Row],[COUNT (Max10)]], "0;-0")</f>
        <v>2026-00310</v>
      </c>
      <c r="D306" s="245">
        <v>46108</v>
      </c>
      <c r="E306" s="246" t="s">
        <v>13</v>
      </c>
      <c r="F306" s="247" t="s">
        <v>137</v>
      </c>
      <c r="G306" s="247" t="str">
        <f t="shared" si="29"/>
        <v>C</v>
      </c>
      <c r="H306" s="247">
        <f t="shared" si="30"/>
        <v>330</v>
      </c>
    </row>
    <row r="307" spans="1:10">
      <c r="A307" s="251" t="s">
        <v>77</v>
      </c>
      <c r="B307" s="52">
        <v>11</v>
      </c>
      <c r="C307" s="250" t="str">
        <f>Table3[[#This Row],[RIS NO]] &amp; TEXT(Table3[[#This Row],[COUNT (Max10)]], "0;-0")</f>
        <v>2026-00311</v>
      </c>
      <c r="D307" s="245">
        <v>46108</v>
      </c>
      <c r="E307" s="246" t="s">
        <v>63</v>
      </c>
      <c r="F307" s="247" t="s">
        <v>137</v>
      </c>
      <c r="G307" s="247" t="str">
        <f t="shared" si="29"/>
        <v>Bottle</v>
      </c>
      <c r="H307" s="247">
        <f t="shared" si="30"/>
        <v>2618</v>
      </c>
    </row>
    <row r="308" spans="1:10">
      <c r="A308" s="251" t="s">
        <v>77</v>
      </c>
      <c r="B308" s="52">
        <v>12</v>
      </c>
      <c r="C308" s="250" t="str">
        <f>Table3[[#This Row],[RIS NO]] &amp; TEXT(Table3[[#This Row],[COUNT (Max10)]], "0;-0")</f>
        <v>2026-00312</v>
      </c>
      <c r="D308" s="245">
        <v>46108</v>
      </c>
      <c r="E308" s="246" t="s">
        <v>65</v>
      </c>
      <c r="F308" s="247" t="s">
        <v>137</v>
      </c>
      <c r="G308" s="247" t="str">
        <f t="shared" si="29"/>
        <v>Box</v>
      </c>
      <c r="H308" s="247">
        <f t="shared" si="30"/>
        <v>2538</v>
      </c>
    </row>
    <row r="309" spans="1:10">
      <c r="A309" s="251" t="s">
        <v>77</v>
      </c>
      <c r="B309" s="52">
        <v>13</v>
      </c>
      <c r="C309" s="250" t="str">
        <f>Table3[[#This Row],[RIS NO]] &amp; TEXT(Table3[[#This Row],[COUNT (Max10)]], "0;-0")</f>
        <v>2026-00313</v>
      </c>
      <c r="D309" s="245">
        <v>46108</v>
      </c>
      <c r="E309" s="246" t="s">
        <v>58</v>
      </c>
      <c r="F309" s="247" t="s">
        <v>137</v>
      </c>
      <c r="G309" s="247" t="str">
        <f t="shared" si="29"/>
        <v>Box</v>
      </c>
      <c r="H309" s="247">
        <f t="shared" si="30"/>
        <v>306</v>
      </c>
    </row>
    <row r="310" spans="1:10">
      <c r="A310" s="251" t="s">
        <v>77</v>
      </c>
      <c r="B310" s="52">
        <v>14</v>
      </c>
      <c r="C310" s="250" t="str">
        <f>Table3[[#This Row],[RIS NO]] &amp; TEXT(Table3[[#This Row],[COUNT (Max10)]], "0;-0")</f>
        <v>2026-00314</v>
      </c>
      <c r="D310" s="245">
        <v>46108</v>
      </c>
      <c r="E310" s="246" t="s">
        <v>20</v>
      </c>
      <c r="F310" s="247" t="s">
        <v>137</v>
      </c>
      <c r="G310" s="247" t="str">
        <f t="shared" si="29"/>
        <v>Piece</v>
      </c>
      <c r="H310" s="247">
        <f t="shared" si="30"/>
        <v>1960</v>
      </c>
    </row>
    <row r="311" spans="1:10">
      <c r="A311" s="251" t="s">
        <v>77</v>
      </c>
      <c r="B311" s="52">
        <v>15</v>
      </c>
      <c r="C311" s="250" t="str">
        <f>Table3[[#This Row],[RIS NO]] &amp; TEXT(Table3[[#This Row],[COUNT (Max10)]], "0;-0")</f>
        <v>2026-00315</v>
      </c>
      <c r="D311" s="245">
        <v>46108</v>
      </c>
      <c r="E311" s="246" t="s">
        <v>66</v>
      </c>
      <c r="F311" s="247" t="s">
        <v>137</v>
      </c>
      <c r="G311" s="247" t="str">
        <f t="shared" si="29"/>
        <v>Box</v>
      </c>
      <c r="H311" s="247">
        <f t="shared" si="30"/>
        <v>2546</v>
      </c>
    </row>
    <row r="312" spans="1:10">
      <c r="A312" s="251" t="s">
        <v>77</v>
      </c>
      <c r="B312" s="52">
        <v>16</v>
      </c>
      <c r="C312" s="250" t="str">
        <f>Table3[[#This Row],[RIS NO]] &amp; TEXT(Table3[[#This Row],[COUNT (Max10)]], "0;-0")</f>
        <v>2026-00316</v>
      </c>
      <c r="D312" s="245">
        <v>46108</v>
      </c>
      <c r="E312" s="246" t="s">
        <v>43</v>
      </c>
      <c r="F312" s="247" t="s">
        <v>137</v>
      </c>
      <c r="G312" s="247" t="str">
        <f t="shared" si="29"/>
        <v>Box</v>
      </c>
      <c r="H312" s="247">
        <f t="shared" si="30"/>
        <v>2552</v>
      </c>
    </row>
    <row r="313" spans="1:10">
      <c r="A313" s="251" t="s">
        <v>77</v>
      </c>
      <c r="B313" s="52">
        <v>17</v>
      </c>
      <c r="C313" s="250" t="str">
        <f>Table3[[#This Row],[RIS NO]] &amp; TEXT(Table3[[#This Row],[COUNT (Max10)]], "0;-0")</f>
        <v>2026-00317</v>
      </c>
      <c r="D313" s="245">
        <v>46108</v>
      </c>
      <c r="E313" s="246" t="s">
        <v>68</v>
      </c>
      <c r="F313" s="247">
        <v>2</v>
      </c>
      <c r="G313" s="247" t="str">
        <f t="shared" si="29"/>
        <v>Piece</v>
      </c>
      <c r="H313" s="247">
        <f t="shared" si="30"/>
        <v>0</v>
      </c>
    </row>
    <row r="314" spans="1:10">
      <c r="A314" s="251" t="s">
        <v>77</v>
      </c>
      <c r="B314" s="52">
        <v>18</v>
      </c>
      <c r="C314" s="250" t="str">
        <f>Table3[[#This Row],[RIS NO]] &amp; TEXT(Table3[[#This Row],[COUNT (Max10)]], "0;-0")</f>
        <v>2026-00318</v>
      </c>
      <c r="D314" s="245">
        <v>46108</v>
      </c>
      <c r="E314" s="246" t="s">
        <v>36</v>
      </c>
      <c r="F314" s="247">
        <v>3</v>
      </c>
      <c r="G314" s="247" t="str">
        <f t="shared" si="29"/>
        <v>Ream</v>
      </c>
      <c r="H314" s="247">
        <f t="shared" si="30"/>
        <v>0</v>
      </c>
    </row>
    <row r="315" spans="1:10">
      <c r="A315" s="251" t="s">
        <v>77</v>
      </c>
      <c r="B315" s="52">
        <v>19</v>
      </c>
      <c r="C315" s="250" t="str">
        <f>Table3[[#This Row],[RIS NO]] &amp; TEXT(Table3[[#This Row],[COUNT (Max10)]], "0;-0")</f>
        <v>2026-00319</v>
      </c>
      <c r="D315" s="245">
        <v>46108</v>
      </c>
      <c r="E315" s="246" t="s">
        <v>35</v>
      </c>
      <c r="F315" s="247" t="s">
        <v>137</v>
      </c>
      <c r="G315" s="247" t="str">
        <f t="shared" si="29"/>
        <v>Ream</v>
      </c>
      <c r="H315" s="247">
        <f t="shared" si="30"/>
        <v>0</v>
      </c>
    </row>
    <row r="316" spans="1:10">
      <c r="A316" s="251" t="s">
        <v>77</v>
      </c>
      <c r="B316" s="52">
        <v>20</v>
      </c>
      <c r="C316" s="250" t="str">
        <f>Table3[[#This Row],[RIS NO]] &amp; TEXT(Table3[[#This Row],[COUNT (Max10)]], "0;-0")</f>
        <v>2026-00320</v>
      </c>
      <c r="D316" s="245">
        <v>46108</v>
      </c>
      <c r="E316" s="246" t="s">
        <v>78</v>
      </c>
      <c r="F316" s="247">
        <v>100</v>
      </c>
      <c r="G316" s="247" t="str">
        <f t="shared" si="29"/>
        <v>PCS</v>
      </c>
      <c r="H316" s="247">
        <f t="shared" si="30"/>
        <v>222</v>
      </c>
    </row>
    <row r="317" spans="1:10">
      <c r="A317" s="251" t="s">
        <v>79</v>
      </c>
      <c r="B317" s="52">
        <v>1</v>
      </c>
      <c r="C317" s="250" t="str">
        <f>Table3[[#This Row],[RIS NO]] &amp; TEXT(Table3[[#This Row],[COUNT (Max10)]], "0;-0")</f>
        <v>2026-0041</v>
      </c>
      <c r="D317" s="245">
        <v>46142</v>
      </c>
      <c r="E317" s="252" t="s">
        <v>10</v>
      </c>
      <c r="F317" s="247" t="s">
        <v>91</v>
      </c>
      <c r="G317" s="247" t="str">
        <f t="shared" si="29"/>
        <v>Ream</v>
      </c>
      <c r="H317" s="247">
        <f t="shared" si="30"/>
        <v>2276</v>
      </c>
    </row>
    <row r="318" spans="1:10">
      <c r="A318" s="251" t="s">
        <v>79</v>
      </c>
      <c r="B318" s="52">
        <v>2</v>
      </c>
      <c r="C318" s="250" t="str">
        <f>Table3[[#This Row],[RIS NO]] &amp; TEXT(Table3[[#This Row],[COUNT (Max10)]], "0;-0")</f>
        <v>2026-0042</v>
      </c>
      <c r="D318" s="245">
        <v>46142</v>
      </c>
      <c r="E318" s="252" t="s">
        <v>30</v>
      </c>
      <c r="F318" s="247">
        <v>3</v>
      </c>
      <c r="G318" s="247" t="str">
        <f t="shared" si="29"/>
        <v>Box</v>
      </c>
      <c r="H318" s="247">
        <f t="shared" si="30"/>
        <v>310</v>
      </c>
    </row>
    <row r="319" spans="1:10">
      <c r="A319" s="251" t="s">
        <v>79</v>
      </c>
      <c r="B319" s="52">
        <v>3</v>
      </c>
      <c r="C319" s="250" t="str">
        <f>Table3[[#This Row],[RIS NO]] &amp; TEXT(Table3[[#This Row],[COUNT (Max10)]], "0;-0")</f>
        <v>2026-0043</v>
      </c>
      <c r="D319" s="245">
        <v>46142</v>
      </c>
      <c r="E319" s="252" t="s">
        <v>25</v>
      </c>
      <c r="F319" s="247" t="s">
        <v>91</v>
      </c>
      <c r="G319" s="247" t="str">
        <f t="shared" si="29"/>
        <v>Box</v>
      </c>
      <c r="H319" s="247">
        <f t="shared" si="30"/>
        <v>2550</v>
      </c>
    </row>
    <row r="320" spans="1:10">
      <c r="A320" s="251" t="s">
        <v>79</v>
      </c>
      <c r="B320" s="52">
        <v>4</v>
      </c>
      <c r="C320" s="250" t="str">
        <f>Table3[[#This Row],[RIS NO]] &amp; TEXT(Table3[[#This Row],[COUNT (Max10)]], "0;-0")</f>
        <v>2026-0044</v>
      </c>
      <c r="D320" s="245">
        <v>46142</v>
      </c>
      <c r="E320" s="252" t="s">
        <v>38</v>
      </c>
      <c r="F320" s="247" t="s">
        <v>91</v>
      </c>
      <c r="G320" s="247" t="str">
        <f t="shared" si="29"/>
        <v>Ream</v>
      </c>
      <c r="H320" s="247">
        <f t="shared" si="30"/>
        <v>2521</v>
      </c>
    </row>
    <row r="321" spans="1:8">
      <c r="A321" s="251" t="s">
        <v>79</v>
      </c>
      <c r="B321" s="52">
        <v>5</v>
      </c>
      <c r="C321" s="250" t="str">
        <f>Table3[[#This Row],[RIS NO]] &amp; TEXT(Table3[[#This Row],[COUNT (Max10)]], "0;-0")</f>
        <v>2026-0045</v>
      </c>
      <c r="D321" s="245">
        <v>46142</v>
      </c>
      <c r="E321" s="252" t="s">
        <v>17</v>
      </c>
      <c r="F321" s="247" t="s">
        <v>91</v>
      </c>
      <c r="G321" s="247" t="str">
        <f t="shared" si="29"/>
        <v>Piece</v>
      </c>
      <c r="H321" s="247">
        <f t="shared" si="30"/>
        <v>336</v>
      </c>
    </row>
    <row r="322" spans="1:8">
      <c r="A322" s="251" t="s">
        <v>79</v>
      </c>
      <c r="B322" s="52">
        <v>6</v>
      </c>
      <c r="C322" s="250" t="str">
        <f>Table3[[#This Row],[RIS NO]] &amp; TEXT(Table3[[#This Row],[COUNT (Max10)]], "0;-0")</f>
        <v>2026-0046</v>
      </c>
      <c r="D322" s="245">
        <v>46142</v>
      </c>
      <c r="E322" s="252" t="s">
        <v>34</v>
      </c>
      <c r="F322" s="247" t="s">
        <v>91</v>
      </c>
      <c r="G322" s="247" t="str">
        <f t="shared" si="29"/>
        <v>Ream</v>
      </c>
      <c r="H322" s="247">
        <f t="shared" si="30"/>
        <v>0</v>
      </c>
    </row>
    <row r="323" spans="1:8">
      <c r="A323" s="251" t="s">
        <v>79</v>
      </c>
      <c r="B323" s="52">
        <v>7</v>
      </c>
      <c r="C323" s="250" t="str">
        <f>Table3[[#This Row],[RIS NO]] &amp; TEXT(Table3[[#This Row],[COUNT (Max10)]], "0;-0")</f>
        <v>2026-0047</v>
      </c>
      <c r="D323" s="245">
        <v>46142</v>
      </c>
      <c r="E323" s="252" t="s">
        <v>14</v>
      </c>
      <c r="F323" s="247" t="s">
        <v>91</v>
      </c>
      <c r="G323" s="247" t="str">
        <f t="shared" si="29"/>
        <v>C</v>
      </c>
      <c r="H323" s="247">
        <f t="shared" si="30"/>
        <v>46</v>
      </c>
    </row>
    <row r="324" spans="1:8">
      <c r="A324" s="251" t="s">
        <v>79</v>
      </c>
      <c r="B324" s="52">
        <v>8</v>
      </c>
      <c r="C324" s="250" t="str">
        <f>Table3[[#This Row],[RIS NO]] &amp; TEXT(Table3[[#This Row],[COUNT (Max10)]], "0;-0")</f>
        <v>2026-0048</v>
      </c>
      <c r="D324" s="245">
        <v>46142</v>
      </c>
      <c r="E324" s="252" t="s">
        <v>33</v>
      </c>
      <c r="F324" s="247" t="s">
        <v>91</v>
      </c>
      <c r="G324" s="247" t="str">
        <f t="shared" si="29"/>
        <v>Ream</v>
      </c>
      <c r="H324" s="247">
        <f t="shared" si="30"/>
        <v>0</v>
      </c>
    </row>
    <row r="325" spans="1:8">
      <c r="A325" s="251" t="s">
        <v>79</v>
      </c>
      <c r="B325" s="52">
        <v>9</v>
      </c>
      <c r="C325" s="250" t="str">
        <f>Table3[[#This Row],[RIS NO]] &amp; TEXT(Table3[[#This Row],[COUNT (Max10)]], "0;-0")</f>
        <v>2026-0049</v>
      </c>
      <c r="D325" s="245">
        <v>46142</v>
      </c>
      <c r="E325" s="252" t="s">
        <v>13</v>
      </c>
      <c r="F325" s="247">
        <v>2</v>
      </c>
      <c r="G325" s="247" t="str">
        <f t="shared" si="29"/>
        <v>C</v>
      </c>
      <c r="H325" s="247">
        <f t="shared" si="30"/>
        <v>330</v>
      </c>
    </row>
    <row r="326" spans="1:8">
      <c r="A326" s="251" t="s">
        <v>79</v>
      </c>
      <c r="B326" s="52">
        <v>10</v>
      </c>
      <c r="C326" s="250" t="str">
        <f>Table3[[#This Row],[RIS NO]] &amp; TEXT(Table3[[#This Row],[COUNT (Max10)]], "0;-0")</f>
        <v>2026-00410</v>
      </c>
      <c r="D326" s="245">
        <v>46142</v>
      </c>
      <c r="E326" s="252" t="s">
        <v>63</v>
      </c>
      <c r="F326" s="247" t="s">
        <v>91</v>
      </c>
      <c r="G326" s="247" t="str">
        <f t="shared" si="29"/>
        <v>Bottle</v>
      </c>
      <c r="H326" s="247">
        <f t="shared" si="30"/>
        <v>2618</v>
      </c>
    </row>
    <row r="327" spans="1:8">
      <c r="A327" s="251" t="s">
        <v>79</v>
      </c>
      <c r="B327" s="52">
        <v>11</v>
      </c>
      <c r="C327" s="250" t="str">
        <f>Table3[[#This Row],[RIS NO]] &amp; TEXT(Table3[[#This Row],[COUNT (Max10)]], "0;-0")</f>
        <v>2026-00411</v>
      </c>
      <c r="D327" s="245">
        <v>46142</v>
      </c>
      <c r="E327" s="252" t="s">
        <v>65</v>
      </c>
      <c r="F327" s="247" t="s">
        <v>91</v>
      </c>
      <c r="G327" s="247" t="str">
        <f t="shared" si="29"/>
        <v>Box</v>
      </c>
      <c r="H327" s="247">
        <f t="shared" si="30"/>
        <v>2538</v>
      </c>
    </row>
    <row r="328" spans="1:8">
      <c r="A328" s="251" t="s">
        <v>79</v>
      </c>
      <c r="B328" s="52">
        <v>12</v>
      </c>
      <c r="C328" s="250" t="str">
        <f>Table3[[#This Row],[RIS NO]] &amp; TEXT(Table3[[#This Row],[COUNT (Max10)]], "0;-0")</f>
        <v>2026-00412</v>
      </c>
      <c r="D328" s="245">
        <v>46142</v>
      </c>
      <c r="E328" s="252" t="s">
        <v>58</v>
      </c>
      <c r="F328" s="247" t="s">
        <v>91</v>
      </c>
      <c r="G328" s="247" t="str">
        <f t="shared" ref="G328:G360" si="31">IFERROR(VLOOKUP(E328,SUPPLY2,3,0),"-")</f>
        <v>Box</v>
      </c>
      <c r="H328" s="247">
        <f t="shared" ref="H328:H360" si="32">IFERROR(VLOOKUP(E328,SUPPLY2,4,0),"-")</f>
        <v>306</v>
      </c>
    </row>
    <row r="329" spans="1:8">
      <c r="A329" s="251" t="s">
        <v>79</v>
      </c>
      <c r="B329" s="52">
        <v>13</v>
      </c>
      <c r="C329" s="250" t="str">
        <f>Table3[[#This Row],[RIS NO]] &amp; TEXT(Table3[[#This Row],[COUNT (Max10)]], "0;-0")</f>
        <v>2026-00413</v>
      </c>
      <c r="D329" s="245">
        <v>46142</v>
      </c>
      <c r="E329" s="252" t="s">
        <v>20</v>
      </c>
      <c r="F329" s="247" t="s">
        <v>91</v>
      </c>
      <c r="G329" s="247" t="str">
        <f t="shared" si="31"/>
        <v>Piece</v>
      </c>
      <c r="H329" s="247">
        <f t="shared" si="32"/>
        <v>1960</v>
      </c>
    </row>
    <row r="330" spans="1:8">
      <c r="A330" s="251" t="s">
        <v>79</v>
      </c>
      <c r="B330" s="52">
        <v>14</v>
      </c>
      <c r="C330" s="250" t="str">
        <f>Table3[[#This Row],[RIS NO]] &amp; TEXT(Table3[[#This Row],[COUNT (Max10)]], "0;-0")</f>
        <v>2026-00414</v>
      </c>
      <c r="D330" s="245">
        <v>46142</v>
      </c>
      <c r="E330" s="252" t="s">
        <v>66</v>
      </c>
      <c r="F330" s="247" t="s">
        <v>91</v>
      </c>
      <c r="G330" s="247" t="str">
        <f t="shared" si="31"/>
        <v>Box</v>
      </c>
      <c r="H330" s="247">
        <f t="shared" si="32"/>
        <v>2546</v>
      </c>
    </row>
    <row r="331" spans="1:8">
      <c r="A331" s="251" t="s">
        <v>79</v>
      </c>
      <c r="B331" s="52">
        <v>15</v>
      </c>
      <c r="C331" s="250" t="str">
        <f>Table3[[#This Row],[RIS NO]] &amp; TEXT(Table3[[#This Row],[COUNT (Max10)]], "0;-0")</f>
        <v>2026-00415</v>
      </c>
      <c r="D331" s="245">
        <v>46142</v>
      </c>
      <c r="E331" s="252" t="s">
        <v>43</v>
      </c>
      <c r="F331" s="247" t="s">
        <v>91</v>
      </c>
      <c r="G331" s="247" t="str">
        <f t="shared" si="31"/>
        <v>Box</v>
      </c>
      <c r="H331" s="247">
        <f t="shared" si="32"/>
        <v>2552</v>
      </c>
    </row>
    <row r="332" spans="1:8">
      <c r="A332" s="251" t="s">
        <v>79</v>
      </c>
      <c r="B332" s="52">
        <v>16</v>
      </c>
      <c r="C332" s="250" t="str">
        <f>Table3[[#This Row],[RIS NO]] &amp; TEXT(Table3[[#This Row],[COUNT (Max10)]], "0;-0")</f>
        <v>2026-00416</v>
      </c>
      <c r="D332" s="245">
        <v>46142</v>
      </c>
      <c r="E332" s="252" t="s">
        <v>68</v>
      </c>
      <c r="F332" s="247">
        <v>2</v>
      </c>
      <c r="G332" s="247" t="str">
        <f t="shared" si="31"/>
        <v>Piece</v>
      </c>
      <c r="H332" s="247">
        <f t="shared" si="32"/>
        <v>0</v>
      </c>
    </row>
    <row r="333" spans="1:8">
      <c r="A333" s="251" t="s">
        <v>79</v>
      </c>
      <c r="B333" s="52">
        <v>17</v>
      </c>
      <c r="C333" s="250" t="str">
        <f>Table3[[#This Row],[RIS NO]] &amp; TEXT(Table3[[#This Row],[COUNT (Max10)]], "0;-0")</f>
        <v>2026-00417</v>
      </c>
      <c r="D333" s="245">
        <v>46142</v>
      </c>
      <c r="E333" s="252" t="s">
        <v>36</v>
      </c>
      <c r="F333" s="247" t="s">
        <v>91</v>
      </c>
      <c r="G333" s="247" t="str">
        <f t="shared" si="31"/>
        <v>Ream</v>
      </c>
      <c r="H333" s="247">
        <f t="shared" si="32"/>
        <v>0</v>
      </c>
    </row>
    <row r="334" spans="1:8">
      <c r="A334" s="251" t="s">
        <v>79</v>
      </c>
      <c r="B334" s="52">
        <v>18</v>
      </c>
      <c r="C334" s="250" t="str">
        <f>Table3[[#This Row],[RIS NO]] &amp; TEXT(Table3[[#This Row],[COUNT (Max10)]], "0;-0")</f>
        <v>2026-00418</v>
      </c>
      <c r="D334" s="245">
        <v>46142</v>
      </c>
      <c r="E334" s="252" t="s">
        <v>35</v>
      </c>
      <c r="F334" s="247" t="s">
        <v>91</v>
      </c>
      <c r="G334" s="247" t="str">
        <f t="shared" si="31"/>
        <v>Ream</v>
      </c>
      <c r="H334" s="247">
        <f t="shared" si="32"/>
        <v>0</v>
      </c>
    </row>
    <row r="335" spans="1:8">
      <c r="A335" s="251" t="s">
        <v>79</v>
      </c>
      <c r="B335" s="52">
        <v>19</v>
      </c>
      <c r="C335" s="250" t="str">
        <f>Table3[[#This Row],[RIS NO]] &amp; TEXT(Table3[[#This Row],[COUNT (Max10)]], "0;-0")</f>
        <v>2026-00419</v>
      </c>
      <c r="D335" s="245">
        <v>46142</v>
      </c>
      <c r="E335" s="252" t="s">
        <v>78</v>
      </c>
      <c r="F335" s="247">
        <v>100</v>
      </c>
      <c r="G335" s="247" t="str">
        <f t="shared" si="31"/>
        <v>PCS</v>
      </c>
      <c r="H335" s="247">
        <f t="shared" si="32"/>
        <v>222</v>
      </c>
    </row>
    <row r="336" spans="1:8">
      <c r="A336" s="251" t="s">
        <v>79</v>
      </c>
      <c r="B336" s="52">
        <v>20</v>
      </c>
      <c r="C336" s="250" t="str">
        <f>Table3[[#This Row],[RIS NO]] &amp; TEXT(Table3[[#This Row],[COUNT (Max10)]], "0;-0")</f>
        <v>2026-00420</v>
      </c>
      <c r="D336" s="245">
        <v>46142</v>
      </c>
      <c r="E336" s="252" t="s">
        <v>70</v>
      </c>
      <c r="F336" s="247">
        <v>100</v>
      </c>
      <c r="G336" s="247" t="str">
        <f t="shared" si="31"/>
        <v>Roll</v>
      </c>
      <c r="H336" s="247">
        <f t="shared" si="32"/>
        <v>2629</v>
      </c>
    </row>
    <row r="337" spans="1:8">
      <c r="A337" s="251" t="s">
        <v>80</v>
      </c>
      <c r="B337" s="52">
        <v>1</v>
      </c>
      <c r="C337" s="250" t="str">
        <f>Table3[[#This Row],[RIS NO]] &amp; TEXT(Table3[[#This Row],[COUNT (Max10)]], "0;-0")</f>
        <v>2026-0051</v>
      </c>
      <c r="D337" s="245">
        <v>46212</v>
      </c>
      <c r="E337" s="252" t="s">
        <v>70</v>
      </c>
      <c r="F337" s="247">
        <v>50</v>
      </c>
      <c r="G337" s="247" t="str">
        <f t="shared" si="31"/>
        <v>Roll</v>
      </c>
      <c r="H337" s="247">
        <f t="shared" si="32"/>
        <v>2629</v>
      </c>
    </row>
    <row r="338" spans="1:8">
      <c r="A338" s="251" t="s">
        <v>80</v>
      </c>
      <c r="B338" s="52">
        <v>2</v>
      </c>
      <c r="C338" s="250" t="str">
        <f>Table3[[#This Row],[RIS NO]] &amp; TEXT(Table3[[#This Row],[COUNT (Max10)]], "0;-0")</f>
        <v>2026-0052</v>
      </c>
      <c r="D338" s="245">
        <v>46212</v>
      </c>
      <c r="E338" s="252" t="s">
        <v>13</v>
      </c>
      <c r="F338" s="247">
        <v>2</v>
      </c>
      <c r="G338" s="247" t="str">
        <f t="shared" si="31"/>
        <v>C</v>
      </c>
      <c r="H338" s="247">
        <f t="shared" si="32"/>
        <v>330</v>
      </c>
    </row>
    <row r="339" spans="1:8">
      <c r="A339" s="251" t="s">
        <v>80</v>
      </c>
      <c r="B339" s="52">
        <v>3</v>
      </c>
      <c r="C339" s="250" t="str">
        <f>Table3[[#This Row],[RIS NO]] &amp; TEXT(Table3[[#This Row],[COUNT (Max10)]], "0;-0")</f>
        <v>2026-0053</v>
      </c>
      <c r="D339" s="245">
        <v>46212</v>
      </c>
      <c r="E339" s="252" t="s">
        <v>24</v>
      </c>
      <c r="F339" s="247" t="s">
        <v>91</v>
      </c>
      <c r="G339" s="247" t="str">
        <f t="shared" si="31"/>
        <v>Piece</v>
      </c>
      <c r="H339" s="247">
        <f t="shared" si="32"/>
        <v>338</v>
      </c>
    </row>
    <row r="340" spans="1:8">
      <c r="A340" s="251" t="s">
        <v>80</v>
      </c>
      <c r="B340" s="52">
        <v>4</v>
      </c>
      <c r="C340" s="250" t="str">
        <f>Table3[[#This Row],[RIS NO]] &amp; TEXT(Table3[[#This Row],[COUNT (Max10)]], "0;-0")</f>
        <v>2026-0054</v>
      </c>
      <c r="D340" s="245">
        <v>46212</v>
      </c>
      <c r="E340" s="252" t="s">
        <v>81</v>
      </c>
      <c r="F340" s="247">
        <v>2</v>
      </c>
      <c r="G340" s="247" t="str">
        <f t="shared" si="31"/>
        <v>Piece</v>
      </c>
      <c r="H340" s="247">
        <f t="shared" si="32"/>
        <v>339</v>
      </c>
    </row>
    <row r="341" spans="1:8">
      <c r="A341" s="251" t="s">
        <v>80</v>
      </c>
      <c r="B341" s="52">
        <v>5</v>
      </c>
      <c r="C341" s="250" t="str">
        <f>Table3[[#This Row],[RIS NO]] &amp; TEXT(Table3[[#This Row],[COUNT (Max10)]], "0;-0")</f>
        <v>2026-0055</v>
      </c>
      <c r="D341" s="245">
        <v>46212</v>
      </c>
      <c r="E341" s="252" t="s">
        <v>27</v>
      </c>
      <c r="F341" s="247">
        <v>5</v>
      </c>
      <c r="G341" s="247" t="str">
        <f t="shared" si="31"/>
        <v>Bag</v>
      </c>
      <c r="H341" s="247">
        <f t="shared" si="32"/>
        <v>308</v>
      </c>
    </row>
    <row r="342" spans="1:8">
      <c r="A342" s="251" t="s">
        <v>80</v>
      </c>
      <c r="B342" s="52">
        <v>6</v>
      </c>
      <c r="C342" s="250" t="str">
        <f>Table3[[#This Row],[RIS NO]] &amp; TEXT(Table3[[#This Row],[COUNT (Max10)]], "0;-0")</f>
        <v>2026-0056</v>
      </c>
      <c r="D342" s="245">
        <v>46212</v>
      </c>
      <c r="E342" s="252" t="s">
        <v>14</v>
      </c>
      <c r="F342" s="247" t="s">
        <v>91</v>
      </c>
      <c r="G342" s="247" t="str">
        <f t="shared" si="31"/>
        <v>C</v>
      </c>
      <c r="H342" s="247">
        <f t="shared" si="32"/>
        <v>46</v>
      </c>
    </row>
    <row r="343" spans="1:8">
      <c r="A343" s="251" t="s">
        <v>80</v>
      </c>
      <c r="B343" s="52">
        <v>7</v>
      </c>
      <c r="C343" s="250" t="str">
        <f>Table3[[#This Row],[RIS NO]] &amp; TEXT(Table3[[#This Row],[COUNT (Max10)]], "0;-0")</f>
        <v>2026-0057</v>
      </c>
      <c r="D343" s="245">
        <v>46212</v>
      </c>
      <c r="E343" s="252" t="s">
        <v>15</v>
      </c>
      <c r="F343" s="247">
        <v>20</v>
      </c>
      <c r="G343" s="247" t="str">
        <f t="shared" si="31"/>
        <v>Roll</v>
      </c>
      <c r="H343" s="247">
        <f t="shared" si="32"/>
        <v>301</v>
      </c>
    </row>
    <row r="344" spans="1:8">
      <c r="A344" s="251" t="s">
        <v>80</v>
      </c>
      <c r="B344" s="52">
        <v>8</v>
      </c>
      <c r="C344" s="250" t="str">
        <f>Table3[[#This Row],[RIS NO]] &amp; TEXT(Table3[[#This Row],[COUNT (Max10)]], "0;-0")</f>
        <v>2026-0058</v>
      </c>
      <c r="D344" s="245">
        <v>46212</v>
      </c>
      <c r="E344" s="252" t="s">
        <v>30</v>
      </c>
      <c r="F344" s="247">
        <v>50</v>
      </c>
      <c r="G344" s="247" t="str">
        <f t="shared" si="31"/>
        <v>Box</v>
      </c>
      <c r="H344" s="247">
        <f t="shared" si="32"/>
        <v>310</v>
      </c>
    </row>
    <row r="345" spans="1:8">
      <c r="A345" s="251" t="s">
        <v>82</v>
      </c>
      <c r="B345" s="52">
        <v>1</v>
      </c>
      <c r="C345" s="250" t="str">
        <f>Table3[[#This Row],[RIS NO]] &amp; TEXT(Table3[[#This Row],[COUNT (Max10)]], "0;-0")</f>
        <v>2026-0061</v>
      </c>
      <c r="D345" s="245">
        <v>46212</v>
      </c>
      <c r="E345" s="252" t="s">
        <v>10</v>
      </c>
      <c r="F345" s="247">
        <v>5</v>
      </c>
      <c r="G345" s="247" t="str">
        <f t="shared" si="31"/>
        <v>Ream</v>
      </c>
      <c r="H345" s="247">
        <f t="shared" si="32"/>
        <v>2276</v>
      </c>
    </row>
    <row r="346" spans="1:8">
      <c r="A346" s="251" t="s">
        <v>82</v>
      </c>
      <c r="B346" s="52">
        <v>2</v>
      </c>
      <c r="C346" s="250" t="str">
        <f>Table3[[#This Row],[RIS NO]] &amp; TEXT(Table3[[#This Row],[COUNT (Max10)]], "0;-0")</f>
        <v>2026-0062</v>
      </c>
      <c r="D346" s="245">
        <v>46212</v>
      </c>
      <c r="E346" s="252" t="s">
        <v>12</v>
      </c>
      <c r="F346" s="247">
        <v>5</v>
      </c>
      <c r="G346" s="247" t="str">
        <f t="shared" si="31"/>
        <v>Ream</v>
      </c>
      <c r="H346" s="247">
        <f t="shared" si="32"/>
        <v>2067</v>
      </c>
    </row>
    <row r="347" spans="1:8">
      <c r="A347" s="251" t="s">
        <v>82</v>
      </c>
      <c r="B347" s="52">
        <v>3</v>
      </c>
      <c r="C347" s="250" t="str">
        <f>Table3[[#This Row],[RIS NO]] &amp; TEXT(Table3[[#This Row],[COUNT (Max10)]], "0;-0")</f>
        <v>2026-0063</v>
      </c>
      <c r="D347" s="245">
        <v>46212</v>
      </c>
      <c r="E347" s="252" t="s">
        <v>33</v>
      </c>
      <c r="F347" s="247">
        <v>2</v>
      </c>
      <c r="G347" s="247" t="str">
        <f t="shared" si="31"/>
        <v>Ream</v>
      </c>
      <c r="H347" s="247">
        <f t="shared" si="32"/>
        <v>0</v>
      </c>
    </row>
    <row r="348" spans="1:8">
      <c r="A348" s="251" t="s">
        <v>82</v>
      </c>
      <c r="B348" s="52">
        <v>4</v>
      </c>
      <c r="C348" s="250" t="str">
        <f>Table3[[#This Row],[RIS NO]] &amp; TEXT(Table3[[#This Row],[COUNT (Max10)]], "0;-0")</f>
        <v>2026-0064</v>
      </c>
      <c r="D348" s="245">
        <v>46212</v>
      </c>
      <c r="E348" s="252" t="s">
        <v>36</v>
      </c>
      <c r="F348" s="247">
        <v>2</v>
      </c>
      <c r="G348" s="247" t="str">
        <f t="shared" si="31"/>
        <v>Ream</v>
      </c>
      <c r="H348" s="247">
        <f t="shared" si="32"/>
        <v>0</v>
      </c>
    </row>
    <row r="349" spans="1:8">
      <c r="A349" s="251" t="s">
        <v>82</v>
      </c>
      <c r="B349" s="52">
        <v>5</v>
      </c>
      <c r="C349" s="250" t="str">
        <f>Table3[[#This Row],[RIS NO]] &amp; TEXT(Table3[[#This Row],[COUNT (Max10)]], "0;-0")</f>
        <v>2026-0065</v>
      </c>
      <c r="D349" s="245">
        <v>46212</v>
      </c>
      <c r="E349" s="252" t="s">
        <v>34</v>
      </c>
      <c r="F349" s="247">
        <v>2</v>
      </c>
      <c r="G349" s="247" t="str">
        <f t="shared" si="31"/>
        <v>Ream</v>
      </c>
      <c r="H349" s="247">
        <f t="shared" si="32"/>
        <v>0</v>
      </c>
    </row>
    <row r="350" spans="1:8">
      <c r="A350" s="251" t="s">
        <v>82</v>
      </c>
      <c r="B350" s="52">
        <v>6</v>
      </c>
      <c r="C350" s="250" t="str">
        <f>Table3[[#This Row],[RIS NO]] &amp; TEXT(Table3[[#This Row],[COUNT (Max10)]], "0;-0")</f>
        <v>2026-0066</v>
      </c>
      <c r="D350" s="245">
        <v>46212</v>
      </c>
      <c r="E350" s="252" t="s">
        <v>14</v>
      </c>
      <c r="F350" s="247" t="s">
        <v>91</v>
      </c>
      <c r="G350" s="247" t="str">
        <f t="shared" si="31"/>
        <v>C</v>
      </c>
      <c r="H350" s="247">
        <f t="shared" si="32"/>
        <v>46</v>
      </c>
    </row>
    <row r="351" spans="1:8">
      <c r="A351" s="251" t="s">
        <v>82</v>
      </c>
      <c r="B351" s="52">
        <v>7</v>
      </c>
      <c r="C351" s="250" t="str">
        <f>Table3[[#This Row],[RIS NO]] &amp; TEXT(Table3[[#This Row],[COUNT (Max10)]], "0;-0")</f>
        <v>2026-0067</v>
      </c>
      <c r="D351" s="245">
        <v>46212</v>
      </c>
      <c r="E351" s="252" t="s">
        <v>13</v>
      </c>
      <c r="F351" s="247">
        <v>2</v>
      </c>
      <c r="G351" s="247" t="str">
        <f t="shared" si="31"/>
        <v>C</v>
      </c>
      <c r="H351" s="247">
        <f t="shared" si="32"/>
        <v>330</v>
      </c>
    </row>
    <row r="352" spans="1:8">
      <c r="A352" s="251" t="s">
        <v>82</v>
      </c>
      <c r="B352" s="52">
        <v>8</v>
      </c>
      <c r="C352" s="250" t="str">
        <f>Table3[[#This Row],[RIS NO]] &amp; TEXT(Table3[[#This Row],[COUNT (Max10)]], "0;-0")</f>
        <v>2026-0068</v>
      </c>
      <c r="D352" s="245">
        <v>46212</v>
      </c>
      <c r="E352" s="252" t="s">
        <v>15</v>
      </c>
      <c r="F352" s="247" t="s">
        <v>91</v>
      </c>
      <c r="G352" s="247" t="str">
        <f t="shared" si="31"/>
        <v>Roll</v>
      </c>
      <c r="H352" s="247">
        <f t="shared" si="32"/>
        <v>301</v>
      </c>
    </row>
    <row r="353" spans="1:8">
      <c r="A353" s="251" t="s">
        <v>82</v>
      </c>
      <c r="B353" s="52">
        <v>9</v>
      </c>
      <c r="C353" s="250" t="str">
        <f>Table3[[#This Row],[RIS NO]] &amp; TEXT(Table3[[#This Row],[COUNT (Max10)]], "0;-0")</f>
        <v>2026-0069</v>
      </c>
      <c r="D353" s="245">
        <v>46212</v>
      </c>
      <c r="E353" s="252" t="s">
        <v>63</v>
      </c>
      <c r="F353" s="247">
        <v>10</v>
      </c>
      <c r="G353" s="247" t="str">
        <f t="shared" si="31"/>
        <v>Bottle</v>
      </c>
      <c r="H353" s="247">
        <f t="shared" si="32"/>
        <v>2618</v>
      </c>
    </row>
    <row r="354" spans="1:8">
      <c r="A354" s="251" t="s">
        <v>82</v>
      </c>
      <c r="B354" s="52">
        <v>10</v>
      </c>
      <c r="C354" s="250" t="str">
        <f>Table3[[#This Row],[RIS NO]] &amp; TEXT(Table3[[#This Row],[COUNT (Max10)]], "0;-0")</f>
        <v>2026-00610</v>
      </c>
      <c r="D354" s="245">
        <v>46212</v>
      </c>
      <c r="E354" s="252" t="s">
        <v>38</v>
      </c>
      <c r="F354" s="247">
        <v>2</v>
      </c>
      <c r="G354" s="247" t="str">
        <f t="shared" si="31"/>
        <v>Ream</v>
      </c>
      <c r="H354" s="247">
        <f t="shared" si="32"/>
        <v>2521</v>
      </c>
    </row>
    <row r="355" spans="1:8">
      <c r="A355" s="251" t="s">
        <v>82</v>
      </c>
      <c r="B355" s="52">
        <v>11</v>
      </c>
      <c r="C355" s="250" t="str">
        <f>Table3[[#This Row],[RIS NO]] &amp; TEXT(Table3[[#This Row],[COUNT (Max10)]], "0;-0")</f>
        <v>2026-00611</v>
      </c>
      <c r="D355" s="245">
        <v>46212</v>
      </c>
      <c r="E355" s="252" t="s">
        <v>30</v>
      </c>
      <c r="F355" s="247">
        <v>3</v>
      </c>
      <c r="G355" s="247" t="str">
        <f t="shared" si="31"/>
        <v>Box</v>
      </c>
      <c r="H355" s="247">
        <f t="shared" si="32"/>
        <v>310</v>
      </c>
    </row>
    <row r="356" spans="1:8">
      <c r="A356" s="251" t="s">
        <v>82</v>
      </c>
      <c r="B356" s="52">
        <v>12</v>
      </c>
      <c r="C356" s="250" t="str">
        <f>Table3[[#This Row],[RIS NO]] &amp; TEXT(Table3[[#This Row],[COUNT (Max10)]], "0;-0")</f>
        <v>2026-00612</v>
      </c>
      <c r="D356" s="245">
        <v>46212</v>
      </c>
      <c r="E356" s="252" t="s">
        <v>18</v>
      </c>
      <c r="F356" s="247" t="s">
        <v>91</v>
      </c>
      <c r="G356" s="247" t="str">
        <f t="shared" si="31"/>
        <v>Piece</v>
      </c>
      <c r="H356" s="247">
        <f t="shared" si="32"/>
        <v>337</v>
      </c>
    </row>
    <row r="357" spans="1:8">
      <c r="A357" s="251" t="s">
        <v>82</v>
      </c>
      <c r="B357" s="52">
        <v>13</v>
      </c>
      <c r="C357" s="250" t="str">
        <f>Table3[[#This Row],[RIS NO]] &amp; TEXT(Table3[[#This Row],[COUNT (Max10)]], "0;-0")</f>
        <v>2026-00613</v>
      </c>
      <c r="D357" s="245">
        <v>46212</v>
      </c>
      <c r="E357" s="252" t="s">
        <v>70</v>
      </c>
      <c r="F357" s="247">
        <v>50</v>
      </c>
      <c r="G357" s="247" t="str">
        <f t="shared" si="31"/>
        <v>Roll</v>
      </c>
      <c r="H357" s="247">
        <f t="shared" si="32"/>
        <v>2629</v>
      </c>
    </row>
    <row r="358" spans="1:8">
      <c r="A358" s="251" t="s">
        <v>138</v>
      </c>
      <c r="B358" s="52">
        <v>1</v>
      </c>
      <c r="C358" s="250" t="str">
        <f>Table3[[#This Row],[RIS NO]] &amp; TEXT(Table3[[#This Row],[COUNT (Max10)]], "0;-0")</f>
        <v>2026-0001</v>
      </c>
      <c r="D358" s="245">
        <v>46212</v>
      </c>
      <c r="E358" s="252" t="s">
        <v>10</v>
      </c>
      <c r="F358" s="247">
        <v>20</v>
      </c>
      <c r="G358" s="247" t="str">
        <f t="shared" si="31"/>
        <v>Ream</v>
      </c>
      <c r="H358" s="247">
        <f t="shared" si="32"/>
        <v>2276</v>
      </c>
    </row>
    <row r="359" spans="1:8">
      <c r="A359" s="251" t="s">
        <v>138</v>
      </c>
      <c r="B359" s="52">
        <v>2</v>
      </c>
      <c r="C359" s="250" t="str">
        <f>Table3[[#This Row],[RIS NO]] &amp; TEXT(Table3[[#This Row],[COUNT (Max10)]], "0;-0")</f>
        <v>2026-0002</v>
      </c>
      <c r="D359" s="245">
        <v>46212</v>
      </c>
      <c r="E359" s="252" t="s">
        <v>12</v>
      </c>
      <c r="F359" s="247">
        <v>20</v>
      </c>
      <c r="G359" s="247" t="str">
        <f t="shared" si="31"/>
        <v>Ream</v>
      </c>
      <c r="H359" s="247">
        <f t="shared" si="32"/>
        <v>2067</v>
      </c>
    </row>
    <row r="360" spans="1:8">
      <c r="A360" s="251" t="s">
        <v>138</v>
      </c>
      <c r="B360" s="52">
        <v>3</v>
      </c>
      <c r="C360" s="250" t="s">
        <v>99</v>
      </c>
      <c r="D360" s="245">
        <v>46212</v>
      </c>
      <c r="E360" s="252" t="s">
        <v>18</v>
      </c>
      <c r="F360" s="247">
        <v>200</v>
      </c>
      <c r="G360" s="247" t="str">
        <f t="shared" si="31"/>
        <v>Piece</v>
      </c>
      <c r="H360" s="247">
        <f t="shared" si="32"/>
        <v>337</v>
      </c>
    </row>
    <row r="361" spans="1:8">
      <c r="A361" s="251"/>
      <c r="B361" s="52"/>
      <c r="C361" s="250"/>
      <c r="E361" s="252"/>
    </row>
    <row r="362" spans="1:8">
      <c r="A362" s="251"/>
      <c r="B362" s="52"/>
      <c r="C362" s="250"/>
      <c r="E362" s="252"/>
    </row>
    <row r="363" spans="1:8">
      <c r="A363" s="251"/>
      <c r="B363" s="52"/>
      <c r="C363" s="250"/>
      <c r="E363" s="252"/>
    </row>
    <row r="364" spans="1:8">
      <c r="A364" s="251"/>
      <c r="B364" s="52"/>
      <c r="C364" s="250"/>
      <c r="E364" s="252"/>
    </row>
  </sheetData>
  <dataConsolidate/>
  <dataValidations count="1">
    <dataValidation type="list" allowBlank="1" showInputMessage="1" showErrorMessage="1" sqref="E243:E64759" xr:uid="{D21F66EA-8416-44E1-8C9B-B19A6D0D5954}">
      <formula1>SUPPLY</formula1>
    </dataValidation>
  </dataValidations>
  <pageMargins left="0.7" right="0.7" top="0.75" bottom="0.75" header="0.3" footer="0.3"/>
  <pageSetup scale="4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0F2A-A2BA-43C9-989A-9F79166BC441}">
  <dimension ref="A1:AN171"/>
  <sheetViews>
    <sheetView topLeftCell="D1" zoomScale="130" zoomScaleNormal="130" zoomScaleSheetLayoutView="130" workbookViewId="0">
      <pane ySplit="1" topLeftCell="A111" activePane="bottomLeft" state="frozen"/>
      <selection pane="bottomLeft" activeCell="E111" sqref="E111"/>
    </sheetView>
  </sheetViews>
  <sheetFormatPr defaultColWidth="8.88671875" defaultRowHeight="14.4"/>
  <cols>
    <col min="1" max="1" width="13.88671875" style="51" hidden="1" customWidth="1"/>
    <col min="2" max="2" width="6.88671875" style="22" hidden="1" customWidth="1"/>
    <col min="3" max="3" width="7.33203125" style="51" hidden="1" customWidth="1"/>
    <col min="4" max="4" width="15.109375" style="50" bestFit="1" customWidth="1"/>
    <col min="5" max="5" width="37" style="53" customWidth="1"/>
    <col min="6" max="6" width="11.44140625" style="22" customWidth="1"/>
    <col min="7" max="7" width="11" style="52" customWidth="1"/>
    <col min="8" max="8" width="12" style="52" customWidth="1"/>
    <col min="9" max="9" width="9.109375" style="52" customWidth="1"/>
    <col min="10" max="10" width="15.6640625" style="52" customWidth="1"/>
    <col min="11" max="12" width="14.44140625" style="55" hidden="1" customWidth="1"/>
    <col min="13" max="13" width="10.44140625" style="22" hidden="1" customWidth="1"/>
    <col min="14" max="14" width="15.109375" style="131" customWidth="1"/>
    <col min="15" max="15" width="10.33203125" style="22" hidden="1" customWidth="1"/>
    <col min="16" max="16" width="3.44140625" style="22" hidden="1" customWidth="1"/>
    <col min="17" max="17" width="9.109375" style="119" customWidth="1"/>
    <col min="18" max="40" width="9.109375" style="119"/>
    <col min="16374" max="16384" width="9.109375" bestFit="1" customWidth="1"/>
  </cols>
  <sheetData>
    <row r="1" spans="1:40" s="56" customFormat="1" ht="57.6">
      <c r="A1" s="65" t="s">
        <v>0</v>
      </c>
      <c r="B1" s="66" t="s">
        <v>139</v>
      </c>
      <c r="C1" s="65" t="s">
        <v>140</v>
      </c>
      <c r="D1" s="132" t="s">
        <v>141</v>
      </c>
      <c r="E1" s="133" t="s">
        <v>4</v>
      </c>
      <c r="F1" s="133" t="s">
        <v>5</v>
      </c>
      <c r="G1" s="133" t="s">
        <v>6</v>
      </c>
      <c r="H1" s="133" t="s">
        <v>7</v>
      </c>
      <c r="I1" s="136" t="s">
        <v>142</v>
      </c>
      <c r="J1" s="133" t="s">
        <v>143</v>
      </c>
      <c r="K1" s="135" t="s">
        <v>144</v>
      </c>
      <c r="L1" s="135" t="s">
        <v>145</v>
      </c>
      <c r="M1" s="134" t="s">
        <v>146</v>
      </c>
      <c r="N1" s="134" t="s">
        <v>147</v>
      </c>
      <c r="O1" s="68" t="s">
        <v>148</v>
      </c>
      <c r="P1" s="67" t="s">
        <v>8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</row>
    <row r="2" spans="1:40" hidden="1">
      <c r="A2" s="51" t="s">
        <v>149</v>
      </c>
      <c r="D2" s="139" t="s">
        <v>150</v>
      </c>
      <c r="E2" s="137" t="s">
        <v>151</v>
      </c>
      <c r="G2" s="52" t="str">
        <f t="shared" ref="G2:G36" si="0">IFERROR(VLOOKUP(E2,SUPPLY2,3,0),"-")</f>
        <v>-</v>
      </c>
      <c r="H2" s="52" t="str">
        <f t="shared" ref="H2:H36" si="1">IFERROR(VLOOKUP(E2,SUPPLY2,4,0),"-")</f>
        <v>-</v>
      </c>
      <c r="M2" s="138">
        <v>20</v>
      </c>
      <c r="N2" s="126"/>
      <c r="P2" s="22" t="str">
        <f t="shared" ref="P2:P11" si="2">IFERROR(VLOOKUP(D2,YEAR21,2,0),"-")</f>
        <v>-</v>
      </c>
    </row>
    <row r="3" spans="1:40" hidden="1">
      <c r="A3" s="51" t="s">
        <v>149</v>
      </c>
      <c r="D3" s="139" t="s">
        <v>150</v>
      </c>
      <c r="E3" s="137" t="s">
        <v>152</v>
      </c>
      <c r="G3" s="52" t="str">
        <f t="shared" si="0"/>
        <v>-</v>
      </c>
      <c r="H3" s="52" t="str">
        <f t="shared" si="1"/>
        <v>-</v>
      </c>
      <c r="M3" s="138">
        <v>2</v>
      </c>
      <c r="N3" s="126"/>
      <c r="P3" s="22" t="str">
        <f t="shared" si="2"/>
        <v>-</v>
      </c>
    </row>
    <row r="4" spans="1:40" hidden="1">
      <c r="A4" s="51" t="s">
        <v>149</v>
      </c>
      <c r="D4" s="139" t="s">
        <v>150</v>
      </c>
      <c r="E4" s="137" t="s">
        <v>153</v>
      </c>
      <c r="G4" s="52" t="str">
        <f t="shared" si="0"/>
        <v>-</v>
      </c>
      <c r="H4" s="52" t="str">
        <f t="shared" si="1"/>
        <v>-</v>
      </c>
      <c r="M4" s="138">
        <v>4</v>
      </c>
      <c r="N4" s="126"/>
      <c r="P4" s="22" t="str">
        <f t="shared" si="2"/>
        <v>-</v>
      </c>
    </row>
    <row r="5" spans="1:40" hidden="1">
      <c r="A5" s="51" t="s">
        <v>149</v>
      </c>
      <c r="D5" s="139" t="s">
        <v>150</v>
      </c>
      <c r="E5" s="137" t="s">
        <v>154</v>
      </c>
      <c r="G5" s="52" t="str">
        <f t="shared" si="0"/>
        <v>-</v>
      </c>
      <c r="H5" s="52" t="str">
        <f t="shared" si="1"/>
        <v>-</v>
      </c>
      <c r="M5" s="138">
        <v>12</v>
      </c>
      <c r="N5" s="126"/>
      <c r="P5" s="22" t="str">
        <f t="shared" si="2"/>
        <v>-</v>
      </c>
    </row>
    <row r="6" spans="1:40" hidden="1">
      <c r="A6" s="51" t="s">
        <v>149</v>
      </c>
      <c r="D6" s="139" t="s">
        <v>150</v>
      </c>
      <c r="E6" s="137" t="s">
        <v>155</v>
      </c>
      <c r="G6" s="52" t="str">
        <f t="shared" si="0"/>
        <v>-</v>
      </c>
      <c r="H6" s="52" t="str">
        <f t="shared" si="1"/>
        <v>-</v>
      </c>
      <c r="M6" s="138">
        <v>11</v>
      </c>
      <c r="N6" s="126"/>
      <c r="P6" s="22" t="str">
        <f t="shared" si="2"/>
        <v>-</v>
      </c>
    </row>
    <row r="7" spans="1:40" hidden="1">
      <c r="A7" s="51" t="s">
        <v>149</v>
      </c>
      <c r="D7" s="139" t="s">
        <v>150</v>
      </c>
      <c r="E7" s="137" t="s">
        <v>156</v>
      </c>
      <c r="G7" s="52" t="str">
        <f t="shared" si="0"/>
        <v>-</v>
      </c>
      <c r="H7" s="52" t="str">
        <f t="shared" si="1"/>
        <v>-</v>
      </c>
      <c r="M7" s="138">
        <v>4</v>
      </c>
      <c r="N7" s="126"/>
      <c r="P7" s="22" t="str">
        <f t="shared" si="2"/>
        <v>-</v>
      </c>
    </row>
    <row r="8" spans="1:40" hidden="1">
      <c r="A8" s="51" t="s">
        <v>149</v>
      </c>
      <c r="D8" s="139" t="s">
        <v>150</v>
      </c>
      <c r="E8" s="137" t="s">
        <v>157</v>
      </c>
      <c r="G8" s="52" t="str">
        <f t="shared" si="0"/>
        <v>-</v>
      </c>
      <c r="H8" s="52" t="str">
        <f t="shared" si="1"/>
        <v>-</v>
      </c>
      <c r="M8" s="138">
        <v>2</v>
      </c>
      <c r="N8" s="126"/>
      <c r="P8" s="22" t="str">
        <f t="shared" si="2"/>
        <v>-</v>
      </c>
    </row>
    <row r="9" spans="1:40" hidden="1">
      <c r="A9" s="51" t="s">
        <v>149</v>
      </c>
      <c r="D9" s="139" t="s">
        <v>150</v>
      </c>
      <c r="E9" s="137" t="s">
        <v>158</v>
      </c>
      <c r="G9" s="52" t="str">
        <f t="shared" si="0"/>
        <v>-</v>
      </c>
      <c r="H9" s="52" t="str">
        <f t="shared" si="1"/>
        <v>-</v>
      </c>
      <c r="M9" s="138">
        <v>5</v>
      </c>
      <c r="N9" s="126"/>
      <c r="P9" s="22" t="str">
        <f t="shared" si="2"/>
        <v>-</v>
      </c>
    </row>
    <row r="10" spans="1:40" hidden="1">
      <c r="A10" s="51" t="s">
        <v>149</v>
      </c>
      <c r="D10" s="139" t="s">
        <v>150</v>
      </c>
      <c r="E10" s="137" t="s">
        <v>159</v>
      </c>
      <c r="G10" s="52" t="str">
        <f t="shared" si="0"/>
        <v>-</v>
      </c>
      <c r="H10" s="52" t="str">
        <f t="shared" si="1"/>
        <v>-</v>
      </c>
      <c r="M10" s="138">
        <v>1</v>
      </c>
      <c r="N10" s="126"/>
      <c r="P10" s="22" t="str">
        <f t="shared" si="2"/>
        <v>-</v>
      </c>
    </row>
    <row r="11" spans="1:40" s="123" customFormat="1" hidden="1">
      <c r="A11" s="121" t="s">
        <v>149</v>
      </c>
      <c r="B11" s="48"/>
      <c r="C11" s="121"/>
      <c r="D11" s="139" t="s">
        <v>150</v>
      </c>
      <c r="E11" s="137" t="s">
        <v>160</v>
      </c>
      <c r="F11" s="48"/>
      <c r="G11" s="52" t="str">
        <f t="shared" si="0"/>
        <v>-</v>
      </c>
      <c r="H11" s="52" t="str">
        <f t="shared" si="1"/>
        <v>-</v>
      </c>
      <c r="I11" s="48"/>
      <c r="J11" s="48"/>
      <c r="K11" s="124"/>
      <c r="L11" s="124"/>
      <c r="M11" s="138">
        <v>5</v>
      </c>
      <c r="N11" s="126"/>
      <c r="O11" s="48"/>
      <c r="P11" s="48" t="str">
        <f t="shared" si="2"/>
        <v>-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</row>
    <row r="12" spans="1:40" hidden="1">
      <c r="D12" s="139" t="s">
        <v>150</v>
      </c>
      <c r="E12" s="137" t="s">
        <v>161</v>
      </c>
      <c r="G12" s="52" t="str">
        <f t="shared" si="0"/>
        <v>-</v>
      </c>
      <c r="H12" s="52" t="str">
        <f t="shared" si="1"/>
        <v>-</v>
      </c>
      <c r="M12" s="138">
        <v>170</v>
      </c>
      <c r="N12" s="126"/>
    </row>
    <row r="13" spans="1:40" hidden="1">
      <c r="D13" s="139" t="s">
        <v>150</v>
      </c>
      <c r="E13" s="137" t="s">
        <v>162</v>
      </c>
      <c r="G13" s="52" t="str">
        <f t="shared" si="0"/>
        <v>-</v>
      </c>
      <c r="H13" s="52" t="str">
        <f t="shared" si="1"/>
        <v>-</v>
      </c>
      <c r="M13" s="138">
        <v>30</v>
      </c>
      <c r="N13" s="126"/>
    </row>
    <row r="14" spans="1:40" s="123" customFormat="1" hidden="1">
      <c r="A14" s="121"/>
      <c r="B14" s="48"/>
      <c r="C14" s="121"/>
      <c r="D14" s="139" t="s">
        <v>150</v>
      </c>
      <c r="E14" s="137" t="s">
        <v>163</v>
      </c>
      <c r="F14" s="48"/>
      <c r="G14" s="52" t="str">
        <f t="shared" si="0"/>
        <v>-</v>
      </c>
      <c r="H14" s="52" t="str">
        <f t="shared" si="1"/>
        <v>-</v>
      </c>
      <c r="I14" s="48"/>
      <c r="J14" s="48"/>
      <c r="K14" s="124"/>
      <c r="L14" s="124"/>
      <c r="M14" s="138">
        <v>5</v>
      </c>
      <c r="N14" s="126"/>
      <c r="O14" s="48"/>
      <c r="P14" s="48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</row>
    <row r="15" spans="1:40" s="123" customFormat="1" hidden="1">
      <c r="A15" s="121"/>
      <c r="B15" s="48"/>
      <c r="C15" s="121"/>
      <c r="D15" s="139">
        <v>44678</v>
      </c>
      <c r="E15" s="137" t="s">
        <v>162</v>
      </c>
      <c r="F15" s="48"/>
      <c r="G15" s="52" t="str">
        <f t="shared" si="0"/>
        <v>-</v>
      </c>
      <c r="H15" s="52" t="str">
        <f t="shared" si="1"/>
        <v>-</v>
      </c>
      <c r="I15" s="48"/>
      <c r="J15" s="48"/>
      <c r="K15" s="124"/>
      <c r="L15" s="124"/>
      <c r="M15" s="138">
        <v>24</v>
      </c>
      <c r="N15" s="126"/>
      <c r="O15" s="48"/>
      <c r="P15" s="48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</row>
    <row r="16" spans="1:40" s="123" customFormat="1" hidden="1">
      <c r="A16" s="121"/>
      <c r="B16" s="48"/>
      <c r="C16" s="121"/>
      <c r="D16" s="139">
        <v>44678</v>
      </c>
      <c r="E16" s="137" t="s">
        <v>152</v>
      </c>
      <c r="F16" s="48"/>
      <c r="G16" s="52" t="str">
        <f t="shared" si="0"/>
        <v>-</v>
      </c>
      <c r="H16" s="52" t="str">
        <f t="shared" si="1"/>
        <v>-</v>
      </c>
      <c r="I16" s="48"/>
      <c r="J16" s="48"/>
      <c r="K16" s="124"/>
      <c r="L16" s="124"/>
      <c r="M16" s="138">
        <v>6</v>
      </c>
      <c r="N16" s="126"/>
      <c r="O16" s="48"/>
      <c r="P16" s="48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</row>
    <row r="17" spans="1:40" s="123" customFormat="1" hidden="1">
      <c r="A17" s="121"/>
      <c r="B17" s="48"/>
      <c r="C17" s="121"/>
      <c r="D17" s="139">
        <v>44678</v>
      </c>
      <c r="E17" s="137" t="s">
        <v>164</v>
      </c>
      <c r="F17" s="48"/>
      <c r="G17" s="52" t="str">
        <f t="shared" si="0"/>
        <v>-</v>
      </c>
      <c r="H17" s="52" t="str">
        <f t="shared" si="1"/>
        <v>-</v>
      </c>
      <c r="I17" s="48"/>
      <c r="J17" s="48"/>
      <c r="K17" s="124"/>
      <c r="L17" s="124"/>
      <c r="M17" s="138">
        <v>6</v>
      </c>
      <c r="N17" s="126"/>
      <c r="O17" s="48"/>
      <c r="P17" s="48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</row>
    <row r="18" spans="1:40" s="123" customFormat="1" hidden="1">
      <c r="A18" s="121"/>
      <c r="B18" s="48"/>
      <c r="C18" s="121"/>
      <c r="D18" s="139">
        <v>44678</v>
      </c>
      <c r="E18" s="137" t="s">
        <v>165</v>
      </c>
      <c r="F18" s="48"/>
      <c r="G18" s="52" t="str">
        <f t="shared" si="0"/>
        <v>-</v>
      </c>
      <c r="H18" s="52" t="str">
        <f t="shared" si="1"/>
        <v>-</v>
      </c>
      <c r="I18" s="48"/>
      <c r="J18" s="48"/>
      <c r="K18" s="124"/>
      <c r="L18" s="124"/>
      <c r="M18" s="138">
        <v>12</v>
      </c>
      <c r="N18" s="126"/>
      <c r="O18" s="48"/>
      <c r="P18" s="48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</row>
    <row r="19" spans="1:40" s="123" customFormat="1" hidden="1">
      <c r="A19" s="121"/>
      <c r="B19" s="48"/>
      <c r="C19" s="121"/>
      <c r="D19" s="139">
        <v>44678</v>
      </c>
      <c r="E19" s="137" t="s">
        <v>166</v>
      </c>
      <c r="F19" s="48"/>
      <c r="G19" s="52" t="str">
        <f t="shared" si="0"/>
        <v>-</v>
      </c>
      <c r="H19" s="52" t="str">
        <f t="shared" si="1"/>
        <v>-</v>
      </c>
      <c r="I19" s="48"/>
      <c r="J19" s="48"/>
      <c r="K19" s="124"/>
      <c r="L19" s="124"/>
      <c r="M19" s="138">
        <v>6</v>
      </c>
      <c r="N19" s="126"/>
      <c r="O19" s="48"/>
      <c r="P19" s="48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</row>
    <row r="20" spans="1:40" s="123" customFormat="1" hidden="1">
      <c r="A20" s="121"/>
      <c r="B20" s="48"/>
      <c r="C20" s="121"/>
      <c r="D20" s="139">
        <v>44678</v>
      </c>
      <c r="E20" s="137" t="s">
        <v>156</v>
      </c>
      <c r="F20" s="48"/>
      <c r="G20" s="52" t="str">
        <f t="shared" si="0"/>
        <v>-</v>
      </c>
      <c r="H20" s="52" t="str">
        <f t="shared" si="1"/>
        <v>-</v>
      </c>
      <c r="I20" s="48"/>
      <c r="J20" s="48"/>
      <c r="K20" s="124"/>
      <c r="L20" s="124"/>
      <c r="M20" s="138">
        <v>6</v>
      </c>
      <c r="N20" s="126"/>
      <c r="O20" s="48"/>
      <c r="P20" s="48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</row>
    <row r="21" spans="1:40" s="123" customFormat="1" hidden="1">
      <c r="A21" s="121"/>
      <c r="B21" s="48"/>
      <c r="C21" s="121"/>
      <c r="D21" s="139">
        <v>44678</v>
      </c>
      <c r="E21" s="137" t="s">
        <v>167</v>
      </c>
      <c r="F21" s="48"/>
      <c r="G21" s="52" t="str">
        <f t="shared" si="0"/>
        <v>-</v>
      </c>
      <c r="H21" s="52" t="str">
        <f t="shared" si="1"/>
        <v>-</v>
      </c>
      <c r="I21" s="48"/>
      <c r="J21" s="48"/>
      <c r="K21" s="124"/>
      <c r="L21" s="124"/>
      <c r="M21" s="138">
        <v>6</v>
      </c>
      <c r="N21" s="126"/>
      <c r="O21" s="48"/>
      <c r="P21" s="48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</row>
    <row r="22" spans="1:40" s="123" customFormat="1" hidden="1">
      <c r="A22" s="121"/>
      <c r="B22" s="48"/>
      <c r="C22" s="121"/>
      <c r="D22" s="139">
        <v>44678</v>
      </c>
      <c r="E22" s="137" t="s">
        <v>151</v>
      </c>
      <c r="F22" s="48"/>
      <c r="G22" s="52" t="str">
        <f t="shared" si="0"/>
        <v>-</v>
      </c>
      <c r="H22" s="52" t="str">
        <f t="shared" si="1"/>
        <v>-</v>
      </c>
      <c r="I22" s="48"/>
      <c r="J22" s="48"/>
      <c r="K22" s="124"/>
      <c r="L22" s="124"/>
      <c r="M22" s="138">
        <v>6</v>
      </c>
      <c r="N22" s="126"/>
      <c r="O22" s="48"/>
      <c r="P22" s="48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</row>
    <row r="23" spans="1:40" s="123" customFormat="1" hidden="1">
      <c r="A23" s="121"/>
      <c r="B23" s="48"/>
      <c r="C23" s="121"/>
      <c r="D23" s="139">
        <v>44678</v>
      </c>
      <c r="E23" s="137" t="s">
        <v>168</v>
      </c>
      <c r="F23" s="48"/>
      <c r="G23" s="52" t="str">
        <f t="shared" si="0"/>
        <v>-</v>
      </c>
      <c r="H23" s="52" t="str">
        <f t="shared" si="1"/>
        <v>-</v>
      </c>
      <c r="I23" s="48"/>
      <c r="J23" s="48"/>
      <c r="K23" s="124"/>
      <c r="L23" s="124"/>
      <c r="M23" s="138">
        <v>4</v>
      </c>
      <c r="N23" s="126"/>
      <c r="O23" s="48"/>
      <c r="P23" s="48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</row>
    <row r="24" spans="1:40" s="123" customFormat="1" hidden="1">
      <c r="A24" s="121"/>
      <c r="B24" s="48"/>
      <c r="C24" s="121"/>
      <c r="D24" s="139">
        <v>44678</v>
      </c>
      <c r="E24" s="137" t="s">
        <v>169</v>
      </c>
      <c r="F24" s="48"/>
      <c r="G24" s="52" t="str">
        <f t="shared" si="0"/>
        <v>-</v>
      </c>
      <c r="H24" s="52" t="str">
        <f t="shared" si="1"/>
        <v>-</v>
      </c>
      <c r="I24" s="48"/>
      <c r="J24" s="48"/>
      <c r="K24" s="124"/>
      <c r="L24" s="124"/>
      <c r="M24" s="138">
        <v>3</v>
      </c>
      <c r="N24" s="126"/>
      <c r="O24" s="48"/>
      <c r="P24" s="48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</row>
    <row r="25" spans="1:40" s="123" customFormat="1" hidden="1">
      <c r="A25" s="121"/>
      <c r="B25" s="48"/>
      <c r="C25" s="121"/>
      <c r="D25" s="139">
        <v>44678</v>
      </c>
      <c r="E25" s="137" t="s">
        <v>159</v>
      </c>
      <c r="F25" s="48"/>
      <c r="G25" s="52" t="str">
        <f t="shared" si="0"/>
        <v>-</v>
      </c>
      <c r="H25" s="52" t="str">
        <f t="shared" si="1"/>
        <v>-</v>
      </c>
      <c r="I25" s="48"/>
      <c r="J25" s="48"/>
      <c r="K25" s="124"/>
      <c r="L25" s="124"/>
      <c r="M25" s="138">
        <v>4</v>
      </c>
      <c r="N25" s="126"/>
      <c r="O25" s="48"/>
      <c r="P25" s="48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</row>
    <row r="26" spans="1:40" s="123" customFormat="1" hidden="1">
      <c r="A26" s="121"/>
      <c r="B26" s="48"/>
      <c r="C26" s="121"/>
      <c r="D26" s="139">
        <v>44678</v>
      </c>
      <c r="E26" s="137" t="s">
        <v>170</v>
      </c>
      <c r="F26" s="48"/>
      <c r="G26" s="52" t="str">
        <f t="shared" si="0"/>
        <v>-</v>
      </c>
      <c r="H26" s="52" t="str">
        <f t="shared" si="1"/>
        <v>-</v>
      </c>
      <c r="I26" s="48"/>
      <c r="J26" s="48"/>
      <c r="K26" s="124"/>
      <c r="L26" s="124"/>
      <c r="M26" s="138">
        <v>9</v>
      </c>
      <c r="N26" s="126"/>
      <c r="O26" s="48"/>
      <c r="P26" s="48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</row>
    <row r="27" spans="1:40" s="123" customFormat="1" hidden="1">
      <c r="A27" s="121"/>
      <c r="B27" s="48"/>
      <c r="C27" s="121"/>
      <c r="D27" s="139">
        <v>44678</v>
      </c>
      <c r="E27" s="137" t="s">
        <v>171</v>
      </c>
      <c r="F27" s="48"/>
      <c r="G27" s="52" t="str">
        <f t="shared" si="0"/>
        <v>-</v>
      </c>
      <c r="H27" s="52" t="str">
        <f t="shared" si="1"/>
        <v>-</v>
      </c>
      <c r="I27" s="48"/>
      <c r="J27" s="48"/>
      <c r="K27" s="124"/>
      <c r="L27" s="124"/>
      <c r="M27" s="138">
        <v>2</v>
      </c>
      <c r="N27" s="126"/>
      <c r="O27" s="48"/>
      <c r="P27" s="48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</row>
    <row r="28" spans="1:40" s="123" customFormat="1" hidden="1">
      <c r="A28" s="121"/>
      <c r="B28" s="48"/>
      <c r="C28" s="121"/>
      <c r="D28" s="139" t="s">
        <v>150</v>
      </c>
      <c r="E28" s="137" t="s">
        <v>172</v>
      </c>
      <c r="F28" s="48"/>
      <c r="G28" s="52" t="str">
        <f t="shared" si="0"/>
        <v>-</v>
      </c>
      <c r="H28" s="52" t="str">
        <f t="shared" si="1"/>
        <v>-</v>
      </c>
      <c r="I28" s="48"/>
      <c r="J28" s="48"/>
      <c r="K28" s="124"/>
      <c r="L28" s="124"/>
      <c r="M28" s="138">
        <v>10</v>
      </c>
      <c r="N28" s="126"/>
      <c r="O28" s="48"/>
      <c r="P28" s="48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</row>
    <row r="29" spans="1:40" s="123" customFormat="1" hidden="1">
      <c r="A29" s="121"/>
      <c r="B29" s="48"/>
      <c r="C29" s="121"/>
      <c r="D29" s="139" t="s">
        <v>150</v>
      </c>
      <c r="E29" s="137" t="s">
        <v>173</v>
      </c>
      <c r="F29" s="48"/>
      <c r="G29" s="52" t="str">
        <f t="shared" si="0"/>
        <v>-</v>
      </c>
      <c r="H29" s="52" t="str">
        <f t="shared" si="1"/>
        <v>-</v>
      </c>
      <c r="I29" s="48"/>
      <c r="J29" s="48"/>
      <c r="K29" s="124"/>
      <c r="L29" s="124"/>
      <c r="M29" s="138">
        <v>4</v>
      </c>
      <c r="N29" s="126"/>
      <c r="O29" s="48"/>
      <c r="P29" s="48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</row>
    <row r="30" spans="1:40" s="123" customFormat="1" hidden="1">
      <c r="A30" s="121"/>
      <c r="B30" s="48"/>
      <c r="C30" s="121"/>
      <c r="D30" s="139" t="s">
        <v>150</v>
      </c>
      <c r="E30" s="137" t="s">
        <v>174</v>
      </c>
      <c r="F30" s="48"/>
      <c r="G30" s="52" t="str">
        <f t="shared" si="0"/>
        <v>-</v>
      </c>
      <c r="H30" s="52" t="str">
        <f t="shared" si="1"/>
        <v>-</v>
      </c>
      <c r="I30" s="48"/>
      <c r="J30" s="48"/>
      <c r="K30" s="124"/>
      <c r="L30" s="124"/>
      <c r="M30" s="138">
        <v>6</v>
      </c>
      <c r="N30" s="126"/>
      <c r="O30" s="48"/>
      <c r="P30" s="48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</row>
    <row r="31" spans="1:40" s="123" customFormat="1" hidden="1">
      <c r="A31" s="121"/>
      <c r="B31" s="48"/>
      <c r="C31" s="121"/>
      <c r="D31" s="139"/>
      <c r="E31" s="137"/>
      <c r="F31" s="48"/>
      <c r="G31" s="52" t="str">
        <f t="shared" si="0"/>
        <v>-</v>
      </c>
      <c r="H31" s="52" t="str">
        <f t="shared" si="1"/>
        <v>-</v>
      </c>
      <c r="I31" s="48"/>
      <c r="J31" s="48"/>
      <c r="K31" s="124"/>
      <c r="L31" s="124"/>
      <c r="M31" s="138"/>
      <c r="N31" s="126"/>
      <c r="O31" s="48"/>
      <c r="P31" s="48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</row>
    <row r="32" spans="1:40" s="123" customFormat="1" hidden="1">
      <c r="A32" s="121"/>
      <c r="B32" s="48"/>
      <c r="C32" s="121"/>
      <c r="D32" s="122"/>
      <c r="E32" s="137"/>
      <c r="F32" s="48"/>
      <c r="G32" s="52" t="str">
        <f t="shared" si="0"/>
        <v>-</v>
      </c>
      <c r="H32" s="52" t="str">
        <f t="shared" si="1"/>
        <v>-</v>
      </c>
      <c r="I32" s="48"/>
      <c r="J32" s="48"/>
      <c r="K32" s="124"/>
      <c r="L32" s="124"/>
      <c r="M32" s="138"/>
      <c r="N32" s="126"/>
      <c r="O32" s="48"/>
      <c r="P32" s="48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</row>
    <row r="33" spans="1:40" s="123" customFormat="1" hidden="1">
      <c r="A33" s="121"/>
      <c r="B33" s="48"/>
      <c r="C33" s="121"/>
      <c r="D33" s="122"/>
      <c r="E33" s="137"/>
      <c r="F33" s="48"/>
      <c r="G33" s="52" t="str">
        <f t="shared" si="0"/>
        <v>-</v>
      </c>
      <c r="H33" s="52" t="str">
        <f t="shared" si="1"/>
        <v>-</v>
      </c>
      <c r="I33" s="48"/>
      <c r="J33" s="48"/>
      <c r="K33" s="124"/>
      <c r="L33" s="124"/>
      <c r="M33" s="138"/>
      <c r="N33" s="126"/>
      <c r="O33" s="48"/>
      <c r="P33" s="48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</row>
    <row r="34" spans="1:40" hidden="1">
      <c r="E34" s="137"/>
      <c r="G34" s="52" t="str">
        <f t="shared" si="0"/>
        <v>-</v>
      </c>
      <c r="H34" s="52" t="str">
        <f t="shared" si="1"/>
        <v>-</v>
      </c>
      <c r="I34" s="48"/>
      <c r="J34" s="48"/>
      <c r="K34" s="124"/>
      <c r="L34" s="124"/>
      <c r="M34" s="138"/>
      <c r="N34" s="126"/>
      <c r="P34" s="22" t="str">
        <f t="shared" ref="P34:P60" si="3">IFERROR(VLOOKUP(D34,YEAR21,2,0),"-")</f>
        <v>-</v>
      </c>
    </row>
    <row r="35" spans="1:40" hidden="1">
      <c r="E35" s="137"/>
      <c r="G35" s="52" t="str">
        <f t="shared" si="0"/>
        <v>-</v>
      </c>
      <c r="H35" s="52" t="str">
        <f t="shared" si="1"/>
        <v>-</v>
      </c>
      <c r="M35" s="138"/>
      <c r="N35" s="126"/>
      <c r="P35" s="22" t="str">
        <f t="shared" si="3"/>
        <v>-</v>
      </c>
    </row>
    <row r="36" spans="1:40" hidden="1">
      <c r="E36" s="137"/>
      <c r="G36" s="52" t="str">
        <f t="shared" si="0"/>
        <v>-</v>
      </c>
      <c r="H36" s="52" t="str">
        <f t="shared" si="1"/>
        <v>-</v>
      </c>
      <c r="M36" s="138"/>
      <c r="N36" s="126"/>
      <c r="P36" s="22" t="str">
        <f t="shared" si="3"/>
        <v>-</v>
      </c>
    </row>
    <row r="37" spans="1:40" s="117" customFormat="1">
      <c r="A37" s="111"/>
      <c r="B37" s="112"/>
      <c r="C37" s="111"/>
      <c r="D37" s="113"/>
      <c r="E37" s="114"/>
      <c r="F37" s="112"/>
      <c r="G37" s="115" t="str">
        <f t="shared" ref="G37:G94" si="4">IFERROR(VLOOKUP(E37,SUPPLY2,3,0),"-")</f>
        <v>-</v>
      </c>
      <c r="H37" s="115" t="str">
        <f t="shared" ref="H37:H94" si="5">IFERROR(VLOOKUP(E37,SUPPLY2,4,0),"-")</f>
        <v>-</v>
      </c>
      <c r="I37" s="115"/>
      <c r="J37" s="115"/>
      <c r="K37" s="116"/>
      <c r="L37" s="116"/>
      <c r="M37" s="112"/>
      <c r="N37" s="130"/>
      <c r="O37" s="112"/>
      <c r="P37" s="112" t="str">
        <f t="shared" si="3"/>
        <v>-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</row>
    <row r="38" spans="1:40">
      <c r="D38" s="50">
        <v>44678</v>
      </c>
      <c r="E38" s="53" t="s">
        <v>166</v>
      </c>
      <c r="F38" s="22">
        <v>1</v>
      </c>
      <c r="G38" s="52" t="str">
        <f t="shared" si="4"/>
        <v>-</v>
      </c>
      <c r="H38" s="52" t="str">
        <f t="shared" si="5"/>
        <v>-</v>
      </c>
      <c r="I38" s="52" t="str">
        <f>IFERROR(VLOOKUP(H38,'SUPPLIES SUMMARY'!A$147:G$180,7,0),"-")</f>
        <v>-</v>
      </c>
      <c r="J38" s="52" t="s">
        <v>175</v>
      </c>
      <c r="K38" s="128"/>
      <c r="L38" s="128"/>
      <c r="M38" s="127"/>
      <c r="N38" s="129">
        <v>44678</v>
      </c>
      <c r="O38" s="22">
        <f>F38</f>
        <v>1</v>
      </c>
      <c r="P38" s="22" t="str">
        <f t="shared" si="3"/>
        <v>-</v>
      </c>
    </row>
    <row r="39" spans="1:40">
      <c r="D39" s="50">
        <v>44679</v>
      </c>
      <c r="E39" s="53" t="s">
        <v>168</v>
      </c>
      <c r="F39" s="22">
        <v>1</v>
      </c>
      <c r="G39" s="52" t="str">
        <f t="shared" si="4"/>
        <v>-</v>
      </c>
      <c r="H39" s="52" t="str">
        <f t="shared" si="5"/>
        <v>-</v>
      </c>
      <c r="I39" s="52" t="str">
        <f>IFERROR(VLOOKUP(H39,'SUPPLIES SUMMARY'!A$147:G$180,7,0),"-")</f>
        <v>-</v>
      </c>
      <c r="J39" s="52" t="s">
        <v>176</v>
      </c>
      <c r="K39" s="128"/>
      <c r="L39" s="128"/>
      <c r="M39" s="127"/>
      <c r="N39" s="129">
        <v>44679</v>
      </c>
      <c r="O39" s="22">
        <f t="shared" ref="O39:O95" si="6">F39</f>
        <v>1</v>
      </c>
      <c r="P39" s="22" t="str">
        <f t="shared" si="3"/>
        <v>-</v>
      </c>
    </row>
    <row r="40" spans="1:40">
      <c r="D40" s="50">
        <v>44679</v>
      </c>
      <c r="E40" s="53" t="s">
        <v>165</v>
      </c>
      <c r="F40" s="22">
        <v>2</v>
      </c>
      <c r="G40" s="52" t="str">
        <f t="shared" si="4"/>
        <v>-</v>
      </c>
      <c r="H40" s="52" t="str">
        <f t="shared" si="5"/>
        <v>-</v>
      </c>
      <c r="I40" s="52" t="str">
        <f>IFERROR(VLOOKUP(H40,'SUPPLIES SUMMARY'!A$147:G$180,7,0),"-")</f>
        <v>-</v>
      </c>
      <c r="J40" s="52" t="s">
        <v>175</v>
      </c>
      <c r="K40" s="128"/>
      <c r="L40" s="128"/>
      <c r="M40" s="127"/>
      <c r="N40" s="129">
        <v>44679</v>
      </c>
      <c r="O40" s="22">
        <f t="shared" si="6"/>
        <v>2</v>
      </c>
      <c r="P40" s="22" t="str">
        <f t="shared" si="3"/>
        <v>-</v>
      </c>
    </row>
    <row r="41" spans="1:40">
      <c r="D41" s="50">
        <v>44679</v>
      </c>
      <c r="E41" s="53" t="s">
        <v>173</v>
      </c>
      <c r="F41" s="22">
        <v>1</v>
      </c>
      <c r="G41" s="52" t="str">
        <f t="shared" si="4"/>
        <v>-</v>
      </c>
      <c r="H41" s="52" t="str">
        <f t="shared" si="5"/>
        <v>-</v>
      </c>
      <c r="I41" s="52" t="str">
        <f>IFERROR(VLOOKUP(H41,'SUPPLIES SUMMARY'!A$147:G$180,7,0),"-")</f>
        <v>-</v>
      </c>
      <c r="J41" s="52" t="s">
        <v>175</v>
      </c>
      <c r="K41" s="128"/>
      <c r="L41" s="128"/>
      <c r="M41" s="127"/>
      <c r="N41" s="129">
        <v>44679</v>
      </c>
      <c r="O41" s="22">
        <f t="shared" si="6"/>
        <v>1</v>
      </c>
      <c r="P41" s="22" t="str">
        <f t="shared" si="3"/>
        <v>-</v>
      </c>
    </row>
    <row r="42" spans="1:40">
      <c r="D42" s="50">
        <v>44679</v>
      </c>
      <c r="E42" s="53" t="s">
        <v>162</v>
      </c>
      <c r="F42" s="22">
        <v>6</v>
      </c>
      <c r="G42" s="52" t="str">
        <f t="shared" si="4"/>
        <v>-</v>
      </c>
      <c r="H42" s="52" t="str">
        <f t="shared" si="5"/>
        <v>-</v>
      </c>
      <c r="I42" s="52" t="str">
        <f>IFERROR(VLOOKUP(H42,'SUPPLIES SUMMARY'!A$147:G$180,7,0),"-")</f>
        <v>-</v>
      </c>
      <c r="J42" s="52" t="s">
        <v>175</v>
      </c>
      <c r="K42" s="128"/>
      <c r="L42" s="128"/>
      <c r="M42" s="127"/>
      <c r="N42" s="129">
        <v>44679</v>
      </c>
      <c r="O42" s="22">
        <f t="shared" si="6"/>
        <v>6</v>
      </c>
      <c r="P42" s="22" t="str">
        <f t="shared" si="3"/>
        <v>-</v>
      </c>
    </row>
    <row r="43" spans="1:40">
      <c r="D43" s="50">
        <v>44679</v>
      </c>
      <c r="E43" s="53" t="s">
        <v>155</v>
      </c>
      <c r="F43" s="22">
        <v>1</v>
      </c>
      <c r="G43" s="52" t="str">
        <f t="shared" si="4"/>
        <v>-</v>
      </c>
      <c r="H43" s="52" t="str">
        <f t="shared" si="5"/>
        <v>-</v>
      </c>
      <c r="I43" s="52" t="str">
        <f>IFERROR(VLOOKUP(H43,'SUPPLIES SUMMARY'!A$147:G$180,7,0),"-")</f>
        <v>-</v>
      </c>
      <c r="J43" s="52" t="s">
        <v>175</v>
      </c>
      <c r="K43" s="128"/>
      <c r="L43" s="128"/>
      <c r="M43" s="127"/>
      <c r="N43" s="129">
        <v>44679</v>
      </c>
      <c r="O43" s="22">
        <f t="shared" si="6"/>
        <v>1</v>
      </c>
      <c r="P43" s="22" t="str">
        <f t="shared" si="3"/>
        <v>-</v>
      </c>
    </row>
    <row r="44" spans="1:40">
      <c r="D44" s="50">
        <v>44679</v>
      </c>
      <c r="E44" s="53" t="s">
        <v>160</v>
      </c>
      <c r="F44" s="22">
        <v>1</v>
      </c>
      <c r="G44" s="52" t="str">
        <f t="shared" si="4"/>
        <v>-</v>
      </c>
      <c r="H44" s="52" t="str">
        <f t="shared" si="5"/>
        <v>-</v>
      </c>
      <c r="I44" s="52" t="str">
        <f>IFERROR(VLOOKUP(H44,'SUPPLIES SUMMARY'!A$147:G$180,7,0),"-")</f>
        <v>-</v>
      </c>
      <c r="J44" s="52" t="s">
        <v>175</v>
      </c>
      <c r="K44" s="128"/>
      <c r="L44" s="128"/>
      <c r="M44" s="127"/>
      <c r="N44" s="129">
        <v>44679</v>
      </c>
      <c r="O44" s="22">
        <f t="shared" si="6"/>
        <v>1</v>
      </c>
      <c r="P44" s="22" t="str">
        <f t="shared" si="3"/>
        <v>-</v>
      </c>
    </row>
    <row r="45" spans="1:40">
      <c r="D45" s="50">
        <v>44679</v>
      </c>
      <c r="E45" s="53" t="s">
        <v>169</v>
      </c>
      <c r="F45" s="22">
        <v>1</v>
      </c>
      <c r="G45" s="52" t="str">
        <f t="shared" si="4"/>
        <v>-</v>
      </c>
      <c r="H45" s="52" t="str">
        <f t="shared" si="5"/>
        <v>-</v>
      </c>
      <c r="I45" s="52" t="str">
        <f>IFERROR(VLOOKUP(H45,'SUPPLIES SUMMARY'!A$147:G$180,7,0),"-")</f>
        <v>-</v>
      </c>
      <c r="J45" s="52" t="s">
        <v>175</v>
      </c>
      <c r="K45" s="128"/>
      <c r="L45" s="128"/>
      <c r="M45" s="127"/>
      <c r="N45" s="129">
        <v>44679</v>
      </c>
      <c r="O45" s="22">
        <f t="shared" si="6"/>
        <v>1</v>
      </c>
      <c r="P45" s="22" t="str">
        <f t="shared" si="3"/>
        <v>-</v>
      </c>
    </row>
    <row r="46" spans="1:40">
      <c r="D46" s="50">
        <v>44679</v>
      </c>
      <c r="E46" s="53" t="s">
        <v>165</v>
      </c>
      <c r="F46" s="22">
        <v>1</v>
      </c>
      <c r="G46" s="52" t="str">
        <f t="shared" si="4"/>
        <v>-</v>
      </c>
      <c r="H46" s="52" t="str">
        <f t="shared" si="5"/>
        <v>-</v>
      </c>
      <c r="I46" s="52" t="str">
        <f>IFERROR(VLOOKUP(H46,'SUPPLIES SUMMARY'!A$147:G$180,7,0),"-")</f>
        <v>-</v>
      </c>
      <c r="J46" s="52" t="s">
        <v>177</v>
      </c>
      <c r="K46" s="128"/>
      <c r="L46" s="128"/>
      <c r="M46" s="127"/>
      <c r="N46" s="129">
        <v>44679</v>
      </c>
      <c r="O46" s="22">
        <f t="shared" si="6"/>
        <v>1</v>
      </c>
      <c r="P46" s="22" t="str">
        <f t="shared" si="3"/>
        <v>-</v>
      </c>
    </row>
    <row r="47" spans="1:40">
      <c r="D47" s="50">
        <v>44679</v>
      </c>
      <c r="E47" s="53" t="s">
        <v>165</v>
      </c>
      <c r="F47" s="22">
        <v>1</v>
      </c>
      <c r="G47" s="52" t="str">
        <f t="shared" si="4"/>
        <v>-</v>
      </c>
      <c r="H47" s="52" t="str">
        <f t="shared" si="5"/>
        <v>-</v>
      </c>
      <c r="I47" s="52" t="str">
        <f>IFERROR(VLOOKUP(H47,'SUPPLIES SUMMARY'!A$147:G$180,7,0),"-")</f>
        <v>-</v>
      </c>
      <c r="J47" s="52" t="s">
        <v>178</v>
      </c>
      <c r="K47" s="128"/>
      <c r="L47" s="128"/>
      <c r="M47" s="127"/>
      <c r="N47" s="129">
        <v>44679</v>
      </c>
      <c r="O47" s="22">
        <f t="shared" si="6"/>
        <v>1</v>
      </c>
      <c r="P47" s="22" t="str">
        <f t="shared" si="3"/>
        <v>-</v>
      </c>
    </row>
    <row r="48" spans="1:40">
      <c r="D48" s="50">
        <v>44680</v>
      </c>
      <c r="E48" s="53" t="s">
        <v>152</v>
      </c>
      <c r="F48" s="22">
        <v>1</v>
      </c>
      <c r="G48" s="52" t="str">
        <f t="shared" si="4"/>
        <v>-</v>
      </c>
      <c r="H48" s="52" t="str">
        <f t="shared" si="5"/>
        <v>-</v>
      </c>
      <c r="I48" s="52" t="str">
        <f>IFERROR(VLOOKUP(H48,'SUPPLIES SUMMARY'!A$147:G$180,7,0),"-")</f>
        <v>-</v>
      </c>
      <c r="J48" s="52" t="s">
        <v>179</v>
      </c>
      <c r="K48" s="128"/>
      <c r="L48" s="128"/>
      <c r="M48" s="127"/>
      <c r="N48" s="129">
        <v>44680</v>
      </c>
      <c r="O48" s="22">
        <f t="shared" si="6"/>
        <v>1</v>
      </c>
      <c r="P48" s="22" t="str">
        <f t="shared" si="3"/>
        <v>-</v>
      </c>
    </row>
    <row r="49" spans="4:18">
      <c r="D49" s="50">
        <v>44680</v>
      </c>
      <c r="E49" s="53" t="s">
        <v>153</v>
      </c>
      <c r="F49" s="22">
        <v>1</v>
      </c>
      <c r="G49" s="52" t="str">
        <f t="shared" si="4"/>
        <v>-</v>
      </c>
      <c r="H49" s="52" t="str">
        <f t="shared" si="5"/>
        <v>-</v>
      </c>
      <c r="I49" s="52" t="str">
        <f>IFERROR(VLOOKUP(H49,'SUPPLIES SUMMARY'!A$147:G$180,7,0),"-")</f>
        <v>-</v>
      </c>
      <c r="J49" s="52" t="s">
        <v>179</v>
      </c>
      <c r="K49" s="128"/>
      <c r="L49" s="128"/>
      <c r="M49" s="127"/>
      <c r="N49" s="129">
        <v>44680</v>
      </c>
      <c r="O49" s="22">
        <f t="shared" si="6"/>
        <v>1</v>
      </c>
      <c r="P49" s="22" t="str">
        <f t="shared" si="3"/>
        <v>-</v>
      </c>
    </row>
    <row r="50" spans="4:18">
      <c r="D50" s="50">
        <v>44680</v>
      </c>
      <c r="E50" s="53" t="s">
        <v>154</v>
      </c>
      <c r="F50" s="22">
        <v>2</v>
      </c>
      <c r="G50" s="52" t="str">
        <f t="shared" si="4"/>
        <v>-</v>
      </c>
      <c r="H50" s="52" t="str">
        <f t="shared" si="5"/>
        <v>-</v>
      </c>
      <c r="I50" s="52" t="str">
        <f>IFERROR(VLOOKUP(H50,'SUPPLIES SUMMARY'!A$147:G$180,7,0),"-")</f>
        <v>-</v>
      </c>
      <c r="J50" s="52" t="s">
        <v>179</v>
      </c>
      <c r="K50" s="128"/>
      <c r="L50" s="128"/>
      <c r="M50" s="127"/>
      <c r="N50" s="129">
        <v>44680</v>
      </c>
      <c r="O50" s="22">
        <f t="shared" si="6"/>
        <v>2</v>
      </c>
      <c r="P50" s="22" t="str">
        <f t="shared" si="3"/>
        <v>-</v>
      </c>
    </row>
    <row r="51" spans="4:18">
      <c r="D51" s="50">
        <v>44683</v>
      </c>
      <c r="E51" s="53" t="s">
        <v>166</v>
      </c>
      <c r="F51" s="22">
        <v>1</v>
      </c>
      <c r="G51" s="52" t="str">
        <f t="shared" si="4"/>
        <v>-</v>
      </c>
      <c r="H51" s="52" t="str">
        <f t="shared" si="5"/>
        <v>-</v>
      </c>
      <c r="I51" s="52" t="str">
        <f>IFERROR(VLOOKUP(H51,'SUPPLIES SUMMARY'!A$147:G$180,7,0),"-")</f>
        <v>-</v>
      </c>
      <c r="J51" s="52" t="s">
        <v>175</v>
      </c>
      <c r="K51" s="128"/>
      <c r="L51" s="128"/>
      <c r="M51" s="127"/>
      <c r="N51" s="129">
        <v>44683</v>
      </c>
      <c r="O51" s="22">
        <f t="shared" si="6"/>
        <v>1</v>
      </c>
      <c r="P51" s="22" t="str">
        <f t="shared" si="3"/>
        <v>-</v>
      </c>
    </row>
    <row r="52" spans="4:18">
      <c r="D52" s="50">
        <v>44686</v>
      </c>
      <c r="E52" s="53" t="s">
        <v>174</v>
      </c>
      <c r="F52" s="22">
        <v>1</v>
      </c>
      <c r="G52" s="52" t="str">
        <f t="shared" si="4"/>
        <v>-</v>
      </c>
      <c r="H52" s="52" t="str">
        <f t="shared" si="5"/>
        <v>-</v>
      </c>
      <c r="I52" s="52" t="str">
        <f>IFERROR(VLOOKUP(H52,'SUPPLIES SUMMARY'!A$147:G$180,7,0),"-")</f>
        <v>-</v>
      </c>
      <c r="J52" s="52" t="s">
        <v>175</v>
      </c>
      <c r="K52" s="128"/>
      <c r="L52" s="128"/>
      <c r="M52" s="127"/>
      <c r="N52" s="129">
        <v>44686</v>
      </c>
      <c r="O52" s="22">
        <f t="shared" si="6"/>
        <v>1</v>
      </c>
      <c r="P52" s="22" t="str">
        <f t="shared" si="3"/>
        <v>-</v>
      </c>
    </row>
    <row r="53" spans="4:18">
      <c r="D53" s="50">
        <v>44687</v>
      </c>
      <c r="E53" s="53" t="s">
        <v>166</v>
      </c>
      <c r="F53" s="22">
        <v>1</v>
      </c>
      <c r="G53" s="52" t="str">
        <f t="shared" ref="G53:G72" si="7">IFERROR(VLOOKUP(E53,SUPPLY2,3,0),"-")</f>
        <v>-</v>
      </c>
      <c r="H53" s="52" t="str">
        <f t="shared" ref="H53:H72" si="8">IFERROR(VLOOKUP(E53,SUPPLY2,4,0),"-")</f>
        <v>-</v>
      </c>
      <c r="I53" s="52" t="str">
        <f>IFERROR(VLOOKUP(H53,'SUPPLIES SUMMARY'!A$147:G$180,7,0),"-")</f>
        <v>-</v>
      </c>
      <c r="J53" s="52" t="s">
        <v>180</v>
      </c>
      <c r="K53" s="128"/>
      <c r="L53" s="128"/>
      <c r="M53" s="127"/>
      <c r="N53" s="129">
        <v>44687</v>
      </c>
      <c r="O53" s="22">
        <f t="shared" si="6"/>
        <v>1</v>
      </c>
      <c r="P53" s="22" t="str">
        <f t="shared" si="3"/>
        <v>-</v>
      </c>
    </row>
    <row r="54" spans="4:18">
      <c r="D54" s="50">
        <v>44687</v>
      </c>
      <c r="E54" s="53" t="s">
        <v>165</v>
      </c>
      <c r="F54" s="22">
        <v>1</v>
      </c>
      <c r="G54" s="52" t="str">
        <f t="shared" si="7"/>
        <v>-</v>
      </c>
      <c r="H54" s="52" t="str">
        <f t="shared" si="8"/>
        <v>-</v>
      </c>
      <c r="I54" s="52" t="str">
        <f>IFERROR(VLOOKUP(H54,'SUPPLIES SUMMARY'!A$147:G$180,7,0),"-")</f>
        <v>-</v>
      </c>
      <c r="J54" s="52" t="s">
        <v>180</v>
      </c>
      <c r="K54" s="128"/>
      <c r="L54" s="128"/>
      <c r="M54" s="127"/>
      <c r="N54" s="129">
        <v>44687</v>
      </c>
      <c r="O54" s="22">
        <f t="shared" si="6"/>
        <v>1</v>
      </c>
      <c r="P54" s="22" t="str">
        <f t="shared" si="3"/>
        <v>-</v>
      </c>
    </row>
    <row r="55" spans="4:18">
      <c r="D55" s="50">
        <v>44687</v>
      </c>
      <c r="E55" s="53" t="s">
        <v>173</v>
      </c>
      <c r="F55" s="22">
        <v>1</v>
      </c>
      <c r="G55" s="52" t="str">
        <f t="shared" si="7"/>
        <v>-</v>
      </c>
      <c r="H55" s="52" t="str">
        <f t="shared" si="8"/>
        <v>-</v>
      </c>
      <c r="I55" s="52" t="str">
        <f>IFERROR(VLOOKUP(H55,'SUPPLIES SUMMARY'!A$147:G$180,7,0),"-")</f>
        <v>-</v>
      </c>
      <c r="J55" s="52" t="s">
        <v>180</v>
      </c>
      <c r="K55" s="128"/>
      <c r="L55" s="128"/>
      <c r="M55" s="127"/>
      <c r="N55" s="129">
        <v>44687</v>
      </c>
      <c r="O55" s="22">
        <f t="shared" si="6"/>
        <v>1</v>
      </c>
      <c r="P55" s="22" t="str">
        <f t="shared" si="3"/>
        <v>-</v>
      </c>
    </row>
    <row r="56" spans="4:18">
      <c r="D56" s="50">
        <v>44687</v>
      </c>
      <c r="E56" s="53" t="s">
        <v>155</v>
      </c>
      <c r="F56" s="22">
        <v>2</v>
      </c>
      <c r="G56" s="52" t="str">
        <f t="shared" si="7"/>
        <v>-</v>
      </c>
      <c r="H56" s="52" t="str">
        <f t="shared" si="8"/>
        <v>-</v>
      </c>
      <c r="I56" s="52" t="str">
        <f>IFERROR(VLOOKUP(H56,'SUPPLIES SUMMARY'!A$147:G$180,7,0),"-")</f>
        <v>-</v>
      </c>
      <c r="J56" s="52" t="s">
        <v>180</v>
      </c>
      <c r="K56" s="128"/>
      <c r="L56" s="128"/>
      <c r="M56" s="127"/>
      <c r="N56" s="129">
        <v>44687</v>
      </c>
      <c r="O56" s="22">
        <f t="shared" si="6"/>
        <v>2</v>
      </c>
      <c r="P56" s="22" t="str">
        <f t="shared" si="3"/>
        <v>-</v>
      </c>
    </row>
    <row r="57" spans="4:18">
      <c r="D57" s="50">
        <v>44687</v>
      </c>
      <c r="E57" s="53" t="s">
        <v>160</v>
      </c>
      <c r="F57" s="22">
        <v>1</v>
      </c>
      <c r="G57" s="52" t="str">
        <f t="shared" si="7"/>
        <v>-</v>
      </c>
      <c r="H57" s="52" t="str">
        <f t="shared" si="8"/>
        <v>-</v>
      </c>
      <c r="I57" s="52" t="str">
        <f>IFERROR(VLOOKUP(H57,'SUPPLIES SUMMARY'!A$147:G$180,7,0),"-")</f>
        <v>-</v>
      </c>
      <c r="J57" s="52" t="s">
        <v>180</v>
      </c>
      <c r="K57" s="128"/>
      <c r="L57" s="128"/>
      <c r="M57" s="127"/>
      <c r="N57" s="129">
        <v>44687</v>
      </c>
      <c r="O57" s="22">
        <f t="shared" si="6"/>
        <v>1</v>
      </c>
      <c r="P57" s="22" t="str">
        <f t="shared" si="3"/>
        <v>-</v>
      </c>
    </row>
    <row r="58" spans="4:18">
      <c r="D58" s="50">
        <v>44687</v>
      </c>
      <c r="E58" s="53" t="s">
        <v>169</v>
      </c>
      <c r="F58" s="22">
        <v>1</v>
      </c>
      <c r="G58" s="52" t="str">
        <f t="shared" si="7"/>
        <v>-</v>
      </c>
      <c r="H58" s="52" t="str">
        <f t="shared" si="8"/>
        <v>-</v>
      </c>
      <c r="I58" s="52" t="str">
        <f>IFERROR(VLOOKUP(H58,'SUPPLIES SUMMARY'!A$147:G$180,7,0),"-")</f>
        <v>-</v>
      </c>
      <c r="J58" s="52" t="s">
        <v>180</v>
      </c>
      <c r="K58" s="128"/>
      <c r="L58" s="128"/>
      <c r="M58" s="127"/>
      <c r="N58" s="129">
        <v>44687</v>
      </c>
      <c r="O58" s="22">
        <f t="shared" si="6"/>
        <v>1</v>
      </c>
      <c r="P58" s="22" t="str">
        <f t="shared" si="3"/>
        <v>-</v>
      </c>
    </row>
    <row r="59" spans="4:18">
      <c r="D59" s="50">
        <v>44687</v>
      </c>
      <c r="E59" s="53" t="s">
        <v>154</v>
      </c>
      <c r="F59" s="22">
        <v>2</v>
      </c>
      <c r="G59" s="52" t="str">
        <f t="shared" si="7"/>
        <v>-</v>
      </c>
      <c r="H59" s="52" t="str">
        <f t="shared" si="8"/>
        <v>-</v>
      </c>
      <c r="I59" s="52" t="str">
        <f>IFERROR(VLOOKUP(H59,'SUPPLIES SUMMARY'!A$147:G$180,7,0),"-")</f>
        <v>-</v>
      </c>
      <c r="J59" s="52" t="s">
        <v>180</v>
      </c>
      <c r="K59" s="128"/>
      <c r="L59" s="128"/>
      <c r="M59" s="127"/>
      <c r="N59" s="129">
        <v>44687</v>
      </c>
      <c r="O59" s="22">
        <f t="shared" si="6"/>
        <v>2</v>
      </c>
      <c r="P59" s="22" t="str">
        <f t="shared" si="3"/>
        <v>-</v>
      </c>
    </row>
    <row r="60" spans="4:18">
      <c r="D60" s="50">
        <v>44687</v>
      </c>
      <c r="E60" s="53" t="s">
        <v>152</v>
      </c>
      <c r="F60" s="22">
        <v>1</v>
      </c>
      <c r="G60" s="52" t="str">
        <f t="shared" si="7"/>
        <v>-</v>
      </c>
      <c r="H60" s="52" t="str">
        <f t="shared" si="8"/>
        <v>-</v>
      </c>
      <c r="I60" s="52" t="str">
        <f>IFERROR(VLOOKUP(H60,'SUPPLIES SUMMARY'!A$147:G$180,7,0),"-")</f>
        <v>-</v>
      </c>
      <c r="J60" s="52" t="s">
        <v>180</v>
      </c>
      <c r="K60" s="128"/>
      <c r="L60" s="128"/>
      <c r="M60" s="127"/>
      <c r="N60" s="129">
        <v>44687</v>
      </c>
      <c r="O60" s="22">
        <f t="shared" si="6"/>
        <v>1</v>
      </c>
      <c r="P60" s="22" t="str">
        <f t="shared" si="3"/>
        <v>-</v>
      </c>
    </row>
    <row r="61" spans="4:18">
      <c r="D61" s="50">
        <v>44691</v>
      </c>
      <c r="E61" s="53" t="s">
        <v>162</v>
      </c>
      <c r="F61" s="22">
        <v>2</v>
      </c>
      <c r="G61" s="52" t="str">
        <f t="shared" si="7"/>
        <v>-</v>
      </c>
      <c r="H61" s="52" t="str">
        <f t="shared" si="8"/>
        <v>-</v>
      </c>
      <c r="I61" s="52" t="str">
        <f>IFERROR(VLOOKUP(H61,'SUPPLIES SUMMARY'!A$147:G$180,7,0),"-")</f>
        <v>-</v>
      </c>
      <c r="J61" s="52" t="s">
        <v>175</v>
      </c>
      <c r="N61" s="129">
        <v>44691</v>
      </c>
      <c r="O61" s="22">
        <f>F62</f>
        <v>4</v>
      </c>
      <c r="P61" s="22" t="str">
        <f>IFERROR(VLOOKUP(D62,YEAR21,2,0),"-")</f>
        <v>-</v>
      </c>
      <c r="R61" s="119" t="s">
        <v>181</v>
      </c>
    </row>
    <row r="62" spans="4:18">
      <c r="D62" s="50">
        <v>44694</v>
      </c>
      <c r="E62" s="53" t="s">
        <v>162</v>
      </c>
      <c r="F62" s="22">
        <v>4</v>
      </c>
      <c r="G62" s="52" t="str">
        <f t="shared" si="7"/>
        <v>-</v>
      </c>
      <c r="H62" s="52" t="str">
        <f t="shared" si="8"/>
        <v>-</v>
      </c>
      <c r="I62" s="52" t="str">
        <f>IFERROR(VLOOKUP(H62,'SUPPLIES SUMMARY'!A$147:G$180,7,0),"-")</f>
        <v>-</v>
      </c>
      <c r="J62" s="52" t="s">
        <v>179</v>
      </c>
      <c r="K62" s="128"/>
      <c r="L62" s="128"/>
      <c r="M62" s="127"/>
      <c r="N62" s="129">
        <v>44694</v>
      </c>
      <c r="O62" s="22">
        <f>F63</f>
        <v>1</v>
      </c>
      <c r="P62" s="22" t="str">
        <f>IFERROR(VLOOKUP(D63,YEAR21,2,0),"-")</f>
        <v>-</v>
      </c>
    </row>
    <row r="63" spans="4:18">
      <c r="D63" s="50">
        <v>44694</v>
      </c>
      <c r="E63" s="53" t="s">
        <v>158</v>
      </c>
      <c r="F63" s="22">
        <v>1</v>
      </c>
      <c r="G63" s="52" t="str">
        <f t="shared" si="7"/>
        <v>-</v>
      </c>
      <c r="H63" s="52" t="str">
        <f t="shared" si="8"/>
        <v>-</v>
      </c>
      <c r="I63" s="52" t="str">
        <f>IFERROR(VLOOKUP(H63,'SUPPLIES SUMMARY'!A$147:G$180,7,0),"-")</f>
        <v>-</v>
      </c>
      <c r="J63" s="52" t="s">
        <v>179</v>
      </c>
      <c r="K63" s="128"/>
      <c r="L63" s="128"/>
      <c r="M63" s="127"/>
      <c r="N63" s="129">
        <v>44694</v>
      </c>
      <c r="O63" s="22">
        <f t="shared" ref="O63:O69" si="9">F64</f>
        <v>1</v>
      </c>
    </row>
    <row r="64" spans="4:18">
      <c r="D64" s="50">
        <v>44694</v>
      </c>
      <c r="E64" s="53" t="s">
        <v>156</v>
      </c>
      <c r="F64" s="22">
        <v>1</v>
      </c>
      <c r="G64" s="52" t="str">
        <f t="shared" si="7"/>
        <v>-</v>
      </c>
      <c r="H64" s="52" t="str">
        <f>IFERROR(VLOOKUP(E64,SUPPLY2,4,0),"-")</f>
        <v>-</v>
      </c>
      <c r="I64" s="52" t="str">
        <f>IFERROR(VLOOKUP(H64,'SUPPLIES SUMMARY'!A$147:G$180,7,0),"-")</f>
        <v>-</v>
      </c>
      <c r="J64" s="52" t="s">
        <v>179</v>
      </c>
      <c r="K64" s="128"/>
      <c r="L64" s="128"/>
      <c r="M64" s="127"/>
      <c r="N64" s="129">
        <v>44694</v>
      </c>
      <c r="O64" s="22">
        <f t="shared" si="9"/>
        <v>1</v>
      </c>
      <c r="P64" s="22" t="str">
        <f>IFERROR(VLOOKUP(#REF!,YEAR21,2,0),"-")</f>
        <v>-</v>
      </c>
    </row>
    <row r="65" spans="4:26">
      <c r="D65" s="50">
        <v>44699</v>
      </c>
      <c r="E65" s="53" t="s">
        <v>172</v>
      </c>
      <c r="F65" s="22">
        <v>1</v>
      </c>
      <c r="G65" s="52" t="str">
        <f t="shared" si="7"/>
        <v>-</v>
      </c>
      <c r="H65" s="52" t="str">
        <f t="shared" si="8"/>
        <v>-</v>
      </c>
      <c r="I65" s="52" t="str">
        <f>IFERROR(VLOOKUP(H65,'SUPPLIES SUMMARY'!A$147:G$180,7,0),"-")</f>
        <v>-</v>
      </c>
      <c r="J65" s="52" t="s">
        <v>175</v>
      </c>
      <c r="K65" s="128"/>
      <c r="L65" s="128"/>
      <c r="M65" s="127"/>
      <c r="N65" s="129">
        <v>44699</v>
      </c>
      <c r="O65" s="22">
        <f t="shared" si="9"/>
        <v>1</v>
      </c>
      <c r="Z65" s="119" t="s">
        <v>182</v>
      </c>
    </row>
    <row r="66" spans="4:26">
      <c r="D66" s="50">
        <v>44706</v>
      </c>
      <c r="E66" s="53" t="s">
        <v>174</v>
      </c>
      <c r="F66" s="22">
        <v>1</v>
      </c>
      <c r="G66" s="52" t="str">
        <f t="shared" si="7"/>
        <v>-</v>
      </c>
      <c r="H66" s="52" t="str">
        <f t="shared" si="8"/>
        <v>-</v>
      </c>
      <c r="I66" s="52" t="str">
        <f>IFERROR(VLOOKUP(H66,'SUPPLIES SUMMARY'!A$147:G$180,7,0),"-")</f>
        <v>-</v>
      </c>
      <c r="J66" s="52" t="s">
        <v>179</v>
      </c>
      <c r="K66" s="128"/>
      <c r="L66" s="128"/>
      <c r="M66" s="127"/>
      <c r="N66" s="129">
        <v>44706</v>
      </c>
      <c r="O66" s="22">
        <f t="shared" si="9"/>
        <v>1</v>
      </c>
      <c r="P66" s="22" t="str">
        <f t="shared" ref="P66:P97" si="10">IFERROR(VLOOKUP(D66,YEAR21,2,0),"-")</f>
        <v>-</v>
      </c>
    </row>
    <row r="67" spans="4:26">
      <c r="D67" s="50">
        <v>44709</v>
      </c>
      <c r="E67" s="53" t="s">
        <v>155</v>
      </c>
      <c r="F67" s="22">
        <v>1</v>
      </c>
      <c r="G67" s="52" t="str">
        <f t="shared" si="7"/>
        <v>-</v>
      </c>
      <c r="H67" s="52" t="str">
        <f t="shared" si="8"/>
        <v>-</v>
      </c>
      <c r="I67" s="52" t="str">
        <f>IFERROR(VLOOKUP(H67,'SUPPLIES SUMMARY'!A$147:G$180,7,0),"-")</f>
        <v>-</v>
      </c>
      <c r="J67" s="52" t="s">
        <v>175</v>
      </c>
      <c r="K67" s="128"/>
      <c r="L67" s="128"/>
      <c r="M67" s="127"/>
      <c r="N67" s="129">
        <v>44709</v>
      </c>
      <c r="O67" s="22">
        <f t="shared" si="9"/>
        <v>1</v>
      </c>
      <c r="P67" s="22" t="str">
        <f t="shared" si="10"/>
        <v>-</v>
      </c>
    </row>
    <row r="68" spans="4:26">
      <c r="D68" s="50">
        <v>44709</v>
      </c>
      <c r="E68" s="53" t="s">
        <v>173</v>
      </c>
      <c r="F68" s="22">
        <v>1</v>
      </c>
      <c r="G68" s="52" t="str">
        <f t="shared" si="7"/>
        <v>-</v>
      </c>
      <c r="H68" s="52" t="str">
        <f t="shared" si="8"/>
        <v>-</v>
      </c>
      <c r="I68" s="52" t="str">
        <f>IFERROR(VLOOKUP(H68,'SUPPLIES SUMMARY'!A$147:G$180,7,0),"-")</f>
        <v>-</v>
      </c>
      <c r="J68" s="52" t="s">
        <v>175</v>
      </c>
      <c r="K68" s="128"/>
      <c r="L68" s="128"/>
      <c r="M68" s="127"/>
      <c r="N68" s="129">
        <v>44711</v>
      </c>
      <c r="O68" s="22">
        <f t="shared" si="9"/>
        <v>1</v>
      </c>
      <c r="P68" s="22" t="str">
        <f t="shared" si="10"/>
        <v>-</v>
      </c>
    </row>
    <row r="69" spans="4:26">
      <c r="D69" s="50">
        <v>44711</v>
      </c>
      <c r="E69" s="53" t="s">
        <v>151</v>
      </c>
      <c r="F69" s="22">
        <v>1</v>
      </c>
      <c r="G69" s="52" t="str">
        <f t="shared" si="7"/>
        <v>-</v>
      </c>
      <c r="H69" s="52" t="str">
        <f t="shared" si="8"/>
        <v>-</v>
      </c>
      <c r="I69" s="52" t="str">
        <f>IFERROR(VLOOKUP(H69,'SUPPLIES SUMMARY'!A$147:G$180,7,0),"-")</f>
        <v>-</v>
      </c>
      <c r="J69" s="52" t="s">
        <v>175</v>
      </c>
      <c r="K69" s="128"/>
      <c r="L69" s="128"/>
      <c r="M69" s="127"/>
      <c r="N69" s="129">
        <v>44711</v>
      </c>
      <c r="O69" s="22">
        <f t="shared" si="9"/>
        <v>1</v>
      </c>
      <c r="P69" s="22" t="str">
        <f t="shared" si="10"/>
        <v>-</v>
      </c>
    </row>
    <row r="70" spans="4:26">
      <c r="D70" s="50">
        <v>44715</v>
      </c>
      <c r="E70" s="53" t="s">
        <v>174</v>
      </c>
      <c r="F70" s="22">
        <v>1</v>
      </c>
      <c r="G70" s="52" t="str">
        <f t="shared" si="7"/>
        <v>-</v>
      </c>
      <c r="H70" s="52" t="str">
        <f t="shared" si="8"/>
        <v>-</v>
      </c>
      <c r="I70" s="52" t="str">
        <f>IFERROR(VLOOKUP(H70,'SUPPLIES SUMMARY'!A$147:G$180,7,0),"-")</f>
        <v>-</v>
      </c>
      <c r="J70" s="52" t="s">
        <v>179</v>
      </c>
      <c r="K70" s="128"/>
      <c r="L70" s="128"/>
      <c r="M70" s="127"/>
      <c r="N70" s="129">
        <v>44715</v>
      </c>
      <c r="O70" s="22">
        <f t="shared" si="6"/>
        <v>1</v>
      </c>
      <c r="P70" s="22" t="str">
        <f t="shared" si="10"/>
        <v>-</v>
      </c>
    </row>
    <row r="71" spans="4:26">
      <c r="D71" s="50">
        <v>44730</v>
      </c>
      <c r="E71" s="53" t="s">
        <v>162</v>
      </c>
      <c r="F71" s="22">
        <v>2</v>
      </c>
      <c r="G71" s="52" t="str">
        <f t="shared" si="4"/>
        <v>-</v>
      </c>
      <c r="H71" s="52" t="str">
        <f t="shared" si="5"/>
        <v>-</v>
      </c>
      <c r="I71" s="52" t="str">
        <f>IFERROR(VLOOKUP(H71,'SUPPLIES SUMMARY'!A$147:G$180,7,0),"-")</f>
        <v>-</v>
      </c>
      <c r="J71" s="52" t="s">
        <v>179</v>
      </c>
      <c r="K71" s="128"/>
      <c r="L71" s="128"/>
      <c r="M71" s="127"/>
      <c r="N71" s="129">
        <v>44730</v>
      </c>
      <c r="O71" s="22">
        <f t="shared" si="6"/>
        <v>2</v>
      </c>
      <c r="P71" s="22" t="str">
        <f t="shared" si="10"/>
        <v>-</v>
      </c>
    </row>
    <row r="72" spans="4:26">
      <c r="D72" s="50">
        <v>44730</v>
      </c>
      <c r="E72" s="53" t="s">
        <v>152</v>
      </c>
      <c r="F72" s="22">
        <v>1</v>
      </c>
      <c r="G72" s="52" t="str">
        <f t="shared" si="7"/>
        <v>-</v>
      </c>
      <c r="H72" s="52" t="str">
        <f t="shared" si="8"/>
        <v>-</v>
      </c>
      <c r="I72" s="52" t="str">
        <f>IFERROR(VLOOKUP(H72,'SUPPLIES SUMMARY'!A$147:G$180,7,0),"-")</f>
        <v>-</v>
      </c>
      <c r="J72" s="52" t="s">
        <v>179</v>
      </c>
      <c r="K72" s="128"/>
      <c r="L72" s="128"/>
      <c r="M72" s="127"/>
      <c r="N72" s="129">
        <v>44730</v>
      </c>
      <c r="O72" s="22" t="str">
        <f>E72</f>
        <v>BAYGON MULTI INSECT SPRAY</v>
      </c>
      <c r="P72" s="22" t="str">
        <f t="shared" si="10"/>
        <v>-</v>
      </c>
    </row>
    <row r="73" spans="4:26">
      <c r="D73" s="50">
        <v>44730</v>
      </c>
      <c r="E73" s="53" t="s">
        <v>167</v>
      </c>
      <c r="F73" s="22">
        <v>1</v>
      </c>
      <c r="G73" s="52" t="str">
        <f t="shared" si="4"/>
        <v>-</v>
      </c>
      <c r="H73" s="52" t="str">
        <f t="shared" si="5"/>
        <v>-</v>
      </c>
      <c r="I73" s="52" t="str">
        <f>IFERROR(VLOOKUP(H73,'SUPPLIES SUMMARY'!A$147:G$180,7,0),"-")</f>
        <v>-</v>
      </c>
      <c r="J73" s="52" t="s">
        <v>179</v>
      </c>
      <c r="K73" s="128"/>
      <c r="L73" s="128"/>
      <c r="M73" s="127"/>
      <c r="N73" s="129">
        <v>44730</v>
      </c>
      <c r="O73" s="22">
        <f t="shared" si="6"/>
        <v>1</v>
      </c>
      <c r="P73" s="22" t="str">
        <f t="shared" si="10"/>
        <v>-</v>
      </c>
    </row>
    <row r="74" spans="4:26">
      <c r="D74" s="50">
        <v>44730</v>
      </c>
      <c r="E74" s="53" t="s">
        <v>174</v>
      </c>
      <c r="F74" s="22">
        <v>1</v>
      </c>
      <c r="G74" s="52" t="str">
        <f t="shared" si="4"/>
        <v>-</v>
      </c>
      <c r="H74" s="52" t="str">
        <f t="shared" si="5"/>
        <v>-</v>
      </c>
      <c r="I74" s="52" t="str">
        <f>IFERROR(VLOOKUP(H74,'SUPPLIES SUMMARY'!A$147:G$180,7,0),"-")</f>
        <v>-</v>
      </c>
      <c r="J74" s="52" t="s">
        <v>179</v>
      </c>
      <c r="K74" s="128"/>
      <c r="L74" s="128"/>
      <c r="M74" s="127"/>
      <c r="N74" s="129">
        <v>44730</v>
      </c>
      <c r="O74" s="22">
        <f t="shared" si="6"/>
        <v>1</v>
      </c>
      <c r="P74" s="22" t="str">
        <f t="shared" si="10"/>
        <v>-</v>
      </c>
    </row>
    <row r="75" spans="4:26">
      <c r="D75" s="50">
        <v>44730</v>
      </c>
      <c r="E75" s="53" t="s">
        <v>165</v>
      </c>
      <c r="F75" s="22">
        <v>1</v>
      </c>
      <c r="G75" s="52" t="str">
        <f t="shared" si="4"/>
        <v>-</v>
      </c>
      <c r="H75" s="52" t="str">
        <f t="shared" si="5"/>
        <v>-</v>
      </c>
      <c r="I75" s="52" t="str">
        <f>IFERROR(VLOOKUP(H75,'SUPPLIES SUMMARY'!A$147:G$180,7,0),"-")</f>
        <v>-</v>
      </c>
      <c r="J75" s="52" t="s">
        <v>179</v>
      </c>
      <c r="K75" s="128"/>
      <c r="L75" s="128"/>
      <c r="M75" s="127"/>
      <c r="N75" s="129">
        <v>44730</v>
      </c>
      <c r="O75" s="22">
        <f t="shared" si="6"/>
        <v>1</v>
      </c>
      <c r="P75" s="22" t="str">
        <f t="shared" si="10"/>
        <v>-</v>
      </c>
    </row>
    <row r="76" spans="4:26">
      <c r="D76" s="50">
        <v>44734</v>
      </c>
      <c r="E76" s="53" t="s">
        <v>156</v>
      </c>
      <c r="F76" s="22">
        <v>1</v>
      </c>
      <c r="G76" s="52" t="str">
        <f t="shared" si="4"/>
        <v>-</v>
      </c>
      <c r="H76" s="52" t="str">
        <f t="shared" si="5"/>
        <v>-</v>
      </c>
      <c r="I76" s="52" t="str">
        <f>IFERROR(VLOOKUP(H76,'SUPPLIES SUMMARY'!A$147:G$180,7,0),"-")</f>
        <v>-</v>
      </c>
      <c r="J76" s="52" t="s">
        <v>179</v>
      </c>
      <c r="K76" s="128"/>
      <c r="L76" s="128"/>
      <c r="M76" s="127"/>
      <c r="N76" s="129">
        <v>44734</v>
      </c>
      <c r="O76" s="22">
        <f t="shared" si="6"/>
        <v>1</v>
      </c>
      <c r="P76" s="22" t="str">
        <f t="shared" si="10"/>
        <v>-</v>
      </c>
    </row>
    <row r="77" spans="4:26">
      <c r="D77" s="50">
        <v>44744</v>
      </c>
      <c r="E77" s="53" t="s">
        <v>165</v>
      </c>
      <c r="F77" s="22">
        <v>1</v>
      </c>
      <c r="G77" s="52" t="str">
        <f t="shared" si="4"/>
        <v>-</v>
      </c>
      <c r="H77" s="52" t="str">
        <f t="shared" si="5"/>
        <v>-</v>
      </c>
      <c r="I77" s="52" t="str">
        <f>IFERROR(VLOOKUP(H77,'SUPPLIES SUMMARY'!A$147:G$180,7,0),"-")</f>
        <v>-</v>
      </c>
      <c r="J77" s="52" t="s">
        <v>179</v>
      </c>
      <c r="K77" s="128"/>
      <c r="L77" s="128"/>
      <c r="M77" s="127"/>
      <c r="N77" s="129">
        <v>44744</v>
      </c>
      <c r="O77" s="22">
        <f t="shared" si="6"/>
        <v>1</v>
      </c>
      <c r="P77" s="22" t="str">
        <f t="shared" si="10"/>
        <v>-</v>
      </c>
    </row>
    <row r="78" spans="4:26">
      <c r="D78" s="50">
        <v>44744</v>
      </c>
      <c r="E78" s="53" t="s">
        <v>167</v>
      </c>
      <c r="F78" s="22">
        <v>1</v>
      </c>
      <c r="G78" s="52" t="str">
        <f t="shared" si="4"/>
        <v>-</v>
      </c>
      <c r="H78" s="52" t="str">
        <f t="shared" si="5"/>
        <v>-</v>
      </c>
      <c r="I78" s="52" t="str">
        <f>IFERROR(VLOOKUP(H78,'SUPPLIES SUMMARY'!A$147:G$180,7,0),"-")</f>
        <v>-</v>
      </c>
      <c r="J78" s="52" t="s">
        <v>179</v>
      </c>
      <c r="K78" s="128"/>
      <c r="L78" s="128"/>
      <c r="M78" s="127"/>
      <c r="N78" s="129">
        <v>44744</v>
      </c>
      <c r="O78" s="22">
        <f t="shared" si="6"/>
        <v>1</v>
      </c>
      <c r="P78" s="22" t="str">
        <f t="shared" si="10"/>
        <v>-</v>
      </c>
    </row>
    <row r="79" spans="4:26">
      <c r="D79" s="50">
        <v>44744</v>
      </c>
      <c r="E79" s="53" t="s">
        <v>162</v>
      </c>
      <c r="F79" s="22">
        <v>4</v>
      </c>
      <c r="G79" s="52" t="str">
        <f t="shared" si="4"/>
        <v>-</v>
      </c>
      <c r="H79" s="52" t="str">
        <f t="shared" si="5"/>
        <v>-</v>
      </c>
      <c r="I79" s="52" t="str">
        <f>IFERROR(VLOOKUP(H79,'SUPPLIES SUMMARY'!A$147:G$180,7,0),"-")</f>
        <v>-</v>
      </c>
      <c r="J79" s="52" t="s">
        <v>179</v>
      </c>
      <c r="K79" s="128"/>
      <c r="L79" s="128"/>
      <c r="M79" s="127"/>
      <c r="N79" s="129">
        <v>44744</v>
      </c>
      <c r="O79" s="22">
        <f t="shared" si="6"/>
        <v>4</v>
      </c>
      <c r="P79" s="22" t="str">
        <f t="shared" si="10"/>
        <v>-</v>
      </c>
    </row>
    <row r="80" spans="4:26">
      <c r="D80" s="50">
        <v>44744</v>
      </c>
      <c r="E80" s="53" t="s">
        <v>183</v>
      </c>
      <c r="F80" s="22">
        <v>1</v>
      </c>
      <c r="G80" s="52" t="str">
        <f t="shared" si="4"/>
        <v>-</v>
      </c>
      <c r="H80" s="52" t="str">
        <f t="shared" si="5"/>
        <v>-</v>
      </c>
      <c r="I80" s="52" t="str">
        <f>IFERROR(VLOOKUP(H80,'SUPPLIES SUMMARY'!A$147:G$180,7,0),"-")</f>
        <v>-</v>
      </c>
      <c r="J80" s="52" t="s">
        <v>179</v>
      </c>
      <c r="K80" s="128"/>
      <c r="L80" s="128"/>
      <c r="M80" s="127"/>
      <c r="N80" s="129">
        <v>44744</v>
      </c>
      <c r="O80" s="22">
        <f t="shared" si="6"/>
        <v>1</v>
      </c>
      <c r="P80" s="22" t="str">
        <f t="shared" si="10"/>
        <v>-</v>
      </c>
    </row>
    <row r="81" spans="1:40">
      <c r="D81" s="50">
        <v>44746</v>
      </c>
      <c r="E81" s="53" t="s">
        <v>174</v>
      </c>
      <c r="F81" s="22">
        <v>1</v>
      </c>
      <c r="G81" s="52" t="str">
        <f t="shared" si="4"/>
        <v>-</v>
      </c>
      <c r="H81" s="52" t="str">
        <f t="shared" si="5"/>
        <v>-</v>
      </c>
      <c r="I81" s="52" t="str">
        <f>IFERROR(VLOOKUP(H81,'SUPPLIES SUMMARY'!A$147:G$180,7,0),"-")</f>
        <v>-</v>
      </c>
      <c r="J81" s="52" t="s">
        <v>179</v>
      </c>
      <c r="K81" s="128"/>
      <c r="L81" s="128"/>
      <c r="M81" s="127"/>
      <c r="N81" s="129">
        <v>44746</v>
      </c>
      <c r="O81" s="22">
        <f t="shared" si="6"/>
        <v>1</v>
      </c>
      <c r="P81" s="22" t="str">
        <f t="shared" si="10"/>
        <v>-</v>
      </c>
    </row>
    <row r="82" spans="1:40">
      <c r="D82" s="50">
        <v>44746</v>
      </c>
      <c r="E82" s="53" t="s">
        <v>174</v>
      </c>
      <c r="F82" s="22">
        <v>2</v>
      </c>
      <c r="G82" s="52" t="str">
        <f t="shared" si="4"/>
        <v>-</v>
      </c>
      <c r="H82" s="52" t="str">
        <f t="shared" si="5"/>
        <v>-</v>
      </c>
      <c r="I82" s="52" t="str">
        <f>IFERROR(VLOOKUP(H82,'SUPPLIES SUMMARY'!A$147:G$180,7,0),"-")</f>
        <v>-</v>
      </c>
      <c r="J82" s="52" t="s">
        <v>175</v>
      </c>
      <c r="K82" s="128"/>
      <c r="L82" s="128"/>
      <c r="M82" s="127"/>
      <c r="N82" s="129">
        <v>44746</v>
      </c>
      <c r="O82" s="22">
        <f t="shared" si="6"/>
        <v>2</v>
      </c>
      <c r="P82" s="22" t="str">
        <f t="shared" si="10"/>
        <v>-</v>
      </c>
    </row>
    <row r="83" spans="1:40">
      <c r="D83" s="50">
        <v>44749</v>
      </c>
      <c r="E83" s="53" t="s">
        <v>167</v>
      </c>
      <c r="F83" s="22">
        <v>1</v>
      </c>
      <c r="G83" s="52" t="str">
        <f t="shared" si="4"/>
        <v>-</v>
      </c>
      <c r="H83" s="52" t="str">
        <f t="shared" si="5"/>
        <v>-</v>
      </c>
      <c r="I83" s="52" t="str">
        <f>IFERROR(VLOOKUP(H83,'SUPPLIES SUMMARY'!A$147:G$180,7,0),"-")</f>
        <v>-</v>
      </c>
      <c r="J83" s="52" t="s">
        <v>179</v>
      </c>
      <c r="K83" s="128"/>
      <c r="L83" s="128"/>
      <c r="M83" s="127"/>
      <c r="N83" s="129">
        <v>44749</v>
      </c>
      <c r="O83" s="22">
        <f t="shared" si="6"/>
        <v>1</v>
      </c>
      <c r="P83" s="22" t="str">
        <f t="shared" si="10"/>
        <v>-</v>
      </c>
    </row>
    <row r="84" spans="1:40">
      <c r="D84" s="50">
        <v>44752</v>
      </c>
      <c r="E84" s="53" t="s">
        <v>165</v>
      </c>
      <c r="F84" s="22">
        <v>2</v>
      </c>
      <c r="G84" s="52" t="str">
        <f t="shared" si="4"/>
        <v>-</v>
      </c>
      <c r="H84" s="52" t="str">
        <f t="shared" si="5"/>
        <v>-</v>
      </c>
      <c r="I84" s="52" t="str">
        <f>IFERROR(VLOOKUP(H84,'SUPPLIES SUMMARY'!A$147:G$180,7,0),"-")</f>
        <v>-</v>
      </c>
      <c r="J84" s="52" t="s">
        <v>175</v>
      </c>
      <c r="K84" s="128"/>
      <c r="L84" s="128"/>
      <c r="M84" s="127"/>
      <c r="N84" s="129">
        <v>44752</v>
      </c>
      <c r="O84" s="22">
        <f t="shared" si="6"/>
        <v>2</v>
      </c>
      <c r="P84" s="22" t="str">
        <f t="shared" si="10"/>
        <v>-</v>
      </c>
    </row>
    <row r="85" spans="1:40">
      <c r="D85" s="50">
        <v>44752</v>
      </c>
      <c r="E85" s="53" t="s">
        <v>166</v>
      </c>
      <c r="F85" s="22">
        <v>1</v>
      </c>
      <c r="G85" s="52" t="str">
        <f t="shared" si="4"/>
        <v>-</v>
      </c>
      <c r="H85" s="52" t="str">
        <f t="shared" si="5"/>
        <v>-</v>
      </c>
      <c r="I85" s="52" t="str">
        <f>IFERROR(VLOOKUP(H85,'SUPPLIES SUMMARY'!A$147:G$180,7,0),"-")</f>
        <v>-</v>
      </c>
      <c r="J85" s="52" t="s">
        <v>175</v>
      </c>
      <c r="K85" s="128"/>
      <c r="L85" s="128"/>
      <c r="M85" s="127"/>
      <c r="N85" s="129">
        <v>44752</v>
      </c>
      <c r="O85" s="22">
        <f t="shared" si="6"/>
        <v>1</v>
      </c>
      <c r="P85" s="22" t="str">
        <f t="shared" si="10"/>
        <v>-</v>
      </c>
    </row>
    <row r="86" spans="1:40">
      <c r="D86" s="50">
        <v>44752</v>
      </c>
      <c r="E86" s="53" t="s">
        <v>173</v>
      </c>
      <c r="F86" s="22">
        <v>1</v>
      </c>
      <c r="G86" s="52" t="str">
        <f t="shared" si="4"/>
        <v>-</v>
      </c>
      <c r="H86" s="52" t="str">
        <f t="shared" si="5"/>
        <v>-</v>
      </c>
      <c r="I86" s="52" t="str">
        <f>IFERROR(VLOOKUP(H86,'SUPPLIES SUMMARY'!A$147:G$180,7,0),"-")</f>
        <v>-</v>
      </c>
      <c r="J86" s="52" t="s">
        <v>175</v>
      </c>
      <c r="K86" s="128"/>
      <c r="L86" s="128"/>
      <c r="M86" s="127"/>
      <c r="N86" s="129">
        <v>44752</v>
      </c>
      <c r="O86" s="22">
        <f t="shared" si="6"/>
        <v>1</v>
      </c>
      <c r="P86" s="22" t="str">
        <f t="shared" si="10"/>
        <v>-</v>
      </c>
    </row>
    <row r="87" spans="1:40">
      <c r="D87" s="50">
        <v>44757</v>
      </c>
      <c r="E87" s="53" t="s">
        <v>158</v>
      </c>
      <c r="F87" s="22">
        <v>1</v>
      </c>
      <c r="G87" s="52" t="str">
        <f t="shared" si="4"/>
        <v>-</v>
      </c>
      <c r="H87" s="52" t="str">
        <f t="shared" si="5"/>
        <v>-</v>
      </c>
      <c r="I87" s="52" t="str">
        <f>IFERROR(VLOOKUP(H87,'SUPPLIES SUMMARY'!A$147:G$180,7,0),"-")</f>
        <v>-</v>
      </c>
      <c r="J87" s="52" t="s">
        <v>179</v>
      </c>
      <c r="K87" s="128"/>
      <c r="L87" s="128"/>
      <c r="M87" s="127"/>
      <c r="N87" s="129">
        <v>44757</v>
      </c>
      <c r="O87" s="22">
        <f t="shared" si="6"/>
        <v>1</v>
      </c>
      <c r="P87" s="22" t="str">
        <f t="shared" si="10"/>
        <v>-</v>
      </c>
    </row>
    <row r="88" spans="1:40">
      <c r="D88" s="50">
        <v>44757</v>
      </c>
      <c r="E88" s="53" t="s">
        <v>167</v>
      </c>
      <c r="F88" s="22">
        <v>1</v>
      </c>
      <c r="G88" s="52" t="str">
        <f t="shared" si="4"/>
        <v>-</v>
      </c>
      <c r="H88" s="52" t="str">
        <f t="shared" si="5"/>
        <v>-</v>
      </c>
      <c r="I88" s="52" t="str">
        <f>IFERROR(VLOOKUP(H88,'SUPPLIES SUMMARY'!A$147:G$180,7,0),"-")</f>
        <v>-</v>
      </c>
      <c r="J88" s="52" t="s">
        <v>179</v>
      </c>
      <c r="K88" s="128"/>
      <c r="L88" s="128"/>
      <c r="M88" s="127"/>
      <c r="N88" s="129">
        <v>44757</v>
      </c>
      <c r="O88" s="22">
        <f t="shared" si="6"/>
        <v>1</v>
      </c>
      <c r="P88" s="22" t="str">
        <f t="shared" si="10"/>
        <v>-</v>
      </c>
    </row>
    <row r="89" spans="1:40">
      <c r="D89" s="50">
        <v>44757</v>
      </c>
      <c r="E89" s="53" t="s">
        <v>161</v>
      </c>
      <c r="F89" s="22">
        <v>2</v>
      </c>
      <c r="G89" s="52" t="str">
        <f t="shared" si="4"/>
        <v>-</v>
      </c>
      <c r="H89" s="52" t="str">
        <f t="shared" si="5"/>
        <v>-</v>
      </c>
      <c r="I89" s="52" t="str">
        <f>IFERROR(VLOOKUP(H89,'SUPPLIES SUMMARY'!A$147:G$180,7,0),"-")</f>
        <v>-</v>
      </c>
      <c r="J89" s="52" t="s">
        <v>179</v>
      </c>
      <c r="K89" s="128"/>
      <c r="L89" s="128"/>
      <c r="M89" s="127"/>
      <c r="N89" s="129">
        <v>44757</v>
      </c>
      <c r="O89" s="22">
        <f t="shared" si="6"/>
        <v>2</v>
      </c>
      <c r="P89" s="22" t="str">
        <f t="shared" si="10"/>
        <v>-</v>
      </c>
    </row>
    <row r="90" spans="1:40">
      <c r="D90" s="50">
        <v>44757</v>
      </c>
      <c r="E90" s="53" t="s">
        <v>162</v>
      </c>
      <c r="F90" s="22">
        <v>4</v>
      </c>
      <c r="G90" s="52" t="str">
        <f t="shared" si="4"/>
        <v>-</v>
      </c>
      <c r="H90" s="52" t="str">
        <f t="shared" si="5"/>
        <v>-</v>
      </c>
      <c r="I90" s="52" t="str">
        <f>IFERROR(VLOOKUP(H90,'SUPPLIES SUMMARY'!A$147:G$180,7,0),"-")</f>
        <v>-</v>
      </c>
      <c r="J90" s="52" t="s">
        <v>179</v>
      </c>
      <c r="K90" s="128"/>
      <c r="L90" s="128"/>
      <c r="M90" s="127"/>
      <c r="N90" s="129">
        <v>44757</v>
      </c>
      <c r="O90" s="22">
        <f t="shared" si="6"/>
        <v>4</v>
      </c>
      <c r="P90" s="22" t="str">
        <f t="shared" si="10"/>
        <v>-</v>
      </c>
    </row>
    <row r="91" spans="1:40">
      <c r="D91" s="50">
        <v>44762</v>
      </c>
      <c r="E91" s="53" t="s">
        <v>160</v>
      </c>
      <c r="F91" s="22">
        <v>1</v>
      </c>
      <c r="G91" s="52" t="str">
        <f t="shared" si="4"/>
        <v>-</v>
      </c>
      <c r="H91" s="52" t="str">
        <f t="shared" si="5"/>
        <v>-</v>
      </c>
      <c r="I91" s="52" t="str">
        <f>IFERROR(VLOOKUP(H91,'SUPPLIES SUMMARY'!A$147:G$180,7,0),"-")</f>
        <v>-</v>
      </c>
      <c r="J91" s="52" t="s">
        <v>179</v>
      </c>
      <c r="K91" s="128"/>
      <c r="L91" s="128"/>
      <c r="M91" s="127"/>
      <c r="N91" s="129">
        <v>44762</v>
      </c>
      <c r="O91" s="22">
        <f t="shared" si="6"/>
        <v>1</v>
      </c>
      <c r="P91" s="22" t="str">
        <f t="shared" si="10"/>
        <v>-</v>
      </c>
    </row>
    <row r="92" spans="1:40">
      <c r="D92" s="50">
        <v>44747</v>
      </c>
      <c r="E92" s="53" t="s">
        <v>174</v>
      </c>
      <c r="F92" s="22">
        <v>1</v>
      </c>
      <c r="G92" s="52" t="str">
        <f t="shared" si="4"/>
        <v>-</v>
      </c>
      <c r="H92" s="52" t="str">
        <f t="shared" si="5"/>
        <v>-</v>
      </c>
      <c r="I92" s="52" t="str">
        <f>IFERROR(VLOOKUP(H92,'SUPPLIES SUMMARY'!A$147:G$180,7,0),"-")</f>
        <v>-</v>
      </c>
      <c r="J92" s="52" t="s">
        <v>175</v>
      </c>
      <c r="K92" s="128"/>
      <c r="L92" s="128"/>
      <c r="M92" s="127"/>
      <c r="N92" s="129">
        <v>44747</v>
      </c>
      <c r="O92" s="22">
        <f t="shared" si="6"/>
        <v>1</v>
      </c>
      <c r="P92" s="22" t="str">
        <f t="shared" si="10"/>
        <v>-</v>
      </c>
    </row>
    <row r="93" spans="1:40">
      <c r="D93" s="50">
        <v>44747</v>
      </c>
      <c r="E93" s="53" t="s">
        <v>172</v>
      </c>
      <c r="F93" s="22">
        <v>1</v>
      </c>
      <c r="G93" s="52" t="str">
        <f t="shared" si="4"/>
        <v>-</v>
      </c>
      <c r="H93" s="52" t="str">
        <f t="shared" si="5"/>
        <v>-</v>
      </c>
      <c r="I93" s="52" t="str">
        <f>IFERROR(VLOOKUP(H93,'SUPPLIES SUMMARY'!A$147:G$180,7,0),"-")</f>
        <v>-</v>
      </c>
      <c r="J93" s="52" t="s">
        <v>175</v>
      </c>
      <c r="K93" s="128"/>
      <c r="L93" s="128"/>
      <c r="M93" s="127"/>
      <c r="N93" s="129">
        <v>44747</v>
      </c>
      <c r="O93" s="22">
        <f t="shared" si="6"/>
        <v>1</v>
      </c>
      <c r="P93" s="22" t="str">
        <f t="shared" si="10"/>
        <v>-</v>
      </c>
    </row>
    <row r="94" spans="1:40">
      <c r="D94" s="50">
        <v>44747</v>
      </c>
      <c r="E94" s="53" t="s">
        <v>169</v>
      </c>
      <c r="F94" s="22">
        <v>1</v>
      </c>
      <c r="G94" s="52" t="str">
        <f t="shared" si="4"/>
        <v>-</v>
      </c>
      <c r="H94" s="52" t="str">
        <f t="shared" si="5"/>
        <v>-</v>
      </c>
      <c r="I94" s="52" t="str">
        <f>IFERROR(VLOOKUP(H94,'SUPPLIES SUMMARY'!A$147:G$180,7,0),"-")</f>
        <v>-</v>
      </c>
      <c r="J94" s="52" t="s">
        <v>175</v>
      </c>
      <c r="K94" s="128"/>
      <c r="L94" s="128"/>
      <c r="M94" s="127"/>
      <c r="N94" s="129">
        <v>44747</v>
      </c>
      <c r="O94" s="22">
        <f t="shared" si="6"/>
        <v>1</v>
      </c>
      <c r="P94" s="22" t="str">
        <f t="shared" si="10"/>
        <v>-</v>
      </c>
    </row>
    <row r="95" spans="1:40">
      <c r="D95" s="50">
        <v>44747</v>
      </c>
      <c r="E95" s="53" t="s">
        <v>159</v>
      </c>
      <c r="F95" s="22">
        <v>1</v>
      </c>
      <c r="G95" s="52" t="str">
        <f t="shared" ref="G95:G126" si="11">IFERROR(VLOOKUP(E95,SUPPLY2,3,0),"-")</f>
        <v>-</v>
      </c>
      <c r="H95" s="52" t="str">
        <f t="shared" ref="H95:H126" si="12">IFERROR(VLOOKUP(E95,SUPPLY2,4,0),"-")</f>
        <v>-</v>
      </c>
      <c r="I95" s="52" t="str">
        <f>IFERROR(VLOOKUP(H95,'SUPPLIES SUMMARY'!A$147:G$180,7,0),"-")</f>
        <v>-</v>
      </c>
      <c r="J95" s="52" t="s">
        <v>175</v>
      </c>
      <c r="K95" s="128"/>
      <c r="L95" s="128"/>
      <c r="M95" s="127"/>
      <c r="N95" s="129">
        <v>44747</v>
      </c>
      <c r="O95" s="22">
        <f t="shared" si="6"/>
        <v>1</v>
      </c>
      <c r="P95" s="22" t="str">
        <f t="shared" si="10"/>
        <v>-</v>
      </c>
    </row>
    <row r="96" spans="1:40" s="117" customFormat="1">
      <c r="A96" s="111"/>
      <c r="B96" s="112"/>
      <c r="C96" s="111"/>
      <c r="D96" s="50">
        <v>44784</v>
      </c>
      <c r="E96" s="53" t="s">
        <v>152</v>
      </c>
      <c r="F96" s="22">
        <v>1</v>
      </c>
      <c r="G96" s="52" t="str">
        <f t="shared" si="11"/>
        <v>-</v>
      </c>
      <c r="H96" s="52" t="str">
        <f t="shared" si="12"/>
        <v>-</v>
      </c>
      <c r="I96" s="52" t="str">
        <f>IFERROR(VLOOKUP(H96,'SUPPLIES SUMMARY'!A$147:G$180,7,0),"-")</f>
        <v>-</v>
      </c>
      <c r="J96" s="52" t="s">
        <v>180</v>
      </c>
      <c r="K96" s="128"/>
      <c r="L96" s="128"/>
      <c r="M96" s="127"/>
      <c r="N96" s="129">
        <v>44796</v>
      </c>
      <c r="O96" s="22">
        <f t="shared" ref="O96:O127" si="13">F96</f>
        <v>1</v>
      </c>
      <c r="P96" s="22" t="str">
        <f t="shared" si="10"/>
        <v>-</v>
      </c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</row>
    <row r="97" spans="4:16">
      <c r="D97" s="50">
        <v>44784</v>
      </c>
      <c r="E97" s="53" t="s">
        <v>165</v>
      </c>
      <c r="F97" s="22">
        <v>1</v>
      </c>
      <c r="G97" s="52" t="str">
        <f t="shared" si="11"/>
        <v>-</v>
      </c>
      <c r="H97" s="52" t="str">
        <f t="shared" si="12"/>
        <v>-</v>
      </c>
      <c r="I97" s="52" t="str">
        <f>IFERROR(VLOOKUP(H97,'SUPPLIES SUMMARY'!A$147:G$180,7,0),"-")</f>
        <v>-</v>
      </c>
      <c r="J97" s="52" t="s">
        <v>180</v>
      </c>
      <c r="K97" s="128"/>
      <c r="L97" s="128"/>
      <c r="M97" s="127"/>
      <c r="N97" s="129" t="s">
        <v>137</v>
      </c>
      <c r="O97" s="22">
        <f t="shared" si="13"/>
        <v>1</v>
      </c>
      <c r="P97" s="22" t="str">
        <f t="shared" si="10"/>
        <v>-</v>
      </c>
    </row>
    <row r="98" spans="4:16">
      <c r="D98" s="50">
        <v>44784</v>
      </c>
      <c r="E98" s="53" t="s">
        <v>156</v>
      </c>
      <c r="F98" s="22">
        <v>2</v>
      </c>
      <c r="G98" s="52" t="str">
        <f t="shared" si="11"/>
        <v>-</v>
      </c>
      <c r="H98" s="52" t="str">
        <f t="shared" si="12"/>
        <v>-</v>
      </c>
      <c r="I98" s="52" t="str">
        <f>IFERROR(VLOOKUP(H98,'SUPPLIES SUMMARY'!A$147:G$180,7,0),"-")</f>
        <v>-</v>
      </c>
      <c r="J98" s="52" t="s">
        <v>180</v>
      </c>
      <c r="K98" s="128"/>
      <c r="L98" s="128"/>
      <c r="M98" s="127"/>
      <c r="N98" s="129">
        <v>44796</v>
      </c>
      <c r="O98" s="22">
        <f t="shared" si="13"/>
        <v>2</v>
      </c>
      <c r="P98" s="22" t="str">
        <f t="shared" ref="P98:P129" si="14">IFERROR(VLOOKUP(D98,YEAR21,2,0),"-")</f>
        <v>-</v>
      </c>
    </row>
    <row r="99" spans="4:16">
      <c r="D99" s="50">
        <v>44784</v>
      </c>
      <c r="E99" s="53" t="s">
        <v>167</v>
      </c>
      <c r="F99" s="22">
        <v>1</v>
      </c>
      <c r="G99" s="52" t="str">
        <f t="shared" si="11"/>
        <v>-</v>
      </c>
      <c r="H99" s="52" t="str">
        <f t="shared" si="12"/>
        <v>-</v>
      </c>
      <c r="I99" s="52" t="str">
        <f>IFERROR(VLOOKUP(H99,'SUPPLIES SUMMARY'!A$147:G$180,7,0),"-")</f>
        <v>-</v>
      </c>
      <c r="J99" s="52" t="s">
        <v>180</v>
      </c>
      <c r="K99" s="128"/>
      <c r="L99" s="128"/>
      <c r="M99" s="127"/>
      <c r="N99" s="129" t="s">
        <v>137</v>
      </c>
      <c r="O99" s="22">
        <f t="shared" si="13"/>
        <v>1</v>
      </c>
      <c r="P99" s="22" t="str">
        <f t="shared" si="14"/>
        <v>-</v>
      </c>
    </row>
    <row r="100" spans="4:16">
      <c r="D100" s="50">
        <v>44784</v>
      </c>
      <c r="E100" s="53" t="s">
        <v>155</v>
      </c>
      <c r="F100" s="22">
        <v>1</v>
      </c>
      <c r="G100" s="52" t="str">
        <f t="shared" si="11"/>
        <v>-</v>
      </c>
      <c r="H100" s="52" t="str">
        <f t="shared" si="12"/>
        <v>-</v>
      </c>
      <c r="I100" s="52" t="str">
        <f>IFERROR(VLOOKUP(H100,'SUPPLIES SUMMARY'!A$147:G$180,7,0),"-")</f>
        <v>-</v>
      </c>
      <c r="J100" s="52" t="s">
        <v>180</v>
      </c>
      <c r="K100" s="128"/>
      <c r="L100" s="128"/>
      <c r="M100" s="127"/>
      <c r="N100" s="129" t="s">
        <v>137</v>
      </c>
      <c r="O100" s="22">
        <f t="shared" si="13"/>
        <v>1</v>
      </c>
      <c r="P100" s="22" t="str">
        <f t="shared" si="14"/>
        <v>-</v>
      </c>
    </row>
    <row r="101" spans="4:16">
      <c r="D101" s="50">
        <v>44784</v>
      </c>
      <c r="E101" s="53" t="s">
        <v>170</v>
      </c>
      <c r="F101" s="22">
        <v>3</v>
      </c>
      <c r="G101" s="52" t="str">
        <f t="shared" si="11"/>
        <v>-</v>
      </c>
      <c r="H101" s="52" t="str">
        <f t="shared" si="12"/>
        <v>-</v>
      </c>
      <c r="I101" s="52" t="str">
        <f>IFERROR(VLOOKUP(H101,'SUPPLIES SUMMARY'!A$147:G$180,7,0),"-")</f>
        <v>-</v>
      </c>
      <c r="J101" s="52" t="s">
        <v>180</v>
      </c>
      <c r="K101" s="128"/>
      <c r="L101" s="128"/>
      <c r="M101" s="127"/>
      <c r="N101" s="129" t="s">
        <v>137</v>
      </c>
      <c r="O101" s="22">
        <f t="shared" si="13"/>
        <v>3</v>
      </c>
      <c r="P101" s="22" t="str">
        <f t="shared" si="14"/>
        <v>-</v>
      </c>
    </row>
    <row r="102" spans="4:16">
      <c r="D102" s="50">
        <v>44784</v>
      </c>
      <c r="E102" s="53" t="s">
        <v>171</v>
      </c>
      <c r="F102" s="22">
        <v>1</v>
      </c>
      <c r="G102" s="52" t="str">
        <f t="shared" si="11"/>
        <v>-</v>
      </c>
      <c r="H102" s="52" t="str">
        <f t="shared" si="12"/>
        <v>-</v>
      </c>
      <c r="I102" s="52" t="str">
        <f>IFERROR(VLOOKUP(H102,'SUPPLIES SUMMARY'!A$147:G$180,7,0),"-")</f>
        <v>-</v>
      </c>
      <c r="J102" s="52" t="s">
        <v>180</v>
      </c>
      <c r="K102" s="128"/>
      <c r="L102" s="128"/>
      <c r="M102" s="127"/>
      <c r="N102" s="129" t="s">
        <v>137</v>
      </c>
      <c r="O102" s="22">
        <f t="shared" si="13"/>
        <v>1</v>
      </c>
      <c r="P102" s="22" t="str">
        <f t="shared" si="14"/>
        <v>-</v>
      </c>
    </row>
    <row r="103" spans="4:16">
      <c r="D103" s="50">
        <v>44784</v>
      </c>
      <c r="E103" s="53" t="s">
        <v>164</v>
      </c>
      <c r="F103" s="22">
        <v>2</v>
      </c>
      <c r="G103" s="52" t="str">
        <f t="shared" si="11"/>
        <v>-</v>
      </c>
      <c r="H103" s="52" t="str">
        <f t="shared" si="12"/>
        <v>-</v>
      </c>
      <c r="I103" s="52" t="str">
        <f>IFERROR(VLOOKUP(H103,'SUPPLIES SUMMARY'!A$147:G$180,7,0),"-")</f>
        <v>-</v>
      </c>
      <c r="J103" s="52" t="s">
        <v>180</v>
      </c>
      <c r="K103" s="128"/>
      <c r="L103" s="128"/>
      <c r="M103" s="127"/>
      <c r="N103" s="129">
        <v>44796</v>
      </c>
      <c r="O103" s="22">
        <f t="shared" si="13"/>
        <v>2</v>
      </c>
      <c r="P103" s="22" t="str">
        <f t="shared" si="14"/>
        <v>-</v>
      </c>
    </row>
    <row r="104" spans="4:16">
      <c r="D104" s="50">
        <v>44784</v>
      </c>
      <c r="E104" s="53" t="s">
        <v>172</v>
      </c>
      <c r="F104" s="22">
        <v>1</v>
      </c>
      <c r="G104" s="52" t="str">
        <f t="shared" si="11"/>
        <v>-</v>
      </c>
      <c r="H104" s="52" t="str">
        <f t="shared" si="12"/>
        <v>-</v>
      </c>
      <c r="I104" s="52" t="str">
        <f>IFERROR(VLOOKUP(H104,'SUPPLIES SUMMARY'!A$147:G$180,7,0),"-")</f>
        <v>-</v>
      </c>
      <c r="J104" s="52" t="s">
        <v>180</v>
      </c>
      <c r="K104" s="128"/>
      <c r="L104" s="128"/>
      <c r="M104" s="127"/>
      <c r="N104" s="129">
        <v>44796</v>
      </c>
      <c r="O104" s="22">
        <f t="shared" si="13"/>
        <v>1</v>
      </c>
      <c r="P104" s="22" t="str">
        <f t="shared" si="14"/>
        <v>-</v>
      </c>
    </row>
    <row r="105" spans="4:16">
      <c r="D105" s="50">
        <v>44796</v>
      </c>
      <c r="E105" s="53" t="s">
        <v>174</v>
      </c>
      <c r="F105" s="22">
        <v>1</v>
      </c>
      <c r="G105" s="52" t="str">
        <f t="shared" si="11"/>
        <v>-</v>
      </c>
      <c r="H105" s="52" t="str">
        <f t="shared" si="12"/>
        <v>-</v>
      </c>
      <c r="I105" s="52" t="str">
        <f>IFERROR(VLOOKUP(H105,'SUPPLIES SUMMARY'!A$147:G$180,7,0),"-")</f>
        <v>-</v>
      </c>
      <c r="J105" s="52" t="s">
        <v>179</v>
      </c>
      <c r="K105" s="128"/>
      <c r="L105" s="128"/>
      <c r="M105" s="127"/>
      <c r="N105" s="129">
        <v>44796</v>
      </c>
      <c r="O105" s="22">
        <f t="shared" si="13"/>
        <v>1</v>
      </c>
      <c r="P105" s="22" t="str">
        <f t="shared" si="14"/>
        <v>-</v>
      </c>
    </row>
    <row r="106" spans="4:16">
      <c r="D106" s="50">
        <v>44804</v>
      </c>
      <c r="E106" s="53" t="s">
        <v>156</v>
      </c>
      <c r="F106" s="22">
        <v>1</v>
      </c>
      <c r="G106" s="52" t="str">
        <f t="shared" si="11"/>
        <v>-</v>
      </c>
      <c r="H106" s="52" t="str">
        <f t="shared" si="12"/>
        <v>-</v>
      </c>
      <c r="I106" s="52" t="str">
        <f>IFERROR(VLOOKUP(H106,'SUPPLIES SUMMARY'!A$147:G$180,7,0),"-")</f>
        <v>-</v>
      </c>
      <c r="J106" s="52" t="s">
        <v>175</v>
      </c>
      <c r="K106" s="128"/>
      <c r="L106" s="128"/>
      <c r="M106" s="127"/>
      <c r="N106" s="129">
        <v>44804</v>
      </c>
      <c r="O106" s="22">
        <f t="shared" si="13"/>
        <v>1</v>
      </c>
      <c r="P106" s="22" t="str">
        <f t="shared" si="14"/>
        <v>-</v>
      </c>
    </row>
    <row r="107" spans="4:16">
      <c r="D107" s="50">
        <v>44809</v>
      </c>
      <c r="E107" s="53" t="s">
        <v>161</v>
      </c>
      <c r="F107" s="22">
        <v>2</v>
      </c>
      <c r="G107" s="52" t="str">
        <f t="shared" si="11"/>
        <v>-</v>
      </c>
      <c r="H107" s="52" t="str">
        <f t="shared" si="12"/>
        <v>-</v>
      </c>
      <c r="I107" s="52" t="str">
        <f>IFERROR(VLOOKUP(H107,'SUPPLIES SUMMARY'!A$147:G$180,7,0),"-")</f>
        <v>-</v>
      </c>
      <c r="J107" s="52" t="s">
        <v>179</v>
      </c>
      <c r="K107" s="128"/>
      <c r="L107" s="128"/>
      <c r="M107" s="127"/>
      <c r="N107" s="129">
        <v>44809</v>
      </c>
      <c r="O107" s="22">
        <f t="shared" si="13"/>
        <v>2</v>
      </c>
      <c r="P107" s="22" t="str">
        <f t="shared" si="14"/>
        <v>-</v>
      </c>
    </row>
    <row r="108" spans="4:16">
      <c r="D108" s="50">
        <v>44809</v>
      </c>
      <c r="E108" s="53" t="s">
        <v>174</v>
      </c>
      <c r="F108" s="22">
        <v>1</v>
      </c>
      <c r="G108" s="52" t="str">
        <f t="shared" si="11"/>
        <v>-</v>
      </c>
      <c r="H108" s="52" t="str">
        <f t="shared" si="12"/>
        <v>-</v>
      </c>
      <c r="I108" s="52" t="str">
        <f>IFERROR(VLOOKUP(H108,'SUPPLIES SUMMARY'!A$147:G$180,7,0),"-")</f>
        <v>-</v>
      </c>
      <c r="J108" s="52" t="s">
        <v>179</v>
      </c>
      <c r="K108" s="128"/>
      <c r="L108" s="128"/>
      <c r="M108" s="127"/>
      <c r="N108" s="129">
        <v>44809</v>
      </c>
      <c r="O108" s="22">
        <f t="shared" si="13"/>
        <v>1</v>
      </c>
      <c r="P108" s="22" t="str">
        <f t="shared" si="14"/>
        <v>-</v>
      </c>
    </row>
    <row r="109" spans="4:16">
      <c r="D109" s="50">
        <v>44827</v>
      </c>
      <c r="E109" s="53" t="s">
        <v>159</v>
      </c>
      <c r="F109" s="22">
        <v>1</v>
      </c>
      <c r="G109" s="52" t="str">
        <f t="shared" si="11"/>
        <v>-</v>
      </c>
      <c r="H109" s="52" t="str">
        <f t="shared" si="12"/>
        <v>-</v>
      </c>
      <c r="I109" s="52" t="str">
        <f>IFERROR(VLOOKUP(H109,'SUPPLIES SUMMARY'!A$147:G$180,7,0),"-")</f>
        <v>-</v>
      </c>
      <c r="J109" s="52" t="s">
        <v>179</v>
      </c>
      <c r="K109" s="128"/>
      <c r="L109" s="128"/>
      <c r="M109" s="127"/>
      <c r="N109" s="129">
        <v>44827</v>
      </c>
      <c r="O109" s="22">
        <f t="shared" si="13"/>
        <v>1</v>
      </c>
      <c r="P109" s="22" t="str">
        <f t="shared" si="14"/>
        <v>-</v>
      </c>
    </row>
    <row r="110" spans="4:16">
      <c r="D110" s="50">
        <v>44820</v>
      </c>
      <c r="E110" s="53" t="s">
        <v>162</v>
      </c>
      <c r="F110" s="22">
        <v>2</v>
      </c>
      <c r="G110" s="52" t="str">
        <f t="shared" si="11"/>
        <v>-</v>
      </c>
      <c r="H110" s="52" t="str">
        <f t="shared" si="12"/>
        <v>-</v>
      </c>
      <c r="I110" s="52" t="str">
        <f>IFERROR(VLOOKUP(H110,'SUPPLIES SUMMARY'!A$147:G$180,7,0),"-")</f>
        <v>-</v>
      </c>
      <c r="J110" s="52" t="s">
        <v>179</v>
      </c>
      <c r="K110" s="128"/>
      <c r="L110" s="128"/>
      <c r="M110" s="127"/>
      <c r="N110" s="129">
        <v>44820</v>
      </c>
      <c r="O110" s="22">
        <f t="shared" si="13"/>
        <v>2</v>
      </c>
      <c r="P110" s="22" t="str">
        <f t="shared" si="14"/>
        <v>-</v>
      </c>
    </row>
    <row r="111" spans="4:16">
      <c r="D111" s="50">
        <v>44820</v>
      </c>
      <c r="E111" s="53" t="s">
        <v>151</v>
      </c>
      <c r="F111" s="22">
        <v>1</v>
      </c>
      <c r="G111" s="52" t="str">
        <f t="shared" si="11"/>
        <v>-</v>
      </c>
      <c r="H111" s="52" t="str">
        <f t="shared" si="12"/>
        <v>-</v>
      </c>
      <c r="I111" s="52" t="str">
        <f>IFERROR(VLOOKUP(H111,'SUPPLIES SUMMARY'!A$147:G$180,7,0),"-")</f>
        <v>-</v>
      </c>
      <c r="J111" s="52" t="s">
        <v>179</v>
      </c>
      <c r="K111" s="128"/>
      <c r="L111" s="128"/>
      <c r="M111" s="127"/>
      <c r="N111" s="129">
        <v>44820</v>
      </c>
      <c r="O111" s="22">
        <f t="shared" si="13"/>
        <v>1</v>
      </c>
      <c r="P111" s="22" t="str">
        <f t="shared" si="14"/>
        <v>-</v>
      </c>
    </row>
    <row r="112" spans="4:16">
      <c r="D112" s="50">
        <v>44820</v>
      </c>
      <c r="E112" s="53" t="s">
        <v>158</v>
      </c>
      <c r="F112" s="22">
        <v>1</v>
      </c>
      <c r="G112" s="52" t="str">
        <f t="shared" si="11"/>
        <v>-</v>
      </c>
      <c r="H112" s="52" t="str">
        <f t="shared" si="12"/>
        <v>-</v>
      </c>
      <c r="I112" s="52" t="str">
        <f>IFERROR(VLOOKUP(H112,'SUPPLIES SUMMARY'!A$147:G$180,7,0),"-")</f>
        <v>-</v>
      </c>
      <c r="J112" s="52" t="s">
        <v>179</v>
      </c>
      <c r="K112" s="128"/>
      <c r="L112" s="128"/>
      <c r="M112" s="127"/>
      <c r="N112" s="129">
        <v>44820</v>
      </c>
      <c r="O112" s="22">
        <f t="shared" si="13"/>
        <v>1</v>
      </c>
      <c r="P112" s="22" t="str">
        <f t="shared" si="14"/>
        <v>-</v>
      </c>
    </row>
    <row r="113" spans="4:17">
      <c r="D113" s="50">
        <v>44851</v>
      </c>
      <c r="E113" s="53" t="s">
        <v>174</v>
      </c>
      <c r="F113" s="22">
        <v>1</v>
      </c>
      <c r="G113" s="52" t="str">
        <f t="shared" si="11"/>
        <v>-</v>
      </c>
      <c r="H113" s="52" t="str">
        <f t="shared" si="12"/>
        <v>-</v>
      </c>
      <c r="I113" s="52" t="str">
        <f>IFERROR(VLOOKUP(H113,'SUPPLIES SUMMARY'!A$147:G$180,7,0),"-")</f>
        <v>-</v>
      </c>
      <c r="J113" s="52" t="s">
        <v>175</v>
      </c>
      <c r="K113" s="128"/>
      <c r="L113" s="128"/>
      <c r="M113" s="127"/>
      <c r="N113" s="129">
        <v>44821</v>
      </c>
      <c r="O113" s="22">
        <f t="shared" si="13"/>
        <v>1</v>
      </c>
      <c r="P113" s="22" t="str">
        <f t="shared" si="14"/>
        <v>-</v>
      </c>
    </row>
    <row r="114" spans="4:17">
      <c r="D114" s="50">
        <v>44852</v>
      </c>
      <c r="E114" s="53" t="s">
        <v>162</v>
      </c>
      <c r="F114" s="22">
        <v>3</v>
      </c>
      <c r="G114" s="52" t="str">
        <f t="shared" si="11"/>
        <v>-</v>
      </c>
      <c r="H114" s="52" t="str">
        <f t="shared" si="12"/>
        <v>-</v>
      </c>
      <c r="I114" s="52" t="str">
        <f>IFERROR(VLOOKUP(H114,'SUPPLIES SUMMARY'!A$147:G$180,7,0),"-")</f>
        <v>-</v>
      </c>
      <c r="J114" s="52" t="s">
        <v>179</v>
      </c>
      <c r="K114" s="128"/>
      <c r="L114" s="128"/>
      <c r="M114" s="127"/>
      <c r="N114" s="129">
        <v>44852</v>
      </c>
      <c r="O114" s="22">
        <f t="shared" si="13"/>
        <v>3</v>
      </c>
      <c r="P114" s="22" t="str">
        <f t="shared" si="14"/>
        <v>-</v>
      </c>
      <c r="Q114" s="119" t="s">
        <v>184</v>
      </c>
    </row>
    <row r="115" spans="4:17">
      <c r="D115" s="50">
        <v>44853</v>
      </c>
      <c r="E115" s="53" t="s">
        <v>172</v>
      </c>
      <c r="F115" s="22">
        <v>1</v>
      </c>
      <c r="G115" s="52" t="str">
        <f t="shared" si="11"/>
        <v>-</v>
      </c>
      <c r="H115" s="52" t="str">
        <f t="shared" si="12"/>
        <v>-</v>
      </c>
      <c r="I115" s="52" t="str">
        <f>IFERROR(VLOOKUP(H115,'SUPPLIES SUMMARY'!A$147:G$180,7,0),"-")</f>
        <v>-</v>
      </c>
      <c r="J115" s="52" t="s">
        <v>179</v>
      </c>
      <c r="K115" s="128"/>
      <c r="L115" s="128"/>
      <c r="M115" s="127"/>
      <c r="N115" s="129">
        <v>44853</v>
      </c>
      <c r="O115" s="22">
        <f t="shared" si="13"/>
        <v>1</v>
      </c>
      <c r="P115" s="22" t="str">
        <f t="shared" si="14"/>
        <v>-</v>
      </c>
    </row>
    <row r="116" spans="4:17">
      <c r="D116" s="50">
        <v>44855</v>
      </c>
      <c r="E116" s="53" t="s">
        <v>174</v>
      </c>
      <c r="F116" s="22">
        <v>1</v>
      </c>
      <c r="G116" s="52" t="str">
        <f t="shared" si="11"/>
        <v>-</v>
      </c>
      <c r="H116" s="52" t="str">
        <f t="shared" si="12"/>
        <v>-</v>
      </c>
      <c r="I116" s="52" t="str">
        <f>IFERROR(VLOOKUP(H116,'SUPPLIES SUMMARY'!A$147:G$180,7,0),"-")</f>
        <v>-</v>
      </c>
      <c r="J116" s="52" t="s">
        <v>179</v>
      </c>
      <c r="K116" s="128"/>
      <c r="L116" s="128"/>
      <c r="M116" s="127"/>
      <c r="N116" s="50">
        <v>44855</v>
      </c>
      <c r="O116" s="22">
        <f t="shared" si="13"/>
        <v>1</v>
      </c>
      <c r="P116" s="22" t="str">
        <f t="shared" si="14"/>
        <v>-</v>
      </c>
    </row>
    <row r="117" spans="4:17">
      <c r="D117" s="50">
        <v>44855</v>
      </c>
      <c r="E117" s="53" t="s">
        <v>164</v>
      </c>
      <c r="F117" s="22">
        <v>1</v>
      </c>
      <c r="G117" s="52" t="str">
        <f t="shared" si="11"/>
        <v>-</v>
      </c>
      <c r="H117" s="52" t="str">
        <f t="shared" si="12"/>
        <v>-</v>
      </c>
      <c r="I117" s="52" t="str">
        <f>IFERROR(VLOOKUP(H117,'SUPPLIES SUMMARY'!A$147:G$180,7,0),"-")</f>
        <v>-</v>
      </c>
      <c r="J117" s="52" t="s">
        <v>179</v>
      </c>
      <c r="K117" s="128"/>
      <c r="L117" s="128"/>
      <c r="M117" s="127"/>
      <c r="N117" s="50">
        <v>44855</v>
      </c>
      <c r="O117" s="22">
        <f t="shared" si="13"/>
        <v>1</v>
      </c>
      <c r="P117" s="22" t="str">
        <f t="shared" si="14"/>
        <v>-</v>
      </c>
    </row>
    <row r="118" spans="4:17">
      <c r="D118" s="50">
        <v>44855</v>
      </c>
      <c r="E118" s="53" t="s">
        <v>161</v>
      </c>
      <c r="F118" s="22">
        <v>2</v>
      </c>
      <c r="G118" s="52" t="str">
        <f t="shared" si="11"/>
        <v>-</v>
      </c>
      <c r="H118" s="52" t="str">
        <f t="shared" si="12"/>
        <v>-</v>
      </c>
      <c r="I118" s="52" t="str">
        <f>IFERROR(VLOOKUP(H118,'SUPPLIES SUMMARY'!A$147:G$180,7,0),"-")</f>
        <v>-</v>
      </c>
      <c r="J118" s="52" t="s">
        <v>179</v>
      </c>
      <c r="K118" s="128"/>
      <c r="L118" s="128"/>
      <c r="M118" s="127"/>
      <c r="N118" s="50">
        <v>44855</v>
      </c>
      <c r="O118" s="22">
        <f t="shared" si="13"/>
        <v>2</v>
      </c>
      <c r="P118" s="22" t="str">
        <f t="shared" si="14"/>
        <v>-</v>
      </c>
    </row>
    <row r="119" spans="4:17">
      <c r="G119" s="52" t="str">
        <f t="shared" si="11"/>
        <v>-</v>
      </c>
      <c r="H119" s="52" t="str">
        <f t="shared" si="12"/>
        <v>-</v>
      </c>
      <c r="I119" s="52" t="str">
        <f>IFERROR(VLOOKUP(H119,'SUPPLIES SUMMARY'!A$147:G$180,7,0),"-")</f>
        <v>-</v>
      </c>
      <c r="K119" s="128"/>
      <c r="L119" s="128"/>
      <c r="M119" s="127"/>
      <c r="N119" s="129"/>
      <c r="O119" s="22">
        <f t="shared" si="13"/>
        <v>0</v>
      </c>
      <c r="P119" s="22" t="str">
        <f t="shared" si="14"/>
        <v>-</v>
      </c>
    </row>
    <row r="120" spans="4:17">
      <c r="G120" s="52" t="str">
        <f t="shared" si="11"/>
        <v>-</v>
      </c>
      <c r="H120" s="52" t="str">
        <f t="shared" si="12"/>
        <v>-</v>
      </c>
      <c r="I120" s="52" t="str">
        <f>IFERROR(VLOOKUP(H120,'SUPPLIES SUMMARY'!A$147:G$180,7,0),"-")</f>
        <v>-</v>
      </c>
      <c r="K120" s="128"/>
      <c r="L120" s="128"/>
      <c r="M120" s="127"/>
      <c r="N120" s="129"/>
      <c r="O120" s="22">
        <f t="shared" si="13"/>
        <v>0</v>
      </c>
      <c r="P120" s="22" t="str">
        <f t="shared" si="14"/>
        <v>-</v>
      </c>
    </row>
    <row r="121" spans="4:17">
      <c r="G121" s="52" t="str">
        <f t="shared" si="11"/>
        <v>-</v>
      </c>
      <c r="H121" s="52" t="str">
        <f t="shared" si="12"/>
        <v>-</v>
      </c>
      <c r="I121" s="52" t="str">
        <f>IFERROR(VLOOKUP(H121,'SUPPLIES SUMMARY'!A$147:G$180,7,0),"-")</f>
        <v>-</v>
      </c>
      <c r="K121" s="128"/>
      <c r="L121" s="128"/>
      <c r="M121" s="127"/>
      <c r="N121" s="129"/>
      <c r="O121" s="22">
        <f t="shared" si="13"/>
        <v>0</v>
      </c>
      <c r="P121" s="22" t="str">
        <f t="shared" si="14"/>
        <v>-</v>
      </c>
    </row>
    <row r="122" spans="4:17">
      <c r="G122" s="52" t="str">
        <f t="shared" si="11"/>
        <v>-</v>
      </c>
      <c r="H122" s="52" t="str">
        <f t="shared" si="12"/>
        <v>-</v>
      </c>
      <c r="I122" s="52" t="str">
        <f>IFERROR(VLOOKUP(H122,'SUPPLIES SUMMARY'!A$147:G$180,7,0),"-")</f>
        <v>-</v>
      </c>
      <c r="K122" s="128"/>
      <c r="L122" s="128"/>
      <c r="M122" s="127"/>
      <c r="N122" s="129"/>
      <c r="O122" s="22">
        <f t="shared" si="13"/>
        <v>0</v>
      </c>
      <c r="P122" s="22" t="str">
        <f t="shared" si="14"/>
        <v>-</v>
      </c>
    </row>
    <row r="123" spans="4:17">
      <c r="G123" s="52" t="str">
        <f t="shared" si="11"/>
        <v>-</v>
      </c>
      <c r="H123" s="52" t="str">
        <f t="shared" si="12"/>
        <v>-</v>
      </c>
      <c r="I123" s="52" t="str">
        <f>IFERROR(VLOOKUP(H123,'SUPPLIES SUMMARY'!A$147:G$180,7,0),"-")</f>
        <v>-</v>
      </c>
      <c r="K123" s="128"/>
      <c r="L123" s="128"/>
      <c r="M123" s="127"/>
      <c r="N123" s="129"/>
      <c r="O123" s="22">
        <f t="shared" si="13"/>
        <v>0</v>
      </c>
      <c r="P123" s="22" t="str">
        <f t="shared" si="14"/>
        <v>-</v>
      </c>
    </row>
    <row r="124" spans="4:17">
      <c r="G124" s="52" t="str">
        <f t="shared" si="11"/>
        <v>-</v>
      </c>
      <c r="H124" s="52" t="str">
        <f t="shared" si="12"/>
        <v>-</v>
      </c>
      <c r="I124" s="52" t="str">
        <f>IFERROR(VLOOKUP(H124,'SUPPLIES SUMMARY'!A$147:G$180,7,0),"-")</f>
        <v>-</v>
      </c>
      <c r="K124" s="128"/>
      <c r="L124" s="128"/>
      <c r="M124" s="127"/>
      <c r="N124" s="129"/>
      <c r="O124" s="22">
        <f t="shared" si="13"/>
        <v>0</v>
      </c>
      <c r="P124" s="22" t="str">
        <f t="shared" si="14"/>
        <v>-</v>
      </c>
    </row>
    <row r="125" spans="4:17">
      <c r="G125" s="52" t="str">
        <f t="shared" si="11"/>
        <v>-</v>
      </c>
      <c r="H125" s="52" t="str">
        <f t="shared" si="12"/>
        <v>-</v>
      </c>
      <c r="I125" s="52" t="str">
        <f>IFERROR(VLOOKUP(H125,'SUPPLIES SUMMARY'!A$147:G$180,7,0),"-")</f>
        <v>-</v>
      </c>
      <c r="K125" s="128"/>
      <c r="L125" s="128"/>
      <c r="M125" s="127"/>
      <c r="N125" s="129"/>
      <c r="O125" s="22">
        <f t="shared" si="13"/>
        <v>0</v>
      </c>
      <c r="P125" s="22" t="str">
        <f t="shared" si="14"/>
        <v>-</v>
      </c>
    </row>
    <row r="126" spans="4:17">
      <c r="G126" s="52" t="str">
        <f t="shared" si="11"/>
        <v>-</v>
      </c>
      <c r="H126" s="52" t="str">
        <f t="shared" si="12"/>
        <v>-</v>
      </c>
      <c r="I126" s="52" t="str">
        <f>IFERROR(VLOOKUP(H126,'SUPPLIES SUMMARY'!A$147:G$180,7,0),"-")</f>
        <v>-</v>
      </c>
      <c r="K126" s="128"/>
      <c r="L126" s="128"/>
      <c r="M126" s="127"/>
      <c r="N126" s="129"/>
      <c r="O126" s="22">
        <f t="shared" si="13"/>
        <v>0</v>
      </c>
      <c r="P126" s="22" t="str">
        <f t="shared" si="14"/>
        <v>-</v>
      </c>
    </row>
    <row r="127" spans="4:17">
      <c r="G127" s="52" t="str">
        <f t="shared" ref="G127:G158" si="15">IFERROR(VLOOKUP(E127,SUPPLY2,3,0),"-")</f>
        <v>-</v>
      </c>
      <c r="H127" s="52" t="str">
        <f t="shared" ref="H127:H158" si="16">IFERROR(VLOOKUP(E127,SUPPLY2,4,0),"-")</f>
        <v>-</v>
      </c>
      <c r="I127" s="52" t="str">
        <f>IFERROR(VLOOKUP(H127,'SUPPLIES SUMMARY'!A$147:G$180,7,0),"-")</f>
        <v>-</v>
      </c>
      <c r="K127" s="128"/>
      <c r="L127" s="128"/>
      <c r="M127" s="127"/>
      <c r="N127" s="129"/>
      <c r="O127" s="22">
        <f t="shared" si="13"/>
        <v>0</v>
      </c>
      <c r="P127" s="22" t="str">
        <f t="shared" si="14"/>
        <v>-</v>
      </c>
    </row>
    <row r="128" spans="4:17">
      <c r="G128" s="52" t="str">
        <f t="shared" si="15"/>
        <v>-</v>
      </c>
      <c r="H128" s="52" t="str">
        <f t="shared" si="16"/>
        <v>-</v>
      </c>
      <c r="I128" s="52" t="str">
        <f>IFERROR(VLOOKUP(H128,'SUPPLIES SUMMARY'!A$147:G$180,7,0),"-")</f>
        <v>-</v>
      </c>
      <c r="K128" s="128"/>
      <c r="L128" s="128"/>
      <c r="M128" s="127"/>
      <c r="N128" s="129"/>
      <c r="O128" s="22">
        <f t="shared" ref="O128:O159" si="17">F128</f>
        <v>0</v>
      </c>
      <c r="P128" s="22" t="str">
        <f t="shared" si="14"/>
        <v>-</v>
      </c>
    </row>
    <row r="129" spans="7:16">
      <c r="G129" s="52" t="str">
        <f t="shared" si="15"/>
        <v>-</v>
      </c>
      <c r="H129" s="52" t="str">
        <f t="shared" si="16"/>
        <v>-</v>
      </c>
      <c r="I129" s="52" t="str">
        <f>IFERROR(VLOOKUP(H129,'SUPPLIES SUMMARY'!A$147:G$180,7,0),"-")</f>
        <v>-</v>
      </c>
      <c r="K129" s="128"/>
      <c r="L129" s="128"/>
      <c r="M129" s="127"/>
      <c r="N129" s="129"/>
      <c r="O129" s="22">
        <f t="shared" si="17"/>
        <v>0</v>
      </c>
      <c r="P129" s="22" t="str">
        <f t="shared" si="14"/>
        <v>-</v>
      </c>
    </row>
    <row r="130" spans="7:16">
      <c r="G130" s="52" t="str">
        <f t="shared" si="15"/>
        <v>-</v>
      </c>
      <c r="H130" s="52" t="str">
        <f t="shared" si="16"/>
        <v>-</v>
      </c>
      <c r="I130" s="52" t="str">
        <f>IFERROR(VLOOKUP(H130,'SUPPLIES SUMMARY'!A$147:G$180,7,0),"-")</f>
        <v>-</v>
      </c>
      <c r="K130" s="128"/>
      <c r="L130" s="128"/>
      <c r="M130" s="127"/>
      <c r="N130" s="129"/>
      <c r="O130" s="22">
        <f t="shared" si="17"/>
        <v>0</v>
      </c>
      <c r="P130" s="22" t="str">
        <f t="shared" ref="P130:P161" si="18">IFERROR(VLOOKUP(D130,YEAR21,2,0),"-")</f>
        <v>-</v>
      </c>
    </row>
    <row r="131" spans="7:16">
      <c r="G131" s="52" t="str">
        <f t="shared" si="15"/>
        <v>-</v>
      </c>
      <c r="H131" s="52" t="str">
        <f t="shared" si="16"/>
        <v>-</v>
      </c>
      <c r="I131" s="52" t="str">
        <f>IFERROR(VLOOKUP(H131,'SUPPLIES SUMMARY'!A$147:G$180,7,0),"-")</f>
        <v>-</v>
      </c>
      <c r="K131" s="128"/>
      <c r="L131" s="128"/>
      <c r="M131" s="127"/>
      <c r="N131" s="129"/>
      <c r="O131" s="22">
        <f t="shared" si="17"/>
        <v>0</v>
      </c>
      <c r="P131" s="22" t="str">
        <f t="shared" si="18"/>
        <v>-</v>
      </c>
    </row>
    <row r="132" spans="7:16">
      <c r="G132" s="52" t="str">
        <f t="shared" si="15"/>
        <v>-</v>
      </c>
      <c r="H132" s="52" t="str">
        <f t="shared" si="16"/>
        <v>-</v>
      </c>
      <c r="I132" s="52" t="str">
        <f>IFERROR(VLOOKUP(H132,'SUPPLIES SUMMARY'!A$147:G$180,7,0),"-")</f>
        <v>-</v>
      </c>
      <c r="K132" s="128"/>
      <c r="L132" s="128"/>
      <c r="M132" s="127"/>
      <c r="N132" s="129"/>
      <c r="O132" s="22">
        <f t="shared" si="17"/>
        <v>0</v>
      </c>
      <c r="P132" s="22" t="str">
        <f t="shared" si="18"/>
        <v>-</v>
      </c>
    </row>
    <row r="133" spans="7:16">
      <c r="G133" s="52" t="str">
        <f t="shared" si="15"/>
        <v>-</v>
      </c>
      <c r="H133" s="52" t="str">
        <f t="shared" si="16"/>
        <v>-</v>
      </c>
      <c r="I133" s="52" t="str">
        <f>IFERROR(VLOOKUP(H133,'SUPPLIES SUMMARY'!A$147:G$180,7,0),"-")</f>
        <v>-</v>
      </c>
      <c r="K133" s="128"/>
      <c r="L133" s="128"/>
      <c r="M133" s="127"/>
      <c r="N133" s="129"/>
      <c r="O133" s="22">
        <f t="shared" si="17"/>
        <v>0</v>
      </c>
      <c r="P133" s="22" t="str">
        <f t="shared" si="18"/>
        <v>-</v>
      </c>
    </row>
    <row r="134" spans="7:16">
      <c r="G134" s="52" t="str">
        <f t="shared" si="15"/>
        <v>-</v>
      </c>
      <c r="H134" s="52" t="str">
        <f t="shared" si="16"/>
        <v>-</v>
      </c>
      <c r="I134" s="52" t="str">
        <f>IFERROR(VLOOKUP(H134,'SUPPLIES SUMMARY'!A$147:G$180,7,0),"-")</f>
        <v>-</v>
      </c>
      <c r="K134" s="128"/>
      <c r="L134" s="128"/>
      <c r="M134" s="127"/>
      <c r="N134" s="129"/>
      <c r="O134" s="22">
        <f t="shared" si="17"/>
        <v>0</v>
      </c>
      <c r="P134" s="22" t="str">
        <f t="shared" si="18"/>
        <v>-</v>
      </c>
    </row>
    <row r="135" spans="7:16">
      <c r="G135" s="52" t="str">
        <f t="shared" si="15"/>
        <v>-</v>
      </c>
      <c r="H135" s="52" t="str">
        <f t="shared" si="16"/>
        <v>-</v>
      </c>
      <c r="I135" s="52" t="str">
        <f>IFERROR(VLOOKUP(H135,'SUPPLIES SUMMARY'!A$147:G$180,7,0),"-")</f>
        <v>-</v>
      </c>
      <c r="K135" s="128"/>
      <c r="L135" s="128"/>
      <c r="M135" s="127"/>
      <c r="N135" s="129"/>
      <c r="O135" s="22">
        <f t="shared" si="17"/>
        <v>0</v>
      </c>
      <c r="P135" s="22" t="str">
        <f t="shared" si="18"/>
        <v>-</v>
      </c>
    </row>
    <row r="136" spans="7:16">
      <c r="G136" s="52" t="str">
        <f t="shared" si="15"/>
        <v>-</v>
      </c>
      <c r="H136" s="52" t="str">
        <f t="shared" si="16"/>
        <v>-</v>
      </c>
      <c r="I136" s="52" t="str">
        <f>IFERROR(VLOOKUP(H136,'SUPPLIES SUMMARY'!A$147:G$180,7,0),"-")</f>
        <v>-</v>
      </c>
      <c r="K136" s="128"/>
      <c r="L136" s="128"/>
      <c r="M136" s="127"/>
      <c r="N136" s="129"/>
      <c r="O136" s="22">
        <f t="shared" si="17"/>
        <v>0</v>
      </c>
      <c r="P136" s="22" t="str">
        <f t="shared" si="18"/>
        <v>-</v>
      </c>
    </row>
    <row r="137" spans="7:16">
      <c r="G137" s="52" t="str">
        <f t="shared" si="15"/>
        <v>-</v>
      </c>
      <c r="H137" s="52" t="str">
        <f t="shared" si="16"/>
        <v>-</v>
      </c>
      <c r="I137" s="52" t="str">
        <f>IFERROR(VLOOKUP(H137,'SUPPLIES SUMMARY'!A$147:G$180,7,0),"-")</f>
        <v>-</v>
      </c>
      <c r="K137" s="128"/>
      <c r="L137" s="128"/>
      <c r="M137" s="127"/>
      <c r="N137" s="129"/>
      <c r="O137" s="22">
        <f t="shared" si="17"/>
        <v>0</v>
      </c>
      <c r="P137" s="22" t="str">
        <f t="shared" si="18"/>
        <v>-</v>
      </c>
    </row>
    <row r="138" spans="7:16">
      <c r="G138" s="52" t="str">
        <f t="shared" si="15"/>
        <v>-</v>
      </c>
      <c r="H138" s="52" t="str">
        <f t="shared" si="16"/>
        <v>-</v>
      </c>
      <c r="I138" s="52" t="str">
        <f>IFERROR(VLOOKUP(H138,'SUPPLIES SUMMARY'!A$147:G$180,7,0),"-")</f>
        <v>-</v>
      </c>
      <c r="K138" s="128"/>
      <c r="L138" s="128"/>
      <c r="M138" s="127"/>
      <c r="N138" s="129"/>
      <c r="O138" s="22">
        <f t="shared" si="17"/>
        <v>0</v>
      </c>
      <c r="P138" s="22" t="str">
        <f t="shared" si="18"/>
        <v>-</v>
      </c>
    </row>
    <row r="139" spans="7:16">
      <c r="G139" s="52" t="str">
        <f t="shared" si="15"/>
        <v>-</v>
      </c>
      <c r="H139" s="52" t="str">
        <f t="shared" si="16"/>
        <v>-</v>
      </c>
      <c r="I139" s="52" t="str">
        <f>IFERROR(VLOOKUP(H139,'SUPPLIES SUMMARY'!A$147:G$180,7,0),"-")</f>
        <v>-</v>
      </c>
      <c r="K139" s="128"/>
      <c r="L139" s="128"/>
      <c r="M139" s="127"/>
      <c r="N139" s="129"/>
      <c r="O139" s="22">
        <f t="shared" si="17"/>
        <v>0</v>
      </c>
      <c r="P139" s="22" t="str">
        <f t="shared" si="18"/>
        <v>-</v>
      </c>
    </row>
    <row r="140" spans="7:16">
      <c r="G140" s="52" t="str">
        <f t="shared" si="15"/>
        <v>-</v>
      </c>
      <c r="H140" s="52" t="str">
        <f t="shared" si="16"/>
        <v>-</v>
      </c>
      <c r="I140" s="52" t="str">
        <f>IFERROR(VLOOKUP(H140,'SUPPLIES SUMMARY'!A$147:G$180,7,0),"-")</f>
        <v>-</v>
      </c>
      <c r="K140" s="128"/>
      <c r="L140" s="128"/>
      <c r="M140" s="127"/>
      <c r="N140" s="129"/>
      <c r="O140" s="22">
        <f t="shared" si="17"/>
        <v>0</v>
      </c>
      <c r="P140" s="22" t="str">
        <f t="shared" si="18"/>
        <v>-</v>
      </c>
    </row>
    <row r="141" spans="7:16">
      <c r="G141" s="52" t="str">
        <f t="shared" si="15"/>
        <v>-</v>
      </c>
      <c r="H141" s="52" t="str">
        <f t="shared" si="16"/>
        <v>-</v>
      </c>
      <c r="I141" s="52" t="str">
        <f>IFERROR(VLOOKUP(H141,'SUPPLIES SUMMARY'!A$147:G$180,7,0),"-")</f>
        <v>-</v>
      </c>
      <c r="K141" s="128"/>
      <c r="L141" s="128"/>
      <c r="M141" s="127"/>
      <c r="N141" s="129"/>
      <c r="O141" s="22">
        <f t="shared" si="17"/>
        <v>0</v>
      </c>
      <c r="P141" s="22" t="str">
        <f t="shared" si="18"/>
        <v>-</v>
      </c>
    </row>
    <row r="142" spans="7:16">
      <c r="G142" s="52" t="str">
        <f t="shared" si="15"/>
        <v>-</v>
      </c>
      <c r="H142" s="52" t="str">
        <f t="shared" si="16"/>
        <v>-</v>
      </c>
      <c r="I142" s="52" t="str">
        <f>IFERROR(VLOOKUP(H142,'SUPPLIES SUMMARY'!A$147:G$180,7,0),"-")</f>
        <v>-</v>
      </c>
      <c r="K142" s="128"/>
      <c r="L142" s="128"/>
      <c r="M142" s="127"/>
      <c r="N142" s="129"/>
      <c r="O142" s="22">
        <f t="shared" si="17"/>
        <v>0</v>
      </c>
      <c r="P142" s="22" t="str">
        <f t="shared" si="18"/>
        <v>-</v>
      </c>
    </row>
    <row r="143" spans="7:16">
      <c r="G143" s="52" t="str">
        <f t="shared" si="15"/>
        <v>-</v>
      </c>
      <c r="H143" s="52" t="str">
        <f t="shared" si="16"/>
        <v>-</v>
      </c>
      <c r="I143" s="52" t="str">
        <f>IFERROR(VLOOKUP(H143,'SUPPLIES SUMMARY'!A$147:G$180,7,0),"-")</f>
        <v>-</v>
      </c>
      <c r="K143" s="128"/>
      <c r="L143" s="128"/>
      <c r="M143" s="127"/>
      <c r="N143" s="129"/>
      <c r="O143" s="22">
        <f t="shared" si="17"/>
        <v>0</v>
      </c>
      <c r="P143" s="22" t="str">
        <f t="shared" si="18"/>
        <v>-</v>
      </c>
    </row>
    <row r="144" spans="7:16">
      <c r="G144" s="52" t="str">
        <f t="shared" si="15"/>
        <v>-</v>
      </c>
      <c r="H144" s="52" t="str">
        <f t="shared" si="16"/>
        <v>-</v>
      </c>
      <c r="I144" s="52" t="str">
        <f>IFERROR(VLOOKUP(H144,'SUPPLIES SUMMARY'!A$147:G$180,7,0),"-")</f>
        <v>-</v>
      </c>
      <c r="K144" s="128"/>
      <c r="L144" s="128"/>
      <c r="M144" s="127"/>
      <c r="N144" s="129"/>
      <c r="O144" s="22">
        <f t="shared" si="17"/>
        <v>0</v>
      </c>
      <c r="P144" s="22" t="str">
        <f t="shared" si="18"/>
        <v>-</v>
      </c>
    </row>
    <row r="145" spans="7:16">
      <c r="G145" s="52" t="str">
        <f t="shared" si="15"/>
        <v>-</v>
      </c>
      <c r="H145" s="52" t="str">
        <f t="shared" si="16"/>
        <v>-</v>
      </c>
      <c r="I145" s="52" t="str">
        <f>IFERROR(VLOOKUP(H145,'SUPPLIES SUMMARY'!A$147:G$180,7,0),"-")</f>
        <v>-</v>
      </c>
      <c r="K145" s="128"/>
      <c r="L145" s="128"/>
      <c r="M145" s="127"/>
      <c r="N145" s="129"/>
      <c r="O145" s="22">
        <f t="shared" si="17"/>
        <v>0</v>
      </c>
      <c r="P145" s="22" t="str">
        <f t="shared" si="18"/>
        <v>-</v>
      </c>
    </row>
    <row r="146" spans="7:16">
      <c r="G146" s="52" t="str">
        <f t="shared" si="15"/>
        <v>-</v>
      </c>
      <c r="H146" s="52" t="str">
        <f t="shared" si="16"/>
        <v>-</v>
      </c>
      <c r="I146" s="52" t="str">
        <f>IFERROR(VLOOKUP(H146,'SUPPLIES SUMMARY'!A$147:G$180,7,0),"-")</f>
        <v>-</v>
      </c>
      <c r="K146" s="128"/>
      <c r="L146" s="128"/>
      <c r="M146" s="127"/>
      <c r="N146" s="129"/>
      <c r="O146" s="22">
        <f t="shared" si="17"/>
        <v>0</v>
      </c>
      <c r="P146" s="22" t="str">
        <f t="shared" si="18"/>
        <v>-</v>
      </c>
    </row>
    <row r="147" spans="7:16">
      <c r="G147" s="52" t="str">
        <f t="shared" si="15"/>
        <v>-</v>
      </c>
      <c r="H147" s="52" t="str">
        <f t="shared" si="16"/>
        <v>-</v>
      </c>
      <c r="I147" s="52" t="str">
        <f>IFERROR(VLOOKUP(H147,'SUPPLIES SUMMARY'!A$147:G$180,7,0),"-")</f>
        <v>-</v>
      </c>
      <c r="K147" s="128"/>
      <c r="L147" s="128"/>
      <c r="M147" s="127"/>
      <c r="N147" s="129"/>
      <c r="O147" s="22">
        <f t="shared" si="17"/>
        <v>0</v>
      </c>
      <c r="P147" s="22" t="str">
        <f t="shared" si="18"/>
        <v>-</v>
      </c>
    </row>
    <row r="148" spans="7:16">
      <c r="G148" s="52" t="str">
        <f t="shared" si="15"/>
        <v>-</v>
      </c>
      <c r="H148" s="52" t="str">
        <f t="shared" si="16"/>
        <v>-</v>
      </c>
      <c r="I148" s="52" t="str">
        <f>IFERROR(VLOOKUP(H148,'SUPPLIES SUMMARY'!A$147:G$180,7,0),"-")</f>
        <v>-</v>
      </c>
      <c r="K148" s="128"/>
      <c r="L148" s="128"/>
      <c r="M148" s="127"/>
      <c r="N148" s="129"/>
      <c r="O148" s="22">
        <f t="shared" si="17"/>
        <v>0</v>
      </c>
      <c r="P148" s="22" t="str">
        <f t="shared" si="18"/>
        <v>-</v>
      </c>
    </row>
    <row r="149" spans="7:16">
      <c r="G149" s="52" t="str">
        <f t="shared" si="15"/>
        <v>-</v>
      </c>
      <c r="H149" s="52" t="str">
        <f t="shared" si="16"/>
        <v>-</v>
      </c>
      <c r="I149" s="52" t="str">
        <f>IFERROR(VLOOKUP(H149,'SUPPLIES SUMMARY'!A$147:G$180,7,0),"-")</f>
        <v>-</v>
      </c>
      <c r="K149" s="128"/>
      <c r="L149" s="128"/>
      <c r="M149" s="127"/>
      <c r="N149" s="129"/>
      <c r="O149" s="22">
        <f t="shared" si="17"/>
        <v>0</v>
      </c>
      <c r="P149" s="22" t="str">
        <f t="shared" si="18"/>
        <v>-</v>
      </c>
    </row>
    <row r="150" spans="7:16">
      <c r="G150" s="52" t="str">
        <f t="shared" si="15"/>
        <v>-</v>
      </c>
      <c r="H150" s="52" t="str">
        <f t="shared" si="16"/>
        <v>-</v>
      </c>
      <c r="I150" s="52" t="str">
        <f>IFERROR(VLOOKUP(H150,'SUPPLIES SUMMARY'!A$147:G$180,7,0),"-")</f>
        <v>-</v>
      </c>
      <c r="K150" s="128"/>
      <c r="L150" s="128"/>
      <c r="M150" s="127"/>
      <c r="N150" s="129"/>
      <c r="O150" s="22">
        <f t="shared" si="17"/>
        <v>0</v>
      </c>
      <c r="P150" s="22" t="str">
        <f t="shared" si="18"/>
        <v>-</v>
      </c>
    </row>
    <row r="151" spans="7:16">
      <c r="G151" s="52" t="str">
        <f t="shared" si="15"/>
        <v>-</v>
      </c>
      <c r="H151" s="52" t="str">
        <f t="shared" si="16"/>
        <v>-</v>
      </c>
      <c r="I151" s="52" t="str">
        <f>IFERROR(VLOOKUP(H151,'SUPPLIES SUMMARY'!A$147:G$180,7,0),"-")</f>
        <v>-</v>
      </c>
      <c r="K151" s="128"/>
      <c r="L151" s="128"/>
      <c r="M151" s="127"/>
      <c r="N151" s="129"/>
      <c r="O151" s="22">
        <f t="shared" si="17"/>
        <v>0</v>
      </c>
      <c r="P151" s="22" t="str">
        <f t="shared" si="18"/>
        <v>-</v>
      </c>
    </row>
    <row r="152" spans="7:16">
      <c r="G152" s="52" t="str">
        <f t="shared" si="15"/>
        <v>-</v>
      </c>
      <c r="H152" s="52" t="str">
        <f t="shared" si="16"/>
        <v>-</v>
      </c>
      <c r="I152" s="52" t="str">
        <f>IFERROR(VLOOKUP(H152,'SUPPLIES SUMMARY'!A$147:G$180,7,0),"-")</f>
        <v>-</v>
      </c>
      <c r="K152" s="128"/>
      <c r="L152" s="128"/>
      <c r="M152" s="127"/>
      <c r="N152" s="129"/>
      <c r="O152" s="22">
        <f t="shared" si="17"/>
        <v>0</v>
      </c>
      <c r="P152" s="22" t="str">
        <f t="shared" si="18"/>
        <v>-</v>
      </c>
    </row>
    <row r="153" spans="7:16">
      <c r="G153" s="52" t="str">
        <f t="shared" si="15"/>
        <v>-</v>
      </c>
      <c r="H153" s="52" t="str">
        <f t="shared" si="16"/>
        <v>-</v>
      </c>
      <c r="I153" s="52" t="str">
        <f>IFERROR(VLOOKUP(H153,'SUPPLIES SUMMARY'!A$147:G$180,7,0),"-")</f>
        <v>-</v>
      </c>
      <c r="K153" s="128"/>
      <c r="L153" s="128"/>
      <c r="M153" s="127"/>
      <c r="N153" s="129"/>
      <c r="O153" s="22">
        <f t="shared" si="17"/>
        <v>0</v>
      </c>
      <c r="P153" s="22" t="str">
        <f t="shared" si="18"/>
        <v>-</v>
      </c>
    </row>
    <row r="154" spans="7:16">
      <c r="G154" s="52" t="str">
        <f t="shared" si="15"/>
        <v>-</v>
      </c>
      <c r="H154" s="52" t="str">
        <f t="shared" si="16"/>
        <v>-</v>
      </c>
      <c r="I154" s="52" t="str">
        <f>IFERROR(VLOOKUP(H154,'SUPPLIES SUMMARY'!A$147:G$180,7,0),"-")</f>
        <v>-</v>
      </c>
      <c r="K154" s="128"/>
      <c r="L154" s="128"/>
      <c r="M154" s="127"/>
      <c r="N154" s="129"/>
      <c r="O154" s="22">
        <f t="shared" si="17"/>
        <v>0</v>
      </c>
      <c r="P154" s="22" t="str">
        <f t="shared" si="18"/>
        <v>-</v>
      </c>
    </row>
    <row r="155" spans="7:16">
      <c r="G155" s="52" t="str">
        <f t="shared" si="15"/>
        <v>-</v>
      </c>
      <c r="H155" s="52" t="str">
        <f t="shared" si="16"/>
        <v>-</v>
      </c>
      <c r="I155" s="52" t="str">
        <f>IFERROR(VLOOKUP(H155,'SUPPLIES SUMMARY'!A$147:G$180,7,0),"-")</f>
        <v>-</v>
      </c>
      <c r="K155" s="128"/>
      <c r="L155" s="128"/>
      <c r="M155" s="127"/>
      <c r="N155" s="129"/>
      <c r="O155" s="22">
        <f t="shared" si="17"/>
        <v>0</v>
      </c>
      <c r="P155" s="22" t="str">
        <f t="shared" si="18"/>
        <v>-</v>
      </c>
    </row>
    <row r="156" spans="7:16">
      <c r="G156" s="52" t="str">
        <f t="shared" si="15"/>
        <v>-</v>
      </c>
      <c r="H156" s="52" t="str">
        <f t="shared" si="16"/>
        <v>-</v>
      </c>
      <c r="I156" s="52" t="str">
        <f>IFERROR(VLOOKUP(H156,'SUPPLIES SUMMARY'!A$147:G$180,7,0),"-")</f>
        <v>-</v>
      </c>
      <c r="K156" s="128"/>
      <c r="L156" s="128"/>
      <c r="M156" s="127"/>
      <c r="N156" s="129"/>
      <c r="O156" s="22">
        <f t="shared" si="17"/>
        <v>0</v>
      </c>
      <c r="P156" s="22" t="str">
        <f t="shared" si="18"/>
        <v>-</v>
      </c>
    </row>
    <row r="157" spans="7:16">
      <c r="G157" s="52" t="str">
        <f t="shared" si="15"/>
        <v>-</v>
      </c>
      <c r="H157" s="52" t="str">
        <f t="shared" si="16"/>
        <v>-</v>
      </c>
      <c r="I157" s="52" t="str">
        <f>IFERROR(VLOOKUP(H157,'SUPPLIES SUMMARY'!A$147:G$180,7,0),"-")</f>
        <v>-</v>
      </c>
      <c r="K157" s="128"/>
      <c r="L157" s="128"/>
      <c r="M157" s="127"/>
      <c r="N157" s="129"/>
      <c r="O157" s="22">
        <f t="shared" si="17"/>
        <v>0</v>
      </c>
      <c r="P157" s="22" t="str">
        <f t="shared" si="18"/>
        <v>-</v>
      </c>
    </row>
    <row r="158" spans="7:16">
      <c r="G158" s="52" t="str">
        <f t="shared" si="15"/>
        <v>-</v>
      </c>
      <c r="H158" s="52" t="str">
        <f t="shared" si="16"/>
        <v>-</v>
      </c>
      <c r="I158" s="52" t="str">
        <f>IFERROR(VLOOKUP(H158,'SUPPLIES SUMMARY'!A$147:G$180,7,0),"-")</f>
        <v>-</v>
      </c>
      <c r="K158" s="128"/>
      <c r="L158" s="128"/>
      <c r="M158" s="127"/>
      <c r="N158" s="129"/>
      <c r="O158" s="22">
        <f t="shared" si="17"/>
        <v>0</v>
      </c>
      <c r="P158" s="22" t="str">
        <f t="shared" si="18"/>
        <v>-</v>
      </c>
    </row>
    <row r="159" spans="7:16">
      <c r="G159" s="52" t="str">
        <f t="shared" ref="G159:G170" si="19">IFERROR(VLOOKUP(E159,SUPPLY2,3,0),"-")</f>
        <v>-</v>
      </c>
      <c r="H159" s="52" t="str">
        <f t="shared" ref="H159:H170" si="20">IFERROR(VLOOKUP(E159,SUPPLY2,4,0),"-")</f>
        <v>-</v>
      </c>
      <c r="I159" s="52" t="str">
        <f>IFERROR(VLOOKUP(H159,'SUPPLIES SUMMARY'!A$147:G$180,7,0),"-")</f>
        <v>-</v>
      </c>
      <c r="K159" s="128"/>
      <c r="L159" s="128"/>
      <c r="M159" s="127"/>
      <c r="N159" s="129"/>
      <c r="O159" s="22">
        <f t="shared" si="17"/>
        <v>0</v>
      </c>
      <c r="P159" s="22" t="str">
        <f t="shared" si="18"/>
        <v>-</v>
      </c>
    </row>
    <row r="160" spans="7:16">
      <c r="G160" s="52" t="str">
        <f t="shared" si="19"/>
        <v>-</v>
      </c>
      <c r="H160" s="52" t="str">
        <f t="shared" si="20"/>
        <v>-</v>
      </c>
      <c r="I160" s="52" t="str">
        <f>IFERROR(VLOOKUP(H160,'SUPPLIES SUMMARY'!A$147:G$180,7,0),"-")</f>
        <v>-</v>
      </c>
      <c r="K160" s="128"/>
      <c r="L160" s="128"/>
      <c r="M160" s="127"/>
      <c r="N160" s="129"/>
      <c r="O160" s="22">
        <f t="shared" ref="O160:O170" si="21">F160</f>
        <v>0</v>
      </c>
      <c r="P160" s="22" t="str">
        <f t="shared" si="18"/>
        <v>-</v>
      </c>
    </row>
    <row r="161" spans="4:16">
      <c r="G161" s="52" t="str">
        <f t="shared" si="19"/>
        <v>-</v>
      </c>
      <c r="H161" s="52" t="str">
        <f t="shared" si="20"/>
        <v>-</v>
      </c>
      <c r="I161" s="52" t="str">
        <f>IFERROR(VLOOKUP(H161,'SUPPLIES SUMMARY'!A$147:G$180,7,0),"-")</f>
        <v>-</v>
      </c>
      <c r="K161" s="128"/>
      <c r="L161" s="128"/>
      <c r="M161" s="127"/>
      <c r="N161" s="129"/>
      <c r="O161" s="22">
        <f t="shared" si="21"/>
        <v>0</v>
      </c>
      <c r="P161" s="22" t="str">
        <f t="shared" si="18"/>
        <v>-</v>
      </c>
    </row>
    <row r="162" spans="4:16">
      <c r="G162" s="52" t="str">
        <f t="shared" si="19"/>
        <v>-</v>
      </c>
      <c r="H162" s="52" t="str">
        <f t="shared" si="20"/>
        <v>-</v>
      </c>
      <c r="I162" s="52" t="str">
        <f>IFERROR(VLOOKUP(H162,'SUPPLIES SUMMARY'!A$147:G$180,7,0),"-")</f>
        <v>-</v>
      </c>
      <c r="K162" s="128"/>
      <c r="L162" s="128"/>
      <c r="M162" s="127"/>
      <c r="N162" s="129"/>
      <c r="O162" s="22">
        <f t="shared" si="21"/>
        <v>0</v>
      </c>
      <c r="P162" s="22" t="str">
        <f t="shared" ref="P162:P170" si="22">IFERROR(VLOOKUP(D162,YEAR21,2,0),"-")</f>
        <v>-</v>
      </c>
    </row>
    <row r="163" spans="4:16">
      <c r="G163" s="52" t="str">
        <f t="shared" si="19"/>
        <v>-</v>
      </c>
      <c r="H163" s="52" t="str">
        <f t="shared" si="20"/>
        <v>-</v>
      </c>
      <c r="I163" s="52" t="str">
        <f>IFERROR(VLOOKUP(H163,'SUPPLIES SUMMARY'!A$147:G$180,7,0),"-")</f>
        <v>-</v>
      </c>
      <c r="K163" s="128"/>
      <c r="L163" s="128"/>
      <c r="M163" s="127"/>
      <c r="N163" s="129"/>
      <c r="O163" s="22">
        <f t="shared" si="21"/>
        <v>0</v>
      </c>
      <c r="P163" s="22" t="str">
        <f t="shared" si="22"/>
        <v>-</v>
      </c>
    </row>
    <row r="164" spans="4:16">
      <c r="G164" s="52" t="str">
        <f t="shared" si="19"/>
        <v>-</v>
      </c>
      <c r="H164" s="52" t="str">
        <f t="shared" si="20"/>
        <v>-</v>
      </c>
      <c r="I164" s="52" t="str">
        <f>IFERROR(VLOOKUP(H164,'SUPPLIES SUMMARY'!A$147:G$180,7,0),"-")</f>
        <v>-</v>
      </c>
      <c r="K164" s="128"/>
      <c r="L164" s="128"/>
      <c r="M164" s="127"/>
      <c r="N164" s="129"/>
      <c r="O164" s="22">
        <f t="shared" si="21"/>
        <v>0</v>
      </c>
      <c r="P164" s="22" t="str">
        <f t="shared" si="22"/>
        <v>-</v>
      </c>
    </row>
    <row r="165" spans="4:16">
      <c r="G165" s="52" t="str">
        <f t="shared" si="19"/>
        <v>-</v>
      </c>
      <c r="H165" s="52" t="str">
        <f t="shared" si="20"/>
        <v>-</v>
      </c>
      <c r="I165" s="52" t="str">
        <f>IFERROR(VLOOKUP(H165,'SUPPLIES SUMMARY'!A$147:G$180,7,0),"-")</f>
        <v>-</v>
      </c>
      <c r="K165" s="128"/>
      <c r="L165" s="128"/>
      <c r="M165" s="127"/>
      <c r="N165" s="129"/>
      <c r="O165" s="22">
        <f t="shared" si="21"/>
        <v>0</v>
      </c>
      <c r="P165" s="22" t="str">
        <f t="shared" si="22"/>
        <v>-</v>
      </c>
    </row>
    <row r="166" spans="4:16">
      <c r="G166" s="52" t="str">
        <f t="shared" si="19"/>
        <v>-</v>
      </c>
      <c r="H166" s="52" t="str">
        <f t="shared" si="20"/>
        <v>-</v>
      </c>
      <c r="I166" s="52" t="str">
        <f>IFERROR(VLOOKUP(H166,'SUPPLIES SUMMARY'!A$147:G$180,7,0),"-")</f>
        <v>-</v>
      </c>
      <c r="K166" s="128"/>
      <c r="L166" s="128"/>
      <c r="M166" s="127"/>
      <c r="N166" s="129"/>
      <c r="O166" s="22">
        <f t="shared" si="21"/>
        <v>0</v>
      </c>
      <c r="P166" s="22" t="str">
        <f t="shared" si="22"/>
        <v>-</v>
      </c>
    </row>
    <row r="167" spans="4:16">
      <c r="G167" s="52" t="str">
        <f t="shared" si="19"/>
        <v>-</v>
      </c>
      <c r="H167" s="52" t="str">
        <f t="shared" si="20"/>
        <v>-</v>
      </c>
      <c r="I167" s="52" t="str">
        <f>IFERROR(VLOOKUP(H167,'SUPPLIES SUMMARY'!A$147:G$180,7,0),"-")</f>
        <v>-</v>
      </c>
      <c r="K167" s="128"/>
      <c r="L167" s="128"/>
      <c r="M167" s="127"/>
      <c r="N167" s="129"/>
      <c r="O167" s="22">
        <f t="shared" si="21"/>
        <v>0</v>
      </c>
      <c r="P167" s="22" t="str">
        <f t="shared" si="22"/>
        <v>-</v>
      </c>
    </row>
    <row r="168" spans="4:16">
      <c r="G168" s="52" t="str">
        <f t="shared" si="19"/>
        <v>-</v>
      </c>
      <c r="H168" s="52" t="str">
        <f t="shared" si="20"/>
        <v>-</v>
      </c>
      <c r="I168" s="52" t="str">
        <f>IFERROR(VLOOKUP(H168,'SUPPLIES SUMMARY'!A$147:G$180,7,0),"-")</f>
        <v>-</v>
      </c>
      <c r="K168" s="128"/>
      <c r="L168" s="128"/>
      <c r="M168" s="127"/>
      <c r="N168" s="129"/>
      <c r="O168" s="22">
        <f t="shared" si="21"/>
        <v>0</v>
      </c>
      <c r="P168" s="22" t="str">
        <f t="shared" si="22"/>
        <v>-</v>
      </c>
    </row>
    <row r="169" spans="4:16">
      <c r="G169" s="52" t="str">
        <f t="shared" si="19"/>
        <v>-</v>
      </c>
      <c r="H169" s="52" t="str">
        <f t="shared" si="20"/>
        <v>-</v>
      </c>
      <c r="I169" s="52" t="str">
        <f>IFERROR(VLOOKUP(H169,'SUPPLIES SUMMARY'!A$147:G$180,7,0),"-")</f>
        <v>-</v>
      </c>
      <c r="K169" s="128"/>
      <c r="L169" s="128"/>
      <c r="M169" s="127"/>
      <c r="N169" s="129"/>
      <c r="O169" s="22">
        <f t="shared" si="21"/>
        <v>0</v>
      </c>
      <c r="P169" s="22" t="str">
        <f t="shared" si="22"/>
        <v>-</v>
      </c>
    </row>
    <row r="170" spans="4:16">
      <c r="G170" s="52" t="str">
        <f t="shared" si="19"/>
        <v>-</v>
      </c>
      <c r="H170" s="52" t="str">
        <f t="shared" si="20"/>
        <v>-</v>
      </c>
      <c r="I170" s="52" t="str">
        <f>IFERROR(VLOOKUP(H170,'SUPPLIES SUMMARY'!A$147:G$180,7,0),"-")</f>
        <v>-</v>
      </c>
      <c r="K170" s="128"/>
      <c r="L170" s="128"/>
      <c r="M170" s="127"/>
      <c r="N170" s="129"/>
      <c r="O170" s="22">
        <f t="shared" si="21"/>
        <v>0</v>
      </c>
      <c r="P170" s="22" t="str">
        <f t="shared" si="22"/>
        <v>-</v>
      </c>
    </row>
    <row r="171" spans="4:16">
      <c r="D171" s="146"/>
      <c r="E171" s="147"/>
      <c r="F171" s="140"/>
      <c r="G171" s="148"/>
      <c r="H171" s="148"/>
      <c r="I171" s="148"/>
      <c r="J171" s="148"/>
      <c r="K171" s="149"/>
      <c r="L171" s="149"/>
      <c r="M171" s="140"/>
      <c r="N171" s="150"/>
      <c r="O171" s="140"/>
      <c r="P171" s="140"/>
    </row>
  </sheetData>
  <phoneticPr fontId="40" type="noConversion"/>
  <conditionalFormatting sqref="N1:N115">
    <cfRule type="notContainsBlanks" dxfId="2" priority="1">
      <formula>LEN(TRIM(N1))&gt;0</formula>
    </cfRule>
  </conditionalFormatting>
  <conditionalFormatting sqref="N119:N1048576">
    <cfRule type="notContainsBlanks" dxfId="1" priority="6">
      <formula>LEN(TRIM(N119))&gt;0</formula>
    </cfRule>
  </conditionalFormatting>
  <dataValidations count="1">
    <dataValidation type="list" allowBlank="1" showInputMessage="1" showErrorMessage="1" sqref="E171:E65556 E2:E37" xr:uid="{6473EE23-31D4-4B11-8928-B9C4C423F5A9}">
      <formula1>SUPPLY</formula1>
    </dataValidation>
  </dataValidations>
  <pageMargins left="0.7" right="0.7" top="0.75" bottom="0.75" header="0.3" footer="0.3"/>
  <pageSetup scale="4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72013E-7E69-4DD5-AFF1-6D66D0F0C82A}">
          <x14:formula1>
            <xm:f>Sheet1!$C$1:$C$34</xm:f>
          </x14:formula1>
          <xm:sqref>E38:E60 E62:E170</xm:sqref>
        </x14:dataValidation>
        <x14:dataValidation type="list" allowBlank="1" showInputMessage="1" showErrorMessage="1" xr:uid="{B1271449-314E-4C5F-9885-68FF58FC97B1}">
          <x14:formula1>
            <xm:f>Sheet1!$C$38:$C$46</xm:f>
          </x14:formula1>
          <xm:sqref>J38:J60 J62:J170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5B9-1A53-420C-9497-450A157F0C23}">
  <dimension ref="A1:C46"/>
  <sheetViews>
    <sheetView workbookViewId="0">
      <selection activeCell="M37" sqref="M37"/>
    </sheetView>
  </sheetViews>
  <sheetFormatPr defaultColWidth="8.88671875" defaultRowHeight="14.4"/>
  <sheetData>
    <row r="1" spans="1:3" ht="15.6">
      <c r="A1" s="144"/>
      <c r="B1" s="144"/>
      <c r="C1" s="151" t="s">
        <v>165</v>
      </c>
    </row>
    <row r="2" spans="1:3" ht="15.6">
      <c r="A2" s="144"/>
      <c r="B2" s="144"/>
      <c r="C2" s="152" t="s">
        <v>152</v>
      </c>
    </row>
    <row r="3" spans="1:3" ht="15.6">
      <c r="A3" s="144"/>
      <c r="B3" s="144"/>
      <c r="C3" s="152" t="s">
        <v>185</v>
      </c>
    </row>
    <row r="4" spans="1:3" ht="15.6">
      <c r="A4" s="144"/>
      <c r="B4" s="144"/>
      <c r="C4" s="152" t="s">
        <v>186</v>
      </c>
    </row>
    <row r="5" spans="1:3" ht="15.6">
      <c r="A5" s="144"/>
      <c r="B5" s="144"/>
      <c r="C5" s="152" t="s">
        <v>187</v>
      </c>
    </row>
    <row r="6" spans="1:3" ht="15.6">
      <c r="A6" s="144"/>
      <c r="B6" s="144"/>
      <c r="C6" s="152" t="s">
        <v>168</v>
      </c>
    </row>
    <row r="7" spans="1:3" ht="15.6">
      <c r="A7" s="144"/>
      <c r="B7" s="144"/>
      <c r="C7" s="152" t="s">
        <v>188</v>
      </c>
    </row>
    <row r="8" spans="1:3" ht="15.6">
      <c r="A8" s="144"/>
      <c r="B8" s="144"/>
      <c r="C8" s="152" t="s">
        <v>162</v>
      </c>
    </row>
    <row r="9" spans="1:3" ht="15.6">
      <c r="A9" s="144"/>
      <c r="B9" s="144"/>
      <c r="C9" s="152" t="s">
        <v>169</v>
      </c>
    </row>
    <row r="10" spans="1:3" ht="15.6">
      <c r="A10" s="144"/>
      <c r="B10" s="144"/>
      <c r="C10" s="152" t="s">
        <v>189</v>
      </c>
    </row>
    <row r="11" spans="1:3" ht="15.6">
      <c r="A11" s="144"/>
      <c r="B11" s="144"/>
      <c r="C11" s="152" t="s">
        <v>190</v>
      </c>
    </row>
    <row r="12" spans="1:3" ht="15.6">
      <c r="A12" s="144"/>
      <c r="B12" s="144"/>
      <c r="C12" s="152" t="s">
        <v>156</v>
      </c>
    </row>
    <row r="13" spans="1:3" ht="15.6">
      <c r="A13" s="144"/>
      <c r="B13" s="144"/>
      <c r="C13" s="152" t="s">
        <v>167</v>
      </c>
    </row>
    <row r="14" spans="1:3" ht="15.6">
      <c r="A14" s="144"/>
      <c r="B14" s="144"/>
      <c r="C14" s="152" t="s">
        <v>155</v>
      </c>
    </row>
    <row r="15" spans="1:3" ht="15.6">
      <c r="A15" s="144"/>
      <c r="B15" s="144"/>
      <c r="C15" s="152" t="s">
        <v>183</v>
      </c>
    </row>
    <row r="16" spans="1:3" ht="15.6">
      <c r="A16" s="144"/>
      <c r="B16" s="144"/>
      <c r="C16" s="152" t="s">
        <v>191</v>
      </c>
    </row>
    <row r="17" spans="1:3" ht="15.6">
      <c r="A17" s="144"/>
      <c r="B17" s="144"/>
      <c r="C17" s="152" t="s">
        <v>160</v>
      </c>
    </row>
    <row r="18" spans="1:3" ht="15.6">
      <c r="A18" s="144"/>
      <c r="B18" s="144"/>
      <c r="C18" s="152" t="s">
        <v>163</v>
      </c>
    </row>
    <row r="19" spans="1:3" ht="15.6">
      <c r="A19" s="144"/>
      <c r="B19" s="144"/>
      <c r="C19" s="152" t="s">
        <v>158</v>
      </c>
    </row>
    <row r="20" spans="1:3" ht="15.6">
      <c r="A20" s="144"/>
      <c r="B20" s="144"/>
      <c r="C20" s="152" t="s">
        <v>153</v>
      </c>
    </row>
    <row r="21" spans="1:3" ht="15.6">
      <c r="A21" s="144"/>
      <c r="B21" s="144"/>
      <c r="C21" s="152" t="s">
        <v>157</v>
      </c>
    </row>
    <row r="22" spans="1:3" ht="15.6">
      <c r="A22" s="144"/>
      <c r="B22" s="144"/>
      <c r="C22" s="152" t="s">
        <v>192</v>
      </c>
    </row>
    <row r="23" spans="1:3" ht="15.6">
      <c r="A23" s="144"/>
      <c r="B23" s="144"/>
      <c r="C23" s="152" t="s">
        <v>170</v>
      </c>
    </row>
    <row r="24" spans="1:3" ht="15.6">
      <c r="A24" s="144"/>
      <c r="B24" s="144"/>
      <c r="C24" s="152" t="s">
        <v>193</v>
      </c>
    </row>
    <row r="25" spans="1:3" ht="15.6">
      <c r="A25" s="144"/>
      <c r="B25" s="144"/>
      <c r="C25" s="152" t="s">
        <v>151</v>
      </c>
    </row>
    <row r="26" spans="1:3" ht="15.6">
      <c r="A26" s="144"/>
      <c r="B26" s="144"/>
      <c r="C26" s="152" t="s">
        <v>171</v>
      </c>
    </row>
    <row r="27" spans="1:3" ht="15.6">
      <c r="A27" s="144"/>
      <c r="B27" s="144"/>
      <c r="C27" s="152" t="s">
        <v>154</v>
      </c>
    </row>
    <row r="28" spans="1:3" ht="15.6">
      <c r="A28" s="144"/>
      <c r="B28" s="144"/>
      <c r="C28" s="152" t="s">
        <v>166</v>
      </c>
    </row>
    <row r="29" spans="1:3">
      <c r="A29" s="144"/>
      <c r="B29" s="144"/>
      <c r="C29" s="145" t="s">
        <v>164</v>
      </c>
    </row>
    <row r="30" spans="1:3">
      <c r="A30" s="144"/>
      <c r="B30" s="144"/>
      <c r="C30" s="145" t="s">
        <v>161</v>
      </c>
    </row>
    <row r="31" spans="1:3">
      <c r="A31" s="144"/>
      <c r="B31" s="144"/>
      <c r="C31" t="s">
        <v>172</v>
      </c>
    </row>
    <row r="32" spans="1:3">
      <c r="A32" s="144"/>
      <c r="B32" s="144"/>
      <c r="C32" t="s">
        <v>173</v>
      </c>
    </row>
    <row r="33" spans="1:3">
      <c r="A33" s="144"/>
      <c r="B33" s="144"/>
      <c r="C33" t="s">
        <v>174</v>
      </c>
    </row>
    <row r="34" spans="1:3">
      <c r="A34" s="144"/>
      <c r="B34" s="144"/>
      <c r="C34" s="145" t="s">
        <v>159</v>
      </c>
    </row>
    <row r="38" spans="1:3">
      <c r="C38" t="s">
        <v>179</v>
      </c>
    </row>
    <row r="39" spans="1:3">
      <c r="C39" t="s">
        <v>175</v>
      </c>
    </row>
    <row r="40" spans="1:3">
      <c r="C40" t="s">
        <v>176</v>
      </c>
    </row>
    <row r="41" spans="1:3">
      <c r="C41" t="s">
        <v>194</v>
      </c>
    </row>
    <row r="42" spans="1:3">
      <c r="C42" t="s">
        <v>180</v>
      </c>
    </row>
    <row r="43" spans="1:3">
      <c r="C43" t="s">
        <v>177</v>
      </c>
    </row>
    <row r="44" spans="1:3">
      <c r="C44" t="s">
        <v>195</v>
      </c>
    </row>
    <row r="45" spans="1:3">
      <c r="C45" t="s">
        <v>178</v>
      </c>
    </row>
    <row r="46" spans="1:3">
      <c r="C46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7F0F-4350-4893-8357-A332C09AB0EC}">
  <sheetPr>
    <tabColor theme="5" tint="0.59999389629810485"/>
  </sheetPr>
  <dimension ref="A1:H630"/>
  <sheetViews>
    <sheetView tabSelected="1" zoomScale="112" zoomScaleNormal="115" zoomScaleSheetLayoutView="130" workbookViewId="0">
      <pane ySplit="1" topLeftCell="A423" activePane="bottomLeft" state="frozen"/>
      <selection activeCell="A23" sqref="A23:A37"/>
      <selection pane="bottomLeft" activeCell="N628" sqref="N628"/>
    </sheetView>
  </sheetViews>
  <sheetFormatPr defaultColWidth="8.88671875" defaultRowHeight="14.4"/>
  <cols>
    <col min="1" max="1" width="18.109375" style="268" customWidth="1"/>
    <col min="2" max="2" width="44" style="246" customWidth="1"/>
    <col min="3" max="3" width="23" style="270" customWidth="1"/>
    <col min="4" max="4" width="7.33203125" style="273" bestFit="1" customWidth="1"/>
    <col min="5" max="5" width="13" style="273" customWidth="1"/>
    <col min="6" max="6" width="15.33203125" style="273" customWidth="1"/>
    <col min="7" max="7" width="9.33203125" style="273" customWidth="1"/>
    <col min="8" max="8" width="7.33203125" style="246" bestFit="1" customWidth="1"/>
    <col min="9" max="10" width="9.109375" style="246" bestFit="1" customWidth="1"/>
    <col min="11" max="12" width="8.88671875" style="246"/>
    <col min="13" max="19" width="9.109375" style="246" bestFit="1" customWidth="1"/>
    <col min="20" max="16364" width="8.88671875" style="246"/>
    <col min="16365" max="16375" width="9.109375" style="246" bestFit="1" customWidth="1"/>
    <col min="16376" max="16384" width="9.109375" style="246" customWidth="1"/>
  </cols>
  <sheetData>
    <row r="1" spans="1:8" s="242" customFormat="1" ht="24.6">
      <c r="A1" s="274" t="s">
        <v>197</v>
      </c>
      <c r="B1" s="257" t="s">
        <v>4</v>
      </c>
      <c r="C1" s="271" t="s">
        <v>198</v>
      </c>
      <c r="D1" s="272" t="s">
        <v>6</v>
      </c>
      <c r="E1" s="272" t="s">
        <v>7</v>
      </c>
      <c r="F1" s="272" t="s">
        <v>199</v>
      </c>
      <c r="G1" s="272" t="s">
        <v>8</v>
      </c>
      <c r="H1" s="257" t="s">
        <v>87</v>
      </c>
    </row>
    <row r="2" spans="1:8">
      <c r="A2" s="245">
        <v>45660</v>
      </c>
      <c r="B2" s="246" t="s">
        <v>10</v>
      </c>
      <c r="C2" s="270">
        <v>3</v>
      </c>
      <c r="D2" s="273" t="str">
        <f t="shared" ref="D2:D40" si="0">IFERROR(VLOOKUP(B2,SUPPLY2,3,0),"-")</f>
        <v>Ream</v>
      </c>
      <c r="E2" s="273">
        <f t="shared" ref="E2:E38" si="1">IFERROR(VLOOKUP(B2,SUPPLY2,4,0),"-")</f>
        <v>2276</v>
      </c>
      <c r="F2" s="273" t="s">
        <v>177</v>
      </c>
      <c r="G2" s="273">
        <f t="shared" ref="G2:G27" si="2">IFERROR(VLOOKUP(A2,YEAR2023,2,0),"-")</f>
        <v>1</v>
      </c>
      <c r="H2" s="247"/>
    </row>
    <row r="3" spans="1:8">
      <c r="A3" s="268">
        <v>45660</v>
      </c>
      <c r="B3" s="246" t="s">
        <v>12</v>
      </c>
      <c r="C3" s="270">
        <v>3</v>
      </c>
      <c r="D3" s="273" t="str">
        <f t="shared" si="0"/>
        <v>Ream</v>
      </c>
      <c r="E3" s="273">
        <f t="shared" si="1"/>
        <v>2067</v>
      </c>
      <c r="F3" s="273" t="s">
        <v>177</v>
      </c>
      <c r="G3" s="273">
        <f t="shared" si="2"/>
        <v>1</v>
      </c>
      <c r="H3" s="247"/>
    </row>
    <row r="4" spans="1:8">
      <c r="A4" s="268">
        <v>45692</v>
      </c>
      <c r="B4" s="246" t="s">
        <v>10</v>
      </c>
      <c r="C4" s="270">
        <v>1</v>
      </c>
      <c r="D4" s="273" t="str">
        <f t="shared" si="0"/>
        <v>Ream</v>
      </c>
      <c r="E4" s="273">
        <f t="shared" si="1"/>
        <v>2276</v>
      </c>
      <c r="F4" s="273" t="s">
        <v>196</v>
      </c>
      <c r="G4" s="273">
        <f t="shared" si="2"/>
        <v>2</v>
      </c>
      <c r="H4" s="247"/>
    </row>
    <row r="5" spans="1:8">
      <c r="A5" s="268">
        <v>45692</v>
      </c>
      <c r="B5" s="246" t="s">
        <v>12</v>
      </c>
      <c r="C5" s="270">
        <v>1</v>
      </c>
      <c r="D5" s="273" t="str">
        <f t="shared" si="0"/>
        <v>Ream</v>
      </c>
      <c r="E5" s="273">
        <f t="shared" si="1"/>
        <v>2067</v>
      </c>
      <c r="F5" s="273" t="s">
        <v>177</v>
      </c>
      <c r="G5" s="273">
        <f t="shared" si="2"/>
        <v>2</v>
      </c>
      <c r="H5" s="247"/>
    </row>
    <row r="6" spans="1:8">
      <c r="A6" s="268">
        <v>45695</v>
      </c>
      <c r="B6" s="246" t="s">
        <v>10</v>
      </c>
      <c r="C6" s="270">
        <v>1</v>
      </c>
      <c r="D6" s="273" t="str">
        <f t="shared" si="0"/>
        <v>Ream</v>
      </c>
      <c r="E6" s="273">
        <f t="shared" si="1"/>
        <v>2276</v>
      </c>
      <c r="F6" s="273" t="s">
        <v>200</v>
      </c>
      <c r="G6" s="273">
        <f t="shared" si="2"/>
        <v>2</v>
      </c>
      <c r="H6" s="247"/>
    </row>
    <row r="7" spans="1:8">
      <c r="A7" s="268">
        <v>45695</v>
      </c>
      <c r="B7" s="246" t="s">
        <v>12</v>
      </c>
      <c r="C7" s="270">
        <v>1</v>
      </c>
      <c r="D7" s="273" t="str">
        <f t="shared" si="0"/>
        <v>Ream</v>
      </c>
      <c r="E7" s="273">
        <f t="shared" si="1"/>
        <v>2067</v>
      </c>
      <c r="F7" s="273" t="s">
        <v>200</v>
      </c>
      <c r="G7" s="273">
        <f t="shared" si="2"/>
        <v>2</v>
      </c>
      <c r="H7" s="247"/>
    </row>
    <row r="8" spans="1:8">
      <c r="A8" s="268">
        <v>45695</v>
      </c>
      <c r="B8" s="246" t="s">
        <v>10</v>
      </c>
      <c r="C8" s="270">
        <v>2</v>
      </c>
      <c r="D8" s="273" t="str">
        <f t="shared" si="0"/>
        <v>Ream</v>
      </c>
      <c r="E8" s="273">
        <f t="shared" si="1"/>
        <v>2276</v>
      </c>
      <c r="F8" s="273" t="s">
        <v>177</v>
      </c>
      <c r="G8" s="273">
        <f t="shared" si="2"/>
        <v>2</v>
      </c>
      <c r="H8" s="247"/>
    </row>
    <row r="9" spans="1:8">
      <c r="A9" s="268">
        <v>45695</v>
      </c>
      <c r="B9" s="246" t="s">
        <v>12</v>
      </c>
      <c r="C9" s="270">
        <v>2</v>
      </c>
      <c r="D9" s="273" t="str">
        <f t="shared" si="0"/>
        <v>Ream</v>
      </c>
      <c r="E9" s="273">
        <f t="shared" si="1"/>
        <v>2067</v>
      </c>
      <c r="F9" s="273" t="s">
        <v>177</v>
      </c>
      <c r="G9" s="273">
        <f t="shared" si="2"/>
        <v>2</v>
      </c>
      <c r="H9" s="247"/>
    </row>
    <row r="10" spans="1:8">
      <c r="A10" s="268">
        <v>45701</v>
      </c>
      <c r="B10" s="246" t="s">
        <v>12</v>
      </c>
      <c r="C10" s="270">
        <v>2</v>
      </c>
      <c r="D10" s="273" t="str">
        <f t="shared" si="0"/>
        <v>Ream</v>
      </c>
      <c r="E10" s="273">
        <f t="shared" si="1"/>
        <v>2067</v>
      </c>
      <c r="F10" s="273" t="s">
        <v>178</v>
      </c>
      <c r="G10" s="273">
        <f t="shared" si="2"/>
        <v>2</v>
      </c>
      <c r="H10" s="247"/>
    </row>
    <row r="11" spans="1:8">
      <c r="A11" s="268">
        <v>45701</v>
      </c>
      <c r="B11" s="246" t="s">
        <v>10</v>
      </c>
      <c r="C11" s="270">
        <v>2</v>
      </c>
      <c r="D11" s="273" t="str">
        <f t="shared" si="0"/>
        <v>Ream</v>
      </c>
      <c r="E11" s="273">
        <f t="shared" si="1"/>
        <v>2276</v>
      </c>
      <c r="F11" s="273" t="s">
        <v>178</v>
      </c>
      <c r="G11" s="273">
        <f t="shared" si="2"/>
        <v>2</v>
      </c>
      <c r="H11" s="247"/>
    </row>
    <row r="12" spans="1:8">
      <c r="A12" s="268">
        <v>45706</v>
      </c>
      <c r="B12" s="246" t="s">
        <v>10</v>
      </c>
      <c r="C12" s="270">
        <v>2</v>
      </c>
      <c r="D12" s="273" t="str">
        <f t="shared" si="0"/>
        <v>Ream</v>
      </c>
      <c r="E12" s="273">
        <f t="shared" si="1"/>
        <v>2276</v>
      </c>
      <c r="F12" s="273" t="s">
        <v>177</v>
      </c>
      <c r="G12" s="273">
        <f t="shared" si="2"/>
        <v>2</v>
      </c>
      <c r="H12" s="247"/>
    </row>
    <row r="13" spans="1:8">
      <c r="A13" s="268">
        <v>45706</v>
      </c>
      <c r="B13" s="246" t="s">
        <v>12</v>
      </c>
      <c r="C13" s="270">
        <v>2</v>
      </c>
      <c r="D13" s="273" t="str">
        <f t="shared" si="0"/>
        <v>Ream</v>
      </c>
      <c r="E13" s="273">
        <f t="shared" si="1"/>
        <v>2067</v>
      </c>
      <c r="F13" s="273" t="s">
        <v>177</v>
      </c>
      <c r="G13" s="273">
        <f t="shared" si="2"/>
        <v>2</v>
      </c>
      <c r="H13" s="247"/>
    </row>
    <row r="14" spans="1:8">
      <c r="A14" s="268">
        <v>45706</v>
      </c>
      <c r="B14" s="246" t="s">
        <v>201</v>
      </c>
      <c r="C14" s="270">
        <v>450</v>
      </c>
      <c r="D14" s="273" t="str">
        <f t="shared" si="0"/>
        <v>pc</v>
      </c>
      <c r="E14" s="273" t="str">
        <f t="shared" si="1"/>
        <v>UBP</v>
      </c>
      <c r="F14" s="273" t="s">
        <v>195</v>
      </c>
      <c r="G14" s="273">
        <f t="shared" si="2"/>
        <v>2</v>
      </c>
      <c r="H14" s="247"/>
    </row>
    <row r="15" spans="1:8">
      <c r="A15" s="268">
        <v>45706</v>
      </c>
      <c r="B15" s="246" t="s">
        <v>14</v>
      </c>
      <c r="C15" s="270">
        <v>20</v>
      </c>
      <c r="D15" s="273" t="str">
        <f t="shared" si="0"/>
        <v>C</v>
      </c>
      <c r="E15" s="273">
        <f t="shared" si="1"/>
        <v>46</v>
      </c>
      <c r="F15" s="273" t="s">
        <v>178</v>
      </c>
      <c r="G15" s="273">
        <f t="shared" si="2"/>
        <v>2</v>
      </c>
      <c r="H15" s="247"/>
    </row>
    <row r="16" spans="1:8">
      <c r="A16" s="268">
        <v>45706</v>
      </c>
      <c r="B16" s="246" t="s">
        <v>13</v>
      </c>
      <c r="C16" s="270">
        <v>10</v>
      </c>
      <c r="D16" s="273" t="str">
        <f t="shared" si="0"/>
        <v>C</v>
      </c>
      <c r="E16" s="273">
        <f t="shared" si="1"/>
        <v>330</v>
      </c>
      <c r="F16" s="273" t="s">
        <v>178</v>
      </c>
      <c r="G16" s="273">
        <f t="shared" si="2"/>
        <v>2</v>
      </c>
      <c r="H16" s="247"/>
    </row>
    <row r="17" spans="1:8">
      <c r="A17" s="268">
        <v>45736</v>
      </c>
      <c r="B17" s="246" t="s">
        <v>10</v>
      </c>
      <c r="C17" s="270">
        <v>2</v>
      </c>
      <c r="D17" s="273" t="str">
        <f t="shared" si="0"/>
        <v>Ream</v>
      </c>
      <c r="E17" s="273">
        <f t="shared" si="1"/>
        <v>2276</v>
      </c>
      <c r="F17" s="273" t="s">
        <v>177</v>
      </c>
      <c r="G17" s="273">
        <f t="shared" si="2"/>
        <v>3</v>
      </c>
      <c r="H17" s="247"/>
    </row>
    <row r="18" spans="1:8">
      <c r="A18" s="268">
        <v>45736</v>
      </c>
      <c r="B18" s="246" t="s">
        <v>12</v>
      </c>
      <c r="C18" s="270">
        <v>2</v>
      </c>
      <c r="D18" s="273" t="str">
        <f t="shared" si="0"/>
        <v>Ream</v>
      </c>
      <c r="E18" s="273">
        <f t="shared" si="1"/>
        <v>2067</v>
      </c>
      <c r="F18" s="273" t="s">
        <v>177</v>
      </c>
      <c r="G18" s="273">
        <f t="shared" si="2"/>
        <v>3</v>
      </c>
      <c r="H18" s="247"/>
    </row>
    <row r="19" spans="1:8">
      <c r="A19" s="268">
        <v>45737</v>
      </c>
      <c r="B19" s="246" t="s">
        <v>12</v>
      </c>
      <c r="C19" s="270">
        <v>1</v>
      </c>
      <c r="D19" s="273" t="str">
        <f t="shared" si="0"/>
        <v>Ream</v>
      </c>
      <c r="E19" s="273">
        <f t="shared" si="1"/>
        <v>2067</v>
      </c>
      <c r="F19" s="273" t="s">
        <v>177</v>
      </c>
      <c r="G19" s="273">
        <f t="shared" si="2"/>
        <v>3</v>
      </c>
      <c r="H19" s="247"/>
    </row>
    <row r="20" spans="1:8">
      <c r="A20" s="268">
        <v>45737</v>
      </c>
      <c r="B20" s="246" t="s">
        <v>10</v>
      </c>
      <c r="C20" s="270">
        <v>1</v>
      </c>
      <c r="D20" s="273" t="str">
        <f t="shared" si="0"/>
        <v>Ream</v>
      </c>
      <c r="E20" s="273">
        <f t="shared" si="1"/>
        <v>2276</v>
      </c>
      <c r="F20" s="273" t="s">
        <v>177</v>
      </c>
      <c r="G20" s="273">
        <f t="shared" si="2"/>
        <v>3</v>
      </c>
      <c r="H20" s="247"/>
    </row>
    <row r="21" spans="1:8">
      <c r="A21" s="268">
        <v>45740</v>
      </c>
      <c r="B21" s="246" t="s">
        <v>10</v>
      </c>
      <c r="C21" s="270">
        <v>2</v>
      </c>
      <c r="D21" s="273" t="str">
        <f t="shared" si="0"/>
        <v>Ream</v>
      </c>
      <c r="E21" s="273">
        <f t="shared" si="1"/>
        <v>2276</v>
      </c>
      <c r="F21" s="273" t="s">
        <v>177</v>
      </c>
      <c r="G21" s="273">
        <f t="shared" si="2"/>
        <v>3</v>
      </c>
      <c r="H21" s="247"/>
    </row>
    <row r="22" spans="1:8">
      <c r="A22" s="268">
        <v>45741</v>
      </c>
      <c r="B22" s="246" t="s">
        <v>10</v>
      </c>
      <c r="C22" s="270">
        <v>1</v>
      </c>
      <c r="D22" s="273" t="str">
        <f t="shared" si="0"/>
        <v>Ream</v>
      </c>
      <c r="E22" s="273">
        <f t="shared" si="1"/>
        <v>2276</v>
      </c>
      <c r="F22" s="273" t="s">
        <v>177</v>
      </c>
      <c r="G22" s="273">
        <f t="shared" si="2"/>
        <v>3</v>
      </c>
      <c r="H22" s="247"/>
    </row>
    <row r="23" spans="1:8">
      <c r="A23" s="268">
        <v>45742</v>
      </c>
      <c r="B23" s="246" t="s">
        <v>10</v>
      </c>
      <c r="C23" s="270">
        <v>1</v>
      </c>
      <c r="D23" s="273" t="str">
        <f t="shared" si="0"/>
        <v>Ream</v>
      </c>
      <c r="E23" s="273">
        <f t="shared" si="1"/>
        <v>2276</v>
      </c>
      <c r="F23" s="273" t="s">
        <v>177</v>
      </c>
      <c r="G23" s="273">
        <f t="shared" si="2"/>
        <v>3</v>
      </c>
      <c r="H23" s="247"/>
    </row>
    <row r="24" spans="1:8">
      <c r="A24" s="268">
        <v>45743</v>
      </c>
      <c r="B24" s="246" t="s">
        <v>10</v>
      </c>
      <c r="C24" s="270">
        <v>1</v>
      </c>
      <c r="D24" s="273" t="str">
        <f t="shared" si="0"/>
        <v>Ream</v>
      </c>
      <c r="E24" s="273">
        <f t="shared" si="1"/>
        <v>2276</v>
      </c>
      <c r="F24" s="273" t="s">
        <v>177</v>
      </c>
      <c r="G24" s="273">
        <f t="shared" si="2"/>
        <v>3</v>
      </c>
      <c r="H24" s="247"/>
    </row>
    <row r="25" spans="1:8">
      <c r="A25" s="268">
        <v>45743</v>
      </c>
      <c r="B25" s="246" t="s">
        <v>10</v>
      </c>
      <c r="C25" s="270">
        <v>1</v>
      </c>
      <c r="D25" s="273" t="str">
        <f t="shared" si="0"/>
        <v>Ream</v>
      </c>
      <c r="E25" s="273">
        <f t="shared" si="1"/>
        <v>2276</v>
      </c>
      <c r="F25" s="273" t="s">
        <v>196</v>
      </c>
      <c r="G25" s="273">
        <f t="shared" si="2"/>
        <v>3</v>
      </c>
      <c r="H25" s="247"/>
    </row>
    <row r="26" spans="1:8">
      <c r="A26" s="268">
        <v>45744</v>
      </c>
      <c r="B26" s="246" t="s">
        <v>10</v>
      </c>
      <c r="C26" s="270">
        <v>1</v>
      </c>
      <c r="D26" s="273" t="str">
        <f t="shared" si="0"/>
        <v>Ream</v>
      </c>
      <c r="E26" s="273">
        <f t="shared" si="1"/>
        <v>2276</v>
      </c>
      <c r="F26" s="273" t="s">
        <v>177</v>
      </c>
      <c r="G26" s="273">
        <f t="shared" si="2"/>
        <v>3</v>
      </c>
      <c r="H26" s="247"/>
    </row>
    <row r="27" spans="1:8">
      <c r="A27" s="268">
        <v>45749</v>
      </c>
      <c r="B27" s="246" t="s">
        <v>10</v>
      </c>
      <c r="C27" s="270">
        <v>2</v>
      </c>
      <c r="D27" s="273" t="str">
        <f t="shared" si="0"/>
        <v>Ream</v>
      </c>
      <c r="E27" s="273">
        <f t="shared" si="1"/>
        <v>2276</v>
      </c>
      <c r="F27" s="273" t="s">
        <v>177</v>
      </c>
      <c r="G27" s="273">
        <f t="shared" si="2"/>
        <v>4</v>
      </c>
      <c r="H27" s="247"/>
    </row>
    <row r="28" spans="1:8">
      <c r="A28" s="268">
        <v>45750</v>
      </c>
      <c r="B28" s="246" t="s">
        <v>10</v>
      </c>
      <c r="C28" s="270">
        <v>2</v>
      </c>
      <c r="D28" s="273" t="str">
        <f t="shared" si="0"/>
        <v>Ream</v>
      </c>
      <c r="E28" s="273">
        <f t="shared" si="1"/>
        <v>2276</v>
      </c>
      <c r="F28" s="273" t="s">
        <v>177</v>
      </c>
      <c r="G28" s="273">
        <f t="shared" ref="G28:G41" si="3">IFERROR(VLOOKUP(A28,YEAR2023,2,0),"-")</f>
        <v>4</v>
      </c>
      <c r="H28" s="247"/>
    </row>
    <row r="29" spans="1:8">
      <c r="A29" s="268">
        <v>45751</v>
      </c>
      <c r="B29" s="246" t="s">
        <v>10</v>
      </c>
      <c r="C29" s="270">
        <v>2</v>
      </c>
      <c r="D29" s="273" t="str">
        <f t="shared" si="0"/>
        <v>Ream</v>
      </c>
      <c r="E29" s="273">
        <f t="shared" si="1"/>
        <v>2276</v>
      </c>
      <c r="F29" s="273" t="s">
        <v>177</v>
      </c>
      <c r="G29" s="273">
        <f t="shared" si="3"/>
        <v>4</v>
      </c>
      <c r="H29" s="247"/>
    </row>
    <row r="30" spans="1:8">
      <c r="A30" s="268">
        <v>45754</v>
      </c>
      <c r="B30" s="246" t="s">
        <v>10</v>
      </c>
      <c r="C30" s="270">
        <v>1</v>
      </c>
      <c r="D30" s="273" t="str">
        <f t="shared" si="0"/>
        <v>Ream</v>
      </c>
      <c r="E30" s="273">
        <f t="shared" si="1"/>
        <v>2276</v>
      </c>
      <c r="F30" s="273" t="s">
        <v>177</v>
      </c>
      <c r="G30" s="273">
        <f t="shared" si="3"/>
        <v>4</v>
      </c>
      <c r="H30" s="247"/>
    </row>
    <row r="31" spans="1:8">
      <c r="A31" s="268">
        <v>45757</v>
      </c>
      <c r="B31" s="246" t="s">
        <v>10</v>
      </c>
      <c r="C31" s="270">
        <v>1</v>
      </c>
      <c r="D31" s="273" t="str">
        <f t="shared" si="0"/>
        <v>Ream</v>
      </c>
      <c r="E31" s="273">
        <f t="shared" si="1"/>
        <v>2276</v>
      </c>
      <c r="F31" s="273" t="s">
        <v>177</v>
      </c>
      <c r="G31" s="273">
        <f t="shared" si="3"/>
        <v>4</v>
      </c>
      <c r="H31" s="247"/>
    </row>
    <row r="32" spans="1:8">
      <c r="A32" s="268">
        <v>45757</v>
      </c>
      <c r="B32" s="246" t="s">
        <v>12</v>
      </c>
      <c r="C32" s="270">
        <v>1</v>
      </c>
      <c r="D32" s="273" t="str">
        <f t="shared" si="0"/>
        <v>Ream</v>
      </c>
      <c r="E32" s="273">
        <f t="shared" si="1"/>
        <v>2067</v>
      </c>
      <c r="F32" s="273" t="s">
        <v>177</v>
      </c>
      <c r="G32" s="273">
        <f t="shared" si="3"/>
        <v>4</v>
      </c>
      <c r="H32" s="247"/>
    </row>
    <row r="33" spans="1:8">
      <c r="A33" s="268">
        <v>45762</v>
      </c>
      <c r="B33" s="246" t="s">
        <v>10</v>
      </c>
      <c r="C33" s="270">
        <v>6</v>
      </c>
      <c r="D33" s="273" t="str">
        <f t="shared" si="0"/>
        <v>Ream</v>
      </c>
      <c r="E33" s="273">
        <f t="shared" si="1"/>
        <v>2276</v>
      </c>
      <c r="F33" s="273" t="s">
        <v>202</v>
      </c>
      <c r="G33" s="273">
        <f t="shared" si="3"/>
        <v>4</v>
      </c>
      <c r="H33" s="247"/>
    </row>
    <row r="34" spans="1:8">
      <c r="A34" s="268">
        <v>45772</v>
      </c>
      <c r="B34" s="246" t="s">
        <v>10</v>
      </c>
      <c r="C34" s="270">
        <v>6</v>
      </c>
      <c r="D34" s="273" t="str">
        <f t="shared" si="0"/>
        <v>Ream</v>
      </c>
      <c r="E34" s="273">
        <f t="shared" si="1"/>
        <v>2276</v>
      </c>
      <c r="F34" s="273" t="s">
        <v>177</v>
      </c>
      <c r="G34" s="273">
        <f t="shared" si="3"/>
        <v>4</v>
      </c>
      <c r="H34" s="247"/>
    </row>
    <row r="35" spans="1:8">
      <c r="A35" s="268">
        <v>45775</v>
      </c>
      <c r="B35" s="246" t="s">
        <v>10</v>
      </c>
      <c r="C35" s="270">
        <v>6</v>
      </c>
      <c r="D35" s="273" t="str">
        <f t="shared" si="0"/>
        <v>Ream</v>
      </c>
      <c r="E35" s="273">
        <f t="shared" si="1"/>
        <v>2276</v>
      </c>
      <c r="F35" s="273" t="s">
        <v>177</v>
      </c>
      <c r="G35" s="273">
        <f t="shared" si="3"/>
        <v>4</v>
      </c>
      <c r="H35" s="247"/>
    </row>
    <row r="36" spans="1:8">
      <c r="A36" s="268">
        <v>45779</v>
      </c>
      <c r="B36" s="246" t="s">
        <v>10</v>
      </c>
      <c r="C36" s="270">
        <v>2</v>
      </c>
      <c r="D36" s="273" t="str">
        <f t="shared" si="0"/>
        <v>Ream</v>
      </c>
      <c r="E36" s="273">
        <f t="shared" si="1"/>
        <v>2276</v>
      </c>
      <c r="F36" s="273" t="s">
        <v>177</v>
      </c>
      <c r="G36" s="273">
        <f t="shared" si="3"/>
        <v>5</v>
      </c>
      <c r="H36" s="247"/>
    </row>
    <row r="37" spans="1:8">
      <c r="A37" s="268">
        <v>45782</v>
      </c>
      <c r="B37" s="246" t="s">
        <v>15</v>
      </c>
      <c r="C37" s="270">
        <v>141</v>
      </c>
      <c r="D37" s="273" t="str">
        <f t="shared" si="0"/>
        <v>Roll</v>
      </c>
      <c r="E37" s="273">
        <f t="shared" si="1"/>
        <v>301</v>
      </c>
      <c r="F37" s="273" t="s">
        <v>177</v>
      </c>
      <c r="G37" s="273">
        <f t="shared" si="3"/>
        <v>5</v>
      </c>
      <c r="H37" s="247"/>
    </row>
    <row r="38" spans="1:8">
      <c r="A38" s="268">
        <v>45784</v>
      </c>
      <c r="B38" s="246" t="s">
        <v>19</v>
      </c>
      <c r="C38" s="270">
        <v>15</v>
      </c>
      <c r="D38" s="273" t="str">
        <f t="shared" si="0"/>
        <v>Roll</v>
      </c>
      <c r="E38" s="273">
        <f t="shared" si="1"/>
        <v>300</v>
      </c>
      <c r="F38" s="273" t="s">
        <v>177</v>
      </c>
      <c r="G38" s="273">
        <f t="shared" si="3"/>
        <v>5</v>
      </c>
      <c r="H38" s="247"/>
    </row>
    <row r="39" spans="1:8">
      <c r="A39" s="268">
        <v>45785</v>
      </c>
      <c r="B39" s="246" t="s">
        <v>30</v>
      </c>
      <c r="C39" s="270">
        <v>298</v>
      </c>
      <c r="D39" s="273" t="str">
        <f t="shared" si="0"/>
        <v>Box</v>
      </c>
      <c r="E39" s="273">
        <f>IFERROR(VLOOKUP(B40,SUPPLY2,4,0),"-")</f>
        <v>281</v>
      </c>
      <c r="F39" s="273" t="s">
        <v>177</v>
      </c>
      <c r="G39" s="273">
        <f t="shared" si="3"/>
        <v>5</v>
      </c>
      <c r="H39" s="247"/>
    </row>
    <row r="40" spans="1:8">
      <c r="A40" s="268">
        <v>45796</v>
      </c>
      <c r="B40" s="246" t="s">
        <v>22</v>
      </c>
      <c r="C40" s="270">
        <v>132</v>
      </c>
      <c r="D40" s="273" t="str">
        <f t="shared" si="0"/>
        <v>Roll</v>
      </c>
      <c r="E40" s="273">
        <f t="shared" ref="E40:E52" si="4">IFERROR(VLOOKUP(B40,SUPPLY2,4,0),"-")</f>
        <v>281</v>
      </c>
      <c r="F40" s="273" t="s">
        <v>177</v>
      </c>
      <c r="G40" s="273">
        <f t="shared" si="3"/>
        <v>5</v>
      </c>
      <c r="H40" s="247"/>
    </row>
    <row r="41" spans="1:8">
      <c r="A41" s="268">
        <v>45799</v>
      </c>
      <c r="B41" s="246" t="s">
        <v>21</v>
      </c>
      <c r="C41" s="270">
        <v>31</v>
      </c>
      <c r="D41" s="273" t="str">
        <f t="shared" ref="D41:D52" si="5">IFERROR(VLOOKUP(B41,SUPPLY2,3,0),"-")</f>
        <v>Roll</v>
      </c>
      <c r="E41" s="273">
        <f t="shared" si="4"/>
        <v>2537</v>
      </c>
      <c r="F41" s="273" t="s">
        <v>177</v>
      </c>
      <c r="G41" s="273">
        <f t="shared" si="3"/>
        <v>5</v>
      </c>
      <c r="H41" s="247"/>
    </row>
    <row r="42" spans="1:8">
      <c r="A42" s="268">
        <v>45814</v>
      </c>
      <c r="B42" s="246" t="s">
        <v>18</v>
      </c>
      <c r="C42" s="270">
        <v>50</v>
      </c>
      <c r="D42" s="273" t="str">
        <f t="shared" si="5"/>
        <v>Piece</v>
      </c>
      <c r="E42" s="273">
        <f t="shared" si="4"/>
        <v>337</v>
      </c>
      <c r="F42" s="273" t="s">
        <v>177</v>
      </c>
      <c r="G42" s="273">
        <f t="shared" ref="G42:G52" si="6">IFERROR(VLOOKUP(A42,YEAR2023,2,0),"-")</f>
        <v>6</v>
      </c>
      <c r="H42" s="247"/>
    </row>
    <row r="43" spans="1:8">
      <c r="A43" s="268">
        <v>45828</v>
      </c>
      <c r="B43" s="246" t="s">
        <v>29</v>
      </c>
      <c r="C43" s="270">
        <v>40</v>
      </c>
      <c r="D43" s="273" t="str">
        <f t="shared" si="5"/>
        <v>Gallon</v>
      </c>
      <c r="E43" s="273">
        <f t="shared" si="4"/>
        <v>2617</v>
      </c>
      <c r="F43" s="273" t="s">
        <v>177</v>
      </c>
      <c r="G43" s="273">
        <f t="shared" si="6"/>
        <v>6</v>
      </c>
      <c r="H43" s="247"/>
    </row>
    <row r="44" spans="1:8">
      <c r="A44" s="268">
        <v>45828</v>
      </c>
      <c r="B44" s="246" t="s">
        <v>12</v>
      </c>
      <c r="C44" s="270">
        <v>3</v>
      </c>
      <c r="D44" s="273" t="str">
        <f t="shared" si="5"/>
        <v>Ream</v>
      </c>
      <c r="E44" s="273">
        <f t="shared" si="4"/>
        <v>2067</v>
      </c>
      <c r="F44" s="273" t="s">
        <v>178</v>
      </c>
      <c r="G44" s="273">
        <f t="shared" si="6"/>
        <v>6</v>
      </c>
      <c r="H44" s="247"/>
    </row>
    <row r="45" spans="1:8">
      <c r="A45" s="268">
        <v>45834</v>
      </c>
      <c r="B45" s="246" t="s">
        <v>10</v>
      </c>
      <c r="C45" s="270">
        <v>4</v>
      </c>
      <c r="D45" s="273" t="str">
        <f t="shared" si="5"/>
        <v>Ream</v>
      </c>
      <c r="E45" s="273">
        <f t="shared" si="4"/>
        <v>2276</v>
      </c>
      <c r="F45" s="273" t="s">
        <v>180</v>
      </c>
      <c r="G45" s="273">
        <f t="shared" si="6"/>
        <v>6</v>
      </c>
      <c r="H45" s="247"/>
    </row>
    <row r="46" spans="1:8">
      <c r="A46" s="268">
        <v>45847</v>
      </c>
      <c r="B46" s="246" t="s">
        <v>19</v>
      </c>
      <c r="C46" s="270">
        <v>3</v>
      </c>
      <c r="D46" s="273" t="str">
        <f t="shared" si="5"/>
        <v>Roll</v>
      </c>
      <c r="E46" s="273">
        <f t="shared" si="4"/>
        <v>300</v>
      </c>
      <c r="F46" s="273" t="s">
        <v>178</v>
      </c>
      <c r="G46" s="273">
        <f t="shared" si="6"/>
        <v>7</v>
      </c>
      <c r="H46" s="247"/>
    </row>
    <row r="47" spans="1:8">
      <c r="A47" s="268">
        <v>45849</v>
      </c>
      <c r="B47" s="246" t="s">
        <v>13</v>
      </c>
      <c r="C47" s="270">
        <v>29</v>
      </c>
      <c r="D47" s="273" t="str">
        <f t="shared" si="5"/>
        <v>C</v>
      </c>
      <c r="E47" s="273">
        <f t="shared" si="4"/>
        <v>330</v>
      </c>
      <c r="F47" s="273" t="s">
        <v>178</v>
      </c>
      <c r="G47" s="273">
        <f t="shared" si="6"/>
        <v>7</v>
      </c>
      <c r="H47" s="247"/>
    </row>
    <row r="48" spans="1:8">
      <c r="A48" s="268">
        <v>45849</v>
      </c>
      <c r="B48" s="246" t="s">
        <v>22</v>
      </c>
      <c r="C48" s="270">
        <v>4</v>
      </c>
      <c r="D48" s="273" t="str">
        <f>IFERROR(VLOOKUP(B48,SUPPLY2,3,0),"-")</f>
        <v>Roll</v>
      </c>
      <c r="E48" s="273">
        <f>IFERROR(VLOOKUP(B48,SUPPLY2,4,0),"-")</f>
        <v>281</v>
      </c>
      <c r="F48" s="273" t="s">
        <v>177</v>
      </c>
      <c r="G48" s="273">
        <f>IFERROR(VLOOKUP(A48,YEAR2023,2,0),"-")</f>
        <v>7</v>
      </c>
      <c r="H48" s="247"/>
    </row>
    <row r="49" spans="1:8">
      <c r="A49" s="268">
        <v>45849</v>
      </c>
      <c r="B49" s="246" t="s">
        <v>37</v>
      </c>
      <c r="C49" s="270">
        <v>100</v>
      </c>
      <c r="D49" s="273" t="str">
        <f>IFERROR(VLOOKUP(B49,SUPPLY2,3,0),"-")</f>
        <v>Piece</v>
      </c>
      <c r="E49" s="273">
        <f>IFERROR(VLOOKUP(B49,SUPPLY2,4,0),"-")</f>
        <v>0</v>
      </c>
      <c r="F49" s="273" t="s">
        <v>178</v>
      </c>
      <c r="G49" s="273">
        <f>IFERROR(VLOOKUP(A49,YEAR2023,2,0),"-")</f>
        <v>7</v>
      </c>
      <c r="H49" s="247"/>
    </row>
    <row r="50" spans="1:8">
      <c r="A50" s="268">
        <v>45849</v>
      </c>
      <c r="B50" s="246" t="s">
        <v>63</v>
      </c>
      <c r="C50" s="270">
        <v>8</v>
      </c>
      <c r="D50" s="273" t="str">
        <f>IFERROR(VLOOKUP(B50,SUPPLY2,3,0),"-")</f>
        <v>Bottle</v>
      </c>
      <c r="E50" s="273">
        <f>IFERROR(VLOOKUP(B50,SUPPLY2,4,0),"-")</f>
        <v>2618</v>
      </c>
      <c r="F50" s="273" t="s">
        <v>178</v>
      </c>
      <c r="G50" s="273">
        <f>IFERROR(VLOOKUP(A50,YEAR2023,2,0),"-")</f>
        <v>7</v>
      </c>
      <c r="H50" s="247"/>
    </row>
    <row r="51" spans="1:8">
      <c r="A51" s="268">
        <v>45849</v>
      </c>
      <c r="B51" s="246" t="s">
        <v>14</v>
      </c>
      <c r="C51" s="270">
        <v>10</v>
      </c>
      <c r="D51" s="273" t="str">
        <f t="shared" si="5"/>
        <v>C</v>
      </c>
      <c r="E51" s="273">
        <f t="shared" si="4"/>
        <v>46</v>
      </c>
      <c r="F51" s="273" t="s">
        <v>178</v>
      </c>
      <c r="G51" s="273">
        <f t="shared" si="6"/>
        <v>7</v>
      </c>
      <c r="H51" s="247"/>
    </row>
    <row r="52" spans="1:8">
      <c r="A52" s="268">
        <v>45849</v>
      </c>
      <c r="B52" s="246" t="s">
        <v>15</v>
      </c>
      <c r="C52" s="270">
        <v>3</v>
      </c>
      <c r="D52" s="273" t="str">
        <f t="shared" si="5"/>
        <v>Roll</v>
      </c>
      <c r="E52" s="273">
        <f t="shared" si="4"/>
        <v>301</v>
      </c>
      <c r="F52" s="273" t="s">
        <v>178</v>
      </c>
      <c r="G52" s="273">
        <f t="shared" si="6"/>
        <v>7</v>
      </c>
      <c r="H52" s="247"/>
    </row>
    <row r="53" spans="1:8">
      <c r="A53" s="268">
        <v>45860</v>
      </c>
      <c r="B53" s="246" t="s">
        <v>10</v>
      </c>
      <c r="C53" s="270">
        <v>1</v>
      </c>
      <c r="D53" s="273" t="str">
        <f t="shared" ref="D53:D84" si="7">IFERROR(VLOOKUP(B53,SUPPLY2,3,0),"-")</f>
        <v>Ream</v>
      </c>
      <c r="E53" s="273">
        <f t="shared" ref="E53:E84" si="8">IFERROR(VLOOKUP(B53,SUPPLY2,4,0),"-")</f>
        <v>2276</v>
      </c>
      <c r="F53" s="273" t="s">
        <v>196</v>
      </c>
      <c r="G53" s="273">
        <f t="shared" ref="G53:G84" si="9">IFERROR(VLOOKUP(A53,YEAR2023,2,0),"-")</f>
        <v>7</v>
      </c>
      <c r="H53" s="247"/>
    </row>
    <row r="54" spans="1:8">
      <c r="A54" s="268">
        <v>45860</v>
      </c>
      <c r="B54" s="246" t="s">
        <v>12</v>
      </c>
      <c r="C54" s="270">
        <v>1</v>
      </c>
      <c r="D54" s="273" t="str">
        <f t="shared" si="7"/>
        <v>Ream</v>
      </c>
      <c r="E54" s="273">
        <f t="shared" si="8"/>
        <v>2067</v>
      </c>
      <c r="F54" s="273" t="s">
        <v>177</v>
      </c>
      <c r="G54" s="273">
        <f t="shared" si="9"/>
        <v>7</v>
      </c>
      <c r="H54" s="247"/>
    </row>
    <row r="55" spans="1:8">
      <c r="A55" s="268">
        <v>45860</v>
      </c>
      <c r="B55" s="246" t="s">
        <v>30</v>
      </c>
      <c r="C55" s="270">
        <v>2</v>
      </c>
      <c r="D55" s="273" t="str">
        <f t="shared" si="7"/>
        <v>Box</v>
      </c>
      <c r="E55" s="273">
        <f t="shared" si="8"/>
        <v>310</v>
      </c>
      <c r="F55" s="273" t="s">
        <v>178</v>
      </c>
      <c r="G55" s="273">
        <f t="shared" si="9"/>
        <v>7</v>
      </c>
      <c r="H55" s="247"/>
    </row>
    <row r="56" spans="1:8">
      <c r="A56" s="268">
        <v>45860</v>
      </c>
      <c r="B56" s="246" t="s">
        <v>14</v>
      </c>
      <c r="C56" s="270">
        <v>10</v>
      </c>
      <c r="D56" s="273" t="str">
        <f t="shared" si="7"/>
        <v>C</v>
      </c>
      <c r="E56" s="273">
        <f t="shared" si="8"/>
        <v>46</v>
      </c>
      <c r="F56" s="273" t="s">
        <v>195</v>
      </c>
      <c r="G56" s="273">
        <f t="shared" si="9"/>
        <v>7</v>
      </c>
      <c r="H56" s="247"/>
    </row>
    <row r="57" spans="1:8">
      <c r="A57" s="268">
        <v>45860</v>
      </c>
      <c r="B57" s="246" t="s">
        <v>13</v>
      </c>
      <c r="C57" s="270">
        <v>84</v>
      </c>
      <c r="D57" s="273" t="str">
        <f t="shared" si="7"/>
        <v>C</v>
      </c>
      <c r="E57" s="273">
        <f t="shared" si="8"/>
        <v>330</v>
      </c>
      <c r="F57" s="273" t="s">
        <v>195</v>
      </c>
      <c r="G57" s="273">
        <f t="shared" si="9"/>
        <v>7</v>
      </c>
      <c r="H57" s="247"/>
    </row>
    <row r="58" spans="1:8">
      <c r="A58" s="268">
        <v>45860</v>
      </c>
      <c r="B58" s="246" t="s">
        <v>203</v>
      </c>
      <c r="C58" s="270">
        <v>2</v>
      </c>
      <c r="D58" s="273" t="str">
        <f t="shared" si="7"/>
        <v>Piece</v>
      </c>
      <c r="E58" s="273">
        <f t="shared" si="8"/>
        <v>342</v>
      </c>
      <c r="F58" s="273" t="s">
        <v>178</v>
      </c>
      <c r="G58" s="273">
        <f t="shared" si="9"/>
        <v>7</v>
      </c>
      <c r="H58" s="247"/>
    </row>
    <row r="59" spans="1:8">
      <c r="A59" s="268">
        <v>45860</v>
      </c>
      <c r="B59" s="246" t="s">
        <v>38</v>
      </c>
      <c r="C59" s="270">
        <v>1</v>
      </c>
      <c r="D59" s="273" t="str">
        <f t="shared" si="7"/>
        <v>Ream</v>
      </c>
      <c r="E59" s="273">
        <f t="shared" si="8"/>
        <v>2521</v>
      </c>
      <c r="F59" s="273" t="s">
        <v>178</v>
      </c>
      <c r="G59" s="273">
        <f t="shared" si="9"/>
        <v>7</v>
      </c>
      <c r="H59" s="247"/>
    </row>
    <row r="60" spans="1:8">
      <c r="A60" s="268">
        <v>45860</v>
      </c>
      <c r="B60" s="246" t="s">
        <v>33</v>
      </c>
      <c r="C60" s="270">
        <v>1</v>
      </c>
      <c r="D60" s="273" t="str">
        <f t="shared" si="7"/>
        <v>Ream</v>
      </c>
      <c r="E60" s="273">
        <f t="shared" si="8"/>
        <v>0</v>
      </c>
      <c r="F60" s="273" t="s">
        <v>178</v>
      </c>
      <c r="G60" s="273">
        <f t="shared" si="9"/>
        <v>7</v>
      </c>
      <c r="H60" s="247"/>
    </row>
    <row r="61" spans="1:8">
      <c r="A61" s="268">
        <v>45860</v>
      </c>
      <c r="B61" s="246" t="s">
        <v>35</v>
      </c>
      <c r="C61" s="270">
        <v>1</v>
      </c>
      <c r="D61" s="273" t="str">
        <f t="shared" si="7"/>
        <v>Ream</v>
      </c>
      <c r="E61" s="273">
        <f t="shared" si="8"/>
        <v>0</v>
      </c>
      <c r="F61" s="273" t="s">
        <v>178</v>
      </c>
      <c r="G61" s="273">
        <f t="shared" si="9"/>
        <v>7</v>
      </c>
      <c r="H61" s="247"/>
    </row>
    <row r="62" spans="1:8">
      <c r="A62" s="268">
        <v>45860</v>
      </c>
      <c r="B62" s="246" t="s">
        <v>36</v>
      </c>
      <c r="C62" s="270">
        <v>1</v>
      </c>
      <c r="D62" s="273" t="str">
        <f t="shared" si="7"/>
        <v>Ream</v>
      </c>
      <c r="E62" s="273">
        <f t="shared" si="8"/>
        <v>0</v>
      </c>
      <c r="F62" s="273" t="s">
        <v>178</v>
      </c>
      <c r="G62" s="273">
        <f t="shared" si="9"/>
        <v>7</v>
      </c>
      <c r="H62" s="247"/>
    </row>
    <row r="63" spans="1:8">
      <c r="A63" s="268">
        <v>45860</v>
      </c>
      <c r="B63" s="246" t="s">
        <v>34</v>
      </c>
      <c r="C63" s="270">
        <v>1</v>
      </c>
      <c r="D63" s="273" t="str">
        <f t="shared" si="7"/>
        <v>Ream</v>
      </c>
      <c r="E63" s="273">
        <f t="shared" si="8"/>
        <v>0</v>
      </c>
      <c r="F63" s="273" t="s">
        <v>178</v>
      </c>
      <c r="G63" s="273">
        <f t="shared" si="9"/>
        <v>7</v>
      </c>
      <c r="H63" s="247"/>
    </row>
    <row r="64" spans="1:8">
      <c r="A64" s="268">
        <v>45860</v>
      </c>
      <c r="B64" s="246" t="s">
        <v>204</v>
      </c>
      <c r="C64" s="270">
        <v>1</v>
      </c>
      <c r="D64" s="273" t="str">
        <f t="shared" si="7"/>
        <v>Ream</v>
      </c>
      <c r="E64" s="273">
        <f t="shared" si="8"/>
        <v>1938</v>
      </c>
      <c r="F64" s="273" t="s">
        <v>178</v>
      </c>
      <c r="G64" s="273">
        <f t="shared" si="9"/>
        <v>7</v>
      </c>
      <c r="H64" s="247"/>
    </row>
    <row r="65" spans="1:8">
      <c r="A65" s="268">
        <v>45860</v>
      </c>
      <c r="B65" s="246" t="s">
        <v>205</v>
      </c>
      <c r="C65" s="270">
        <v>1</v>
      </c>
      <c r="D65" s="273" t="str">
        <f t="shared" si="7"/>
        <v>Ream</v>
      </c>
      <c r="E65" s="273">
        <f t="shared" si="8"/>
        <v>1939</v>
      </c>
      <c r="F65" s="273" t="s">
        <v>178</v>
      </c>
      <c r="G65" s="273">
        <f t="shared" si="9"/>
        <v>7</v>
      </c>
      <c r="H65" s="247"/>
    </row>
    <row r="66" spans="1:8">
      <c r="A66" s="268">
        <v>45860</v>
      </c>
      <c r="B66" s="246" t="s">
        <v>206</v>
      </c>
      <c r="C66" s="270">
        <v>1</v>
      </c>
      <c r="D66" s="273" t="str">
        <f t="shared" si="7"/>
        <v>Ream</v>
      </c>
      <c r="E66" s="273">
        <f t="shared" si="8"/>
        <v>1544</v>
      </c>
      <c r="F66" s="273" t="s">
        <v>178</v>
      </c>
      <c r="G66" s="273">
        <f t="shared" si="9"/>
        <v>7</v>
      </c>
      <c r="H66" s="247"/>
    </row>
    <row r="67" spans="1:8">
      <c r="A67" s="268">
        <v>45860</v>
      </c>
      <c r="B67" s="246" t="s">
        <v>39</v>
      </c>
      <c r="C67" s="270">
        <v>1</v>
      </c>
      <c r="D67" s="273" t="str">
        <f t="shared" si="7"/>
        <v>Ream</v>
      </c>
      <c r="E67" s="273">
        <f t="shared" si="8"/>
        <v>2576</v>
      </c>
      <c r="F67" s="273" t="s">
        <v>178</v>
      </c>
      <c r="G67" s="273">
        <f t="shared" si="9"/>
        <v>7</v>
      </c>
      <c r="H67" s="247"/>
    </row>
    <row r="68" spans="1:8">
      <c r="A68" s="268">
        <v>45883</v>
      </c>
      <c r="B68" s="246" t="s">
        <v>10</v>
      </c>
      <c r="C68" s="270">
        <v>1</v>
      </c>
      <c r="D68" s="273" t="str">
        <f t="shared" si="7"/>
        <v>Ream</v>
      </c>
      <c r="E68" s="273">
        <f t="shared" si="8"/>
        <v>2276</v>
      </c>
      <c r="F68" s="273" t="s">
        <v>177</v>
      </c>
      <c r="G68" s="273">
        <f t="shared" si="9"/>
        <v>8</v>
      </c>
      <c r="H68" s="247"/>
    </row>
    <row r="69" spans="1:8">
      <c r="A69" s="268">
        <v>45883</v>
      </c>
      <c r="B69" s="246" t="s">
        <v>12</v>
      </c>
      <c r="C69" s="270">
        <v>1</v>
      </c>
      <c r="D69" s="273" t="str">
        <f t="shared" si="7"/>
        <v>Ream</v>
      </c>
      <c r="E69" s="273">
        <f t="shared" si="8"/>
        <v>2067</v>
      </c>
      <c r="F69" s="273" t="s">
        <v>177</v>
      </c>
      <c r="G69" s="273">
        <f t="shared" si="9"/>
        <v>8</v>
      </c>
      <c r="H69" s="247"/>
    </row>
    <row r="70" spans="1:8">
      <c r="A70" s="268">
        <v>45883</v>
      </c>
      <c r="B70" s="246" t="s">
        <v>63</v>
      </c>
      <c r="C70" s="270">
        <v>3</v>
      </c>
      <c r="D70" s="273" t="str">
        <f t="shared" si="7"/>
        <v>Bottle</v>
      </c>
      <c r="E70" s="273">
        <f t="shared" si="8"/>
        <v>2618</v>
      </c>
      <c r="F70" s="273" t="s">
        <v>177</v>
      </c>
      <c r="G70" s="273">
        <f t="shared" si="9"/>
        <v>8</v>
      </c>
      <c r="H70" s="247"/>
    </row>
    <row r="71" spans="1:8">
      <c r="A71" s="268">
        <v>45883</v>
      </c>
      <c r="B71" s="246" t="s">
        <v>30</v>
      </c>
      <c r="C71" s="270">
        <v>1</v>
      </c>
      <c r="D71" s="273" t="str">
        <f t="shared" si="7"/>
        <v>Box</v>
      </c>
      <c r="E71" s="273">
        <f t="shared" si="8"/>
        <v>310</v>
      </c>
      <c r="F71" s="273" t="s">
        <v>195</v>
      </c>
      <c r="G71" s="273">
        <f t="shared" si="9"/>
        <v>8</v>
      </c>
      <c r="H71" s="247"/>
    </row>
    <row r="72" spans="1:8">
      <c r="A72" s="268">
        <v>45883</v>
      </c>
      <c r="B72" s="246" t="s">
        <v>19</v>
      </c>
      <c r="C72" s="270">
        <v>1</v>
      </c>
      <c r="D72" s="273" t="str">
        <f t="shared" si="7"/>
        <v>Roll</v>
      </c>
      <c r="E72" s="273">
        <f t="shared" si="8"/>
        <v>300</v>
      </c>
      <c r="F72" s="273" t="s">
        <v>177</v>
      </c>
      <c r="G72" s="273">
        <f t="shared" si="9"/>
        <v>8</v>
      </c>
      <c r="H72" s="247"/>
    </row>
    <row r="73" spans="1:8">
      <c r="A73" s="268">
        <v>45883</v>
      </c>
      <c r="B73" s="246" t="s">
        <v>15</v>
      </c>
      <c r="C73" s="270">
        <v>2</v>
      </c>
      <c r="D73" s="273" t="str">
        <f t="shared" si="7"/>
        <v>Roll</v>
      </c>
      <c r="E73" s="273">
        <f t="shared" si="8"/>
        <v>301</v>
      </c>
      <c r="F73" s="273" t="s">
        <v>195</v>
      </c>
      <c r="G73" s="273">
        <f t="shared" si="9"/>
        <v>8</v>
      </c>
      <c r="H73" s="247"/>
    </row>
    <row r="74" spans="1:8">
      <c r="A74" s="268">
        <v>45889</v>
      </c>
      <c r="B74" s="246" t="s">
        <v>10</v>
      </c>
      <c r="C74" s="270">
        <v>2</v>
      </c>
      <c r="D74" s="273" t="str">
        <f t="shared" si="7"/>
        <v>Ream</v>
      </c>
      <c r="E74" s="273">
        <f t="shared" si="8"/>
        <v>2276</v>
      </c>
      <c r="F74" s="273" t="s">
        <v>177</v>
      </c>
      <c r="G74" s="273">
        <f t="shared" si="9"/>
        <v>8</v>
      </c>
      <c r="H74" s="247"/>
    </row>
    <row r="75" spans="1:8">
      <c r="A75" s="268">
        <v>45896</v>
      </c>
      <c r="B75" s="246" t="s">
        <v>10</v>
      </c>
      <c r="C75" s="270">
        <v>2</v>
      </c>
      <c r="D75" s="273" t="str">
        <f t="shared" si="7"/>
        <v>Ream</v>
      </c>
      <c r="E75" s="273">
        <f t="shared" si="8"/>
        <v>2276</v>
      </c>
      <c r="F75" s="273" t="s">
        <v>177</v>
      </c>
      <c r="G75" s="273">
        <f t="shared" si="9"/>
        <v>8</v>
      </c>
      <c r="H75" s="247"/>
    </row>
    <row r="76" spans="1:8">
      <c r="A76" s="268">
        <v>45911</v>
      </c>
      <c r="B76" s="246" t="s">
        <v>63</v>
      </c>
      <c r="C76" s="270">
        <v>3</v>
      </c>
      <c r="D76" s="273" t="str">
        <f t="shared" si="7"/>
        <v>Bottle</v>
      </c>
      <c r="E76" s="273">
        <f t="shared" si="8"/>
        <v>2618</v>
      </c>
      <c r="F76" s="273" t="s">
        <v>178</v>
      </c>
      <c r="G76" s="273">
        <f t="shared" si="9"/>
        <v>9</v>
      </c>
      <c r="H76" s="247"/>
    </row>
    <row r="77" spans="1:8">
      <c r="A77" s="268">
        <v>45911</v>
      </c>
      <c r="B77" s="246" t="s">
        <v>12</v>
      </c>
      <c r="C77" s="270">
        <v>1</v>
      </c>
      <c r="D77" s="273" t="str">
        <f t="shared" si="7"/>
        <v>Ream</v>
      </c>
      <c r="E77" s="273">
        <f t="shared" si="8"/>
        <v>2067</v>
      </c>
      <c r="F77" s="273" t="s">
        <v>177</v>
      </c>
      <c r="G77" s="273">
        <f t="shared" si="9"/>
        <v>9</v>
      </c>
      <c r="H77" s="247"/>
    </row>
    <row r="78" spans="1:8">
      <c r="A78" s="268">
        <v>45911</v>
      </c>
      <c r="B78" s="246" t="s">
        <v>14</v>
      </c>
      <c r="C78" s="270">
        <v>10</v>
      </c>
      <c r="D78" s="273" t="str">
        <f t="shared" si="7"/>
        <v>C</v>
      </c>
      <c r="E78" s="273">
        <f t="shared" si="8"/>
        <v>46</v>
      </c>
      <c r="F78" s="273" t="s">
        <v>195</v>
      </c>
      <c r="G78" s="273">
        <f t="shared" si="9"/>
        <v>9</v>
      </c>
      <c r="H78" s="247"/>
    </row>
    <row r="79" spans="1:8">
      <c r="A79" s="268">
        <v>45919</v>
      </c>
      <c r="B79" s="246" t="s">
        <v>10</v>
      </c>
      <c r="C79" s="270">
        <v>3</v>
      </c>
      <c r="D79" s="273" t="str">
        <f t="shared" si="7"/>
        <v>Ream</v>
      </c>
      <c r="E79" s="273">
        <f t="shared" si="8"/>
        <v>2276</v>
      </c>
      <c r="F79" s="273" t="s">
        <v>177</v>
      </c>
      <c r="G79" s="273">
        <f t="shared" si="9"/>
        <v>9</v>
      </c>
      <c r="H79" s="247"/>
    </row>
    <row r="80" spans="1:8">
      <c r="A80" s="268">
        <v>45919</v>
      </c>
      <c r="B80" s="246" t="s">
        <v>33</v>
      </c>
      <c r="C80" s="270">
        <v>1</v>
      </c>
      <c r="D80" s="273" t="str">
        <f t="shared" si="7"/>
        <v>Ream</v>
      </c>
      <c r="E80" s="273">
        <f t="shared" si="8"/>
        <v>0</v>
      </c>
      <c r="F80" s="273" t="s">
        <v>178</v>
      </c>
      <c r="G80" s="273">
        <f t="shared" si="9"/>
        <v>9</v>
      </c>
      <c r="H80" s="247"/>
    </row>
    <row r="81" spans="1:8">
      <c r="A81" s="268">
        <v>45924</v>
      </c>
      <c r="B81" s="246" t="s">
        <v>10</v>
      </c>
      <c r="C81" s="270">
        <v>1</v>
      </c>
      <c r="D81" s="273" t="str">
        <f t="shared" si="7"/>
        <v>Ream</v>
      </c>
      <c r="E81" s="273">
        <f t="shared" si="8"/>
        <v>2276</v>
      </c>
      <c r="F81" s="273" t="s">
        <v>177</v>
      </c>
      <c r="G81" s="273">
        <f t="shared" si="9"/>
        <v>9</v>
      </c>
      <c r="H81" s="247"/>
    </row>
    <row r="82" spans="1:8">
      <c r="A82" s="268">
        <v>45924</v>
      </c>
      <c r="B82" s="246" t="s">
        <v>10</v>
      </c>
      <c r="C82" s="270">
        <v>15</v>
      </c>
      <c r="D82" s="273" t="str">
        <f t="shared" si="7"/>
        <v>Ream</v>
      </c>
      <c r="E82" s="273">
        <f t="shared" si="8"/>
        <v>2276</v>
      </c>
      <c r="F82" s="273" t="s">
        <v>180</v>
      </c>
      <c r="G82" s="273">
        <f t="shared" si="9"/>
        <v>9</v>
      </c>
      <c r="H82" s="247"/>
    </row>
    <row r="83" spans="1:8">
      <c r="A83" s="268">
        <v>45924</v>
      </c>
      <c r="B83" s="246" t="s">
        <v>12</v>
      </c>
      <c r="C83" s="270">
        <v>5</v>
      </c>
      <c r="D83" s="273" t="str">
        <f t="shared" si="7"/>
        <v>Ream</v>
      </c>
      <c r="E83" s="273">
        <f t="shared" si="8"/>
        <v>2067</v>
      </c>
      <c r="F83" s="273" t="s">
        <v>180</v>
      </c>
      <c r="G83" s="273">
        <f t="shared" si="9"/>
        <v>9</v>
      </c>
      <c r="H83" s="247"/>
    </row>
    <row r="84" spans="1:8">
      <c r="A84" s="268">
        <v>45924</v>
      </c>
      <c r="B84" s="246" t="s">
        <v>207</v>
      </c>
      <c r="C84" s="270">
        <v>15</v>
      </c>
      <c r="D84" s="273" t="str">
        <f t="shared" si="7"/>
        <v>-</v>
      </c>
      <c r="E84" s="273" t="str">
        <f t="shared" si="8"/>
        <v>-</v>
      </c>
      <c r="F84" s="273" t="s">
        <v>180</v>
      </c>
      <c r="G84" s="273">
        <f t="shared" si="9"/>
        <v>9</v>
      </c>
      <c r="H84" s="247"/>
    </row>
    <row r="85" spans="1:8">
      <c r="A85" s="268">
        <v>45924</v>
      </c>
      <c r="B85" s="246" t="s">
        <v>37</v>
      </c>
      <c r="C85" s="270">
        <v>1</v>
      </c>
      <c r="D85" s="273" t="str">
        <f t="shared" ref="D85:D107" si="10">IFERROR(VLOOKUP(B85,SUPPLY2,3,0),"-")</f>
        <v>Piece</v>
      </c>
      <c r="E85" s="273">
        <f t="shared" ref="E85:E107" si="11">IFERROR(VLOOKUP(B85,SUPPLY2,4,0),"-")</f>
        <v>0</v>
      </c>
      <c r="F85" s="273" t="s">
        <v>180</v>
      </c>
      <c r="G85" s="273">
        <f t="shared" ref="G85:G107" si="12">IFERROR(VLOOKUP(A85,YEAR2023,2,0),"-")</f>
        <v>9</v>
      </c>
      <c r="H85" s="247"/>
    </row>
    <row r="86" spans="1:8">
      <c r="A86" s="268">
        <v>45924</v>
      </c>
      <c r="B86" s="246" t="s">
        <v>207</v>
      </c>
      <c r="C86" s="270">
        <v>15</v>
      </c>
      <c r="D86" s="273" t="str">
        <f t="shared" si="10"/>
        <v>-</v>
      </c>
      <c r="E86" s="273" t="str">
        <f t="shared" si="11"/>
        <v>-</v>
      </c>
      <c r="F86" s="273" t="s">
        <v>208</v>
      </c>
      <c r="G86" s="273">
        <f t="shared" si="12"/>
        <v>9</v>
      </c>
      <c r="H86" s="247"/>
    </row>
    <row r="87" spans="1:8">
      <c r="A87" s="268">
        <v>45924</v>
      </c>
      <c r="B87" s="246" t="s">
        <v>36</v>
      </c>
      <c r="C87" s="270">
        <v>1</v>
      </c>
      <c r="D87" s="273" t="str">
        <f t="shared" si="10"/>
        <v>Ream</v>
      </c>
      <c r="E87" s="273">
        <f t="shared" si="11"/>
        <v>0</v>
      </c>
      <c r="F87" s="273" t="s">
        <v>180</v>
      </c>
      <c r="G87" s="273">
        <f t="shared" si="12"/>
        <v>9</v>
      </c>
      <c r="H87" s="247"/>
    </row>
    <row r="88" spans="1:8">
      <c r="A88" s="268">
        <v>45924</v>
      </c>
      <c r="B88" s="246" t="s">
        <v>34</v>
      </c>
      <c r="C88" s="270">
        <v>1</v>
      </c>
      <c r="D88" s="273" t="str">
        <f t="shared" si="10"/>
        <v>Ream</v>
      </c>
      <c r="E88" s="273">
        <f t="shared" si="11"/>
        <v>0</v>
      </c>
      <c r="F88" s="273" t="s">
        <v>180</v>
      </c>
      <c r="G88" s="273">
        <f t="shared" si="12"/>
        <v>9</v>
      </c>
      <c r="H88" s="247"/>
    </row>
    <row r="89" spans="1:8">
      <c r="A89" s="268">
        <v>45924</v>
      </c>
      <c r="B89" s="246" t="s">
        <v>34</v>
      </c>
      <c r="C89" s="270">
        <v>1</v>
      </c>
      <c r="D89" s="273" t="str">
        <f t="shared" si="10"/>
        <v>Ream</v>
      </c>
      <c r="E89" s="273">
        <f t="shared" si="11"/>
        <v>0</v>
      </c>
      <c r="F89" s="273" t="s">
        <v>208</v>
      </c>
      <c r="G89" s="273">
        <f t="shared" si="12"/>
        <v>9</v>
      </c>
      <c r="H89" s="247"/>
    </row>
    <row r="90" spans="1:8">
      <c r="A90" s="268">
        <v>45924</v>
      </c>
      <c r="B90" s="246" t="s">
        <v>37</v>
      </c>
      <c r="C90" s="270">
        <v>1</v>
      </c>
      <c r="D90" s="273" t="str">
        <f t="shared" si="10"/>
        <v>Piece</v>
      </c>
      <c r="E90" s="273">
        <f t="shared" si="11"/>
        <v>0</v>
      </c>
      <c r="F90" s="273" t="s">
        <v>208</v>
      </c>
      <c r="G90" s="273">
        <f t="shared" si="12"/>
        <v>9</v>
      </c>
      <c r="H90" s="247"/>
    </row>
    <row r="91" spans="1:8">
      <c r="A91" s="268">
        <v>45938</v>
      </c>
      <c r="B91" s="246" t="s">
        <v>33</v>
      </c>
      <c r="C91" s="270">
        <v>1</v>
      </c>
      <c r="D91" s="273" t="str">
        <f t="shared" si="10"/>
        <v>Ream</v>
      </c>
      <c r="E91" s="273">
        <f t="shared" si="11"/>
        <v>0</v>
      </c>
      <c r="F91" s="273" t="s">
        <v>178</v>
      </c>
      <c r="G91" s="273">
        <f t="shared" si="12"/>
        <v>10</v>
      </c>
      <c r="H91" s="247"/>
    </row>
    <row r="92" spans="1:8">
      <c r="A92" s="268">
        <v>45938</v>
      </c>
      <c r="B92" s="246" t="s">
        <v>34</v>
      </c>
      <c r="C92" s="270">
        <v>1</v>
      </c>
      <c r="D92" s="273" t="str">
        <f t="shared" si="10"/>
        <v>Ream</v>
      </c>
      <c r="E92" s="273">
        <f t="shared" si="11"/>
        <v>0</v>
      </c>
      <c r="F92" s="273" t="s">
        <v>178</v>
      </c>
      <c r="G92" s="273">
        <f t="shared" si="12"/>
        <v>10</v>
      </c>
      <c r="H92" s="247"/>
    </row>
    <row r="93" spans="1:8">
      <c r="A93" s="268">
        <v>45938</v>
      </c>
      <c r="B93" s="246" t="s">
        <v>36</v>
      </c>
      <c r="C93" s="270">
        <v>1</v>
      </c>
      <c r="D93" s="273" t="str">
        <f t="shared" si="10"/>
        <v>Ream</v>
      </c>
      <c r="E93" s="273">
        <f t="shared" si="11"/>
        <v>0</v>
      </c>
      <c r="F93" s="273" t="s">
        <v>178</v>
      </c>
      <c r="G93" s="273">
        <f t="shared" si="12"/>
        <v>10</v>
      </c>
      <c r="H93" s="247"/>
    </row>
    <row r="94" spans="1:8">
      <c r="A94" s="268">
        <v>45938</v>
      </c>
      <c r="B94" s="246" t="s">
        <v>10</v>
      </c>
      <c r="C94" s="270">
        <v>2</v>
      </c>
      <c r="D94" s="273" t="str">
        <f t="shared" si="10"/>
        <v>Ream</v>
      </c>
      <c r="E94" s="273">
        <f t="shared" si="11"/>
        <v>2276</v>
      </c>
      <c r="F94" s="273" t="s">
        <v>177</v>
      </c>
      <c r="G94" s="273">
        <f t="shared" si="12"/>
        <v>10</v>
      </c>
      <c r="H94" s="247"/>
    </row>
    <row r="95" spans="1:8">
      <c r="A95" s="268">
        <v>45938</v>
      </c>
      <c r="B95" s="246" t="s">
        <v>38</v>
      </c>
      <c r="C95" s="270">
        <v>1</v>
      </c>
      <c r="D95" s="273" t="str">
        <f t="shared" si="10"/>
        <v>Ream</v>
      </c>
      <c r="E95" s="273">
        <f t="shared" si="11"/>
        <v>2521</v>
      </c>
      <c r="F95" s="273" t="s">
        <v>178</v>
      </c>
      <c r="G95" s="273">
        <f t="shared" si="12"/>
        <v>10</v>
      </c>
      <c r="H95" s="247"/>
    </row>
    <row r="96" spans="1:8">
      <c r="A96" s="268">
        <v>45938</v>
      </c>
      <c r="B96" s="246" t="s">
        <v>63</v>
      </c>
      <c r="C96" s="270">
        <v>1</v>
      </c>
      <c r="D96" s="273" t="str">
        <f t="shared" si="10"/>
        <v>Bottle</v>
      </c>
      <c r="E96" s="273">
        <f t="shared" si="11"/>
        <v>2618</v>
      </c>
      <c r="F96" s="273" t="s">
        <v>178</v>
      </c>
      <c r="G96" s="273">
        <f t="shared" si="12"/>
        <v>10</v>
      </c>
      <c r="H96" s="247"/>
    </row>
    <row r="97" spans="1:8">
      <c r="A97" s="268">
        <v>45944</v>
      </c>
      <c r="B97" s="246" t="s">
        <v>30</v>
      </c>
      <c r="C97" s="270">
        <v>1</v>
      </c>
      <c r="D97" s="273" t="str">
        <f t="shared" si="10"/>
        <v>Box</v>
      </c>
      <c r="E97" s="273">
        <f t="shared" si="11"/>
        <v>310</v>
      </c>
      <c r="F97" s="273" t="s">
        <v>178</v>
      </c>
      <c r="G97" s="273">
        <f t="shared" si="12"/>
        <v>10</v>
      </c>
      <c r="H97" s="247"/>
    </row>
    <row r="98" spans="1:8">
      <c r="A98" s="268">
        <v>45944</v>
      </c>
      <c r="B98" s="246" t="s">
        <v>15</v>
      </c>
      <c r="C98" s="270">
        <v>1</v>
      </c>
      <c r="D98" s="273" t="str">
        <f t="shared" si="10"/>
        <v>Roll</v>
      </c>
      <c r="E98" s="273">
        <f t="shared" si="11"/>
        <v>301</v>
      </c>
      <c r="F98" s="273" t="s">
        <v>178</v>
      </c>
      <c r="G98" s="273">
        <f t="shared" si="12"/>
        <v>10</v>
      </c>
      <c r="H98" s="247"/>
    </row>
    <row r="99" spans="1:8">
      <c r="A99" s="268">
        <v>45944</v>
      </c>
      <c r="B99" s="246" t="s">
        <v>22</v>
      </c>
      <c r="C99" s="270">
        <v>4</v>
      </c>
      <c r="D99" s="273" t="str">
        <f t="shared" si="10"/>
        <v>Roll</v>
      </c>
      <c r="E99" s="273">
        <f t="shared" si="11"/>
        <v>281</v>
      </c>
      <c r="F99" s="273" t="s">
        <v>177</v>
      </c>
      <c r="G99" s="273">
        <f t="shared" si="12"/>
        <v>10</v>
      </c>
      <c r="H99" s="247"/>
    </row>
    <row r="100" spans="1:8">
      <c r="A100" s="268">
        <v>45944</v>
      </c>
      <c r="B100" s="246" t="s">
        <v>63</v>
      </c>
      <c r="C100" s="270">
        <v>3</v>
      </c>
      <c r="D100" s="273" t="str">
        <f t="shared" si="10"/>
        <v>Bottle</v>
      </c>
      <c r="E100" s="273">
        <f t="shared" si="11"/>
        <v>2618</v>
      </c>
      <c r="F100" s="273" t="s">
        <v>177</v>
      </c>
      <c r="G100" s="273">
        <f t="shared" si="12"/>
        <v>10</v>
      </c>
      <c r="H100" s="247"/>
    </row>
    <row r="101" spans="1:8">
      <c r="A101" s="268">
        <v>45950</v>
      </c>
      <c r="B101" s="246" t="s">
        <v>10</v>
      </c>
      <c r="C101" s="270">
        <v>2</v>
      </c>
      <c r="D101" s="273" t="str">
        <f t="shared" si="10"/>
        <v>Ream</v>
      </c>
      <c r="E101" s="273">
        <f t="shared" si="11"/>
        <v>2276</v>
      </c>
      <c r="F101" s="273" t="s">
        <v>177</v>
      </c>
      <c r="G101" s="273">
        <f t="shared" si="12"/>
        <v>10</v>
      </c>
      <c r="H101" s="247"/>
    </row>
    <row r="102" spans="1:8">
      <c r="A102" s="268">
        <v>45950</v>
      </c>
      <c r="B102" s="246" t="s">
        <v>12</v>
      </c>
      <c r="C102" s="270">
        <v>5</v>
      </c>
      <c r="D102" s="273" t="str">
        <f t="shared" si="10"/>
        <v>Ream</v>
      </c>
      <c r="E102" s="273">
        <f t="shared" si="11"/>
        <v>2067</v>
      </c>
      <c r="F102" s="273" t="s">
        <v>177</v>
      </c>
      <c r="G102" s="273">
        <f t="shared" si="12"/>
        <v>10</v>
      </c>
      <c r="H102" s="247"/>
    </row>
    <row r="103" spans="1:8">
      <c r="A103" s="268">
        <v>45958</v>
      </c>
      <c r="B103" s="246" t="s">
        <v>10</v>
      </c>
      <c r="C103" s="270">
        <v>15</v>
      </c>
      <c r="D103" s="273" t="str">
        <f t="shared" si="10"/>
        <v>Ream</v>
      </c>
      <c r="E103" s="273">
        <f t="shared" si="11"/>
        <v>2276</v>
      </c>
      <c r="F103" s="273" t="s">
        <v>177</v>
      </c>
      <c r="G103" s="273">
        <f t="shared" si="12"/>
        <v>10</v>
      </c>
      <c r="H103" s="247"/>
    </row>
    <row r="104" spans="1:8">
      <c r="A104" s="268">
        <v>45958</v>
      </c>
      <c r="B104" s="246" t="s">
        <v>13</v>
      </c>
      <c r="C104" s="270">
        <v>15</v>
      </c>
      <c r="D104" s="273" t="str">
        <f t="shared" si="10"/>
        <v>C</v>
      </c>
      <c r="E104" s="273">
        <f t="shared" si="11"/>
        <v>330</v>
      </c>
      <c r="F104" s="273" t="s">
        <v>178</v>
      </c>
      <c r="G104" s="273">
        <f t="shared" si="12"/>
        <v>10</v>
      </c>
      <c r="H104" s="247"/>
    </row>
    <row r="105" spans="1:8">
      <c r="A105" s="268">
        <v>45958</v>
      </c>
      <c r="B105" s="246" t="s">
        <v>14</v>
      </c>
      <c r="C105" s="270">
        <v>20</v>
      </c>
      <c r="D105" s="273" t="str">
        <f t="shared" si="10"/>
        <v>C</v>
      </c>
      <c r="E105" s="273">
        <f t="shared" si="11"/>
        <v>46</v>
      </c>
      <c r="F105" s="273" t="s">
        <v>195</v>
      </c>
      <c r="G105" s="273">
        <f t="shared" si="12"/>
        <v>10</v>
      </c>
      <c r="H105" s="247"/>
    </row>
    <row r="106" spans="1:8">
      <c r="A106" s="268">
        <v>45960</v>
      </c>
      <c r="B106" s="246" t="s">
        <v>14</v>
      </c>
      <c r="C106" s="270">
        <v>10</v>
      </c>
      <c r="D106" s="273" t="str">
        <f t="shared" si="10"/>
        <v>C</v>
      </c>
      <c r="E106" s="273">
        <f t="shared" si="11"/>
        <v>46</v>
      </c>
      <c r="F106" s="273" t="s">
        <v>178</v>
      </c>
      <c r="G106" s="273">
        <f t="shared" si="12"/>
        <v>10</v>
      </c>
      <c r="H106" s="247"/>
    </row>
    <row r="107" spans="1:8">
      <c r="A107" s="268">
        <v>45964</v>
      </c>
      <c r="B107" s="246" t="s">
        <v>10</v>
      </c>
      <c r="C107" s="270">
        <v>2</v>
      </c>
      <c r="D107" s="273" t="str">
        <f t="shared" si="10"/>
        <v>Ream</v>
      </c>
      <c r="E107" s="273">
        <f t="shared" si="11"/>
        <v>2276</v>
      </c>
      <c r="F107" s="273" t="s">
        <v>177</v>
      </c>
      <c r="G107" s="273">
        <f t="shared" si="12"/>
        <v>11</v>
      </c>
      <c r="H107" s="247"/>
    </row>
    <row r="108" spans="1:8">
      <c r="A108" s="268">
        <v>45964</v>
      </c>
      <c r="B108" s="246" t="s">
        <v>63</v>
      </c>
      <c r="C108" s="270">
        <v>4</v>
      </c>
      <c r="D108" s="273" t="str">
        <f>IFERROR(VLOOKUP(B108,SUPPLY2,3,0),"-")</f>
        <v>Bottle</v>
      </c>
      <c r="E108" s="273">
        <f t="shared" ref="E108:E171" si="13">IFERROR(VLOOKUP(B108,SUPPLY2,4,0),"-")</f>
        <v>2618</v>
      </c>
      <c r="F108" s="273" t="s">
        <v>177</v>
      </c>
      <c r="G108" s="273">
        <f t="shared" ref="G108:G139" si="14">IFERROR(VLOOKUP(A108,YEAR2023,2,0),"-")</f>
        <v>11</v>
      </c>
      <c r="H108" s="247"/>
    </row>
    <row r="109" spans="1:8">
      <c r="A109" s="268">
        <v>45964</v>
      </c>
      <c r="B109" s="246" t="s">
        <v>60</v>
      </c>
      <c r="C109" s="270">
        <v>6</v>
      </c>
      <c r="D109" s="273" t="str">
        <f>IFERROR(VLOOKUP(B109,SUPPLY2,3,0),"-")</f>
        <v>Ream</v>
      </c>
      <c r="E109" s="273">
        <f t="shared" si="13"/>
        <v>1976</v>
      </c>
      <c r="F109" s="273" t="s">
        <v>178</v>
      </c>
      <c r="G109" s="273">
        <f t="shared" si="14"/>
        <v>11</v>
      </c>
      <c r="H109" s="247"/>
    </row>
    <row r="110" spans="1:8">
      <c r="A110" s="268">
        <v>45964</v>
      </c>
      <c r="B110" s="246" t="s">
        <v>38</v>
      </c>
      <c r="C110" s="270">
        <v>50</v>
      </c>
      <c r="D110" s="273" t="str">
        <f>IFERROR(VLOOKUP(B110,SUPPLY2,3,0),"-")</f>
        <v>Ream</v>
      </c>
      <c r="E110" s="273">
        <f t="shared" si="13"/>
        <v>2521</v>
      </c>
      <c r="F110" s="273" t="s">
        <v>178</v>
      </c>
      <c r="G110" s="273">
        <f t="shared" si="14"/>
        <v>11</v>
      </c>
      <c r="H110" s="247"/>
    </row>
    <row r="111" spans="1:8">
      <c r="A111" s="268">
        <v>45964</v>
      </c>
      <c r="B111" s="246" t="s">
        <v>70</v>
      </c>
      <c r="C111" s="270">
        <v>4</v>
      </c>
      <c r="D111" s="273" t="str">
        <f>IFERROR(VLOOKUP(B111,SUPPLY2,3,0),"-")</f>
        <v>Roll</v>
      </c>
      <c r="E111" s="273">
        <f t="shared" si="13"/>
        <v>2629</v>
      </c>
      <c r="F111" s="273" t="s">
        <v>178</v>
      </c>
      <c r="G111" s="273">
        <f t="shared" si="14"/>
        <v>11</v>
      </c>
      <c r="H111" s="247"/>
    </row>
    <row r="112" spans="1:8">
      <c r="A112" s="268">
        <v>45964</v>
      </c>
      <c r="B112" s="246" t="s">
        <v>207</v>
      </c>
      <c r="C112" s="270">
        <v>10</v>
      </c>
      <c r="D112" s="273" t="str">
        <f>IFERROR(VLOOKUP(B112,SUPPLY2,3,0),"-")</f>
        <v>-</v>
      </c>
      <c r="E112" s="273" t="str">
        <f t="shared" si="13"/>
        <v>-</v>
      </c>
      <c r="F112" s="273" t="s">
        <v>178</v>
      </c>
      <c r="G112" s="273">
        <f t="shared" si="14"/>
        <v>11</v>
      </c>
      <c r="H112" s="247"/>
    </row>
    <row r="113" spans="1:8">
      <c r="A113" s="268">
        <v>45966</v>
      </c>
      <c r="B113" s="246" t="s">
        <v>207</v>
      </c>
      <c r="C113" s="270">
        <v>100</v>
      </c>
      <c r="D113" s="273" t="s">
        <v>209</v>
      </c>
      <c r="E113" s="273" t="str">
        <f t="shared" si="13"/>
        <v>-</v>
      </c>
      <c r="F113" s="273" t="s">
        <v>178</v>
      </c>
      <c r="G113" s="273">
        <f t="shared" si="14"/>
        <v>11</v>
      </c>
      <c r="H113" s="247"/>
    </row>
    <row r="114" spans="1:8">
      <c r="A114" s="268">
        <v>45966</v>
      </c>
      <c r="B114" s="246" t="s">
        <v>10</v>
      </c>
      <c r="C114" s="270">
        <v>2</v>
      </c>
      <c r="D114" s="273" t="str">
        <f t="shared" ref="D114:D120" si="15">IFERROR(VLOOKUP(B114,SUPPLY2,3,0),"-")</f>
        <v>Ream</v>
      </c>
      <c r="E114" s="273">
        <f t="shared" si="13"/>
        <v>2276</v>
      </c>
      <c r="F114" s="273" t="s">
        <v>177</v>
      </c>
      <c r="G114" s="273">
        <f t="shared" si="14"/>
        <v>11</v>
      </c>
      <c r="H114" s="247"/>
    </row>
    <row r="115" spans="1:8">
      <c r="A115" s="268">
        <v>45968</v>
      </c>
      <c r="B115" s="246" t="s">
        <v>70</v>
      </c>
      <c r="C115" s="270">
        <v>4</v>
      </c>
      <c r="D115" s="273" t="str">
        <f t="shared" si="15"/>
        <v>Roll</v>
      </c>
      <c r="E115" s="273">
        <f t="shared" si="13"/>
        <v>2629</v>
      </c>
      <c r="F115" s="273" t="s">
        <v>178</v>
      </c>
      <c r="G115" s="273">
        <f t="shared" si="14"/>
        <v>11</v>
      </c>
      <c r="H115" s="247"/>
    </row>
    <row r="116" spans="1:8">
      <c r="A116" s="268">
        <v>45971</v>
      </c>
      <c r="B116" s="246" t="s">
        <v>10</v>
      </c>
      <c r="C116" s="270">
        <v>2</v>
      </c>
      <c r="D116" s="273" t="str">
        <f t="shared" si="15"/>
        <v>Ream</v>
      </c>
      <c r="E116" s="273">
        <f t="shared" si="13"/>
        <v>2276</v>
      </c>
      <c r="F116" s="273" t="s">
        <v>177</v>
      </c>
      <c r="G116" s="273">
        <f t="shared" si="14"/>
        <v>11</v>
      </c>
      <c r="H116" s="247"/>
    </row>
    <row r="117" spans="1:8">
      <c r="A117" s="268">
        <v>45971</v>
      </c>
      <c r="B117" s="246" t="s">
        <v>33</v>
      </c>
      <c r="C117" s="270">
        <v>100</v>
      </c>
      <c r="D117" s="273" t="str">
        <f t="shared" si="15"/>
        <v>Ream</v>
      </c>
      <c r="E117" s="273">
        <f t="shared" si="13"/>
        <v>0</v>
      </c>
      <c r="F117" s="273" t="s">
        <v>178</v>
      </c>
      <c r="G117" s="273">
        <f t="shared" si="14"/>
        <v>11</v>
      </c>
      <c r="H117" s="247"/>
    </row>
    <row r="118" spans="1:8">
      <c r="A118" s="268">
        <v>45971</v>
      </c>
      <c r="B118" s="246" t="s">
        <v>23</v>
      </c>
      <c r="C118" s="270">
        <v>1</v>
      </c>
      <c r="D118" s="273" t="str">
        <f t="shared" si="15"/>
        <v>Piece</v>
      </c>
      <c r="E118" s="273">
        <f t="shared" si="13"/>
        <v>0</v>
      </c>
      <c r="F118" s="273" t="s">
        <v>210</v>
      </c>
      <c r="G118" s="273">
        <f t="shared" si="14"/>
        <v>11</v>
      </c>
      <c r="H118" s="247"/>
    </row>
    <row r="119" spans="1:8">
      <c r="A119" s="268">
        <v>45971</v>
      </c>
      <c r="B119" s="246" t="s">
        <v>13</v>
      </c>
      <c r="C119" s="270">
        <v>10</v>
      </c>
      <c r="D119" s="273" t="str">
        <f t="shared" si="15"/>
        <v>C</v>
      </c>
      <c r="E119" s="273">
        <f t="shared" si="13"/>
        <v>330</v>
      </c>
      <c r="F119" s="273" t="s">
        <v>195</v>
      </c>
      <c r="G119" s="273">
        <f t="shared" si="14"/>
        <v>11</v>
      </c>
      <c r="H119" s="247"/>
    </row>
    <row r="120" spans="1:8">
      <c r="A120" s="268">
        <v>45971</v>
      </c>
      <c r="B120" s="246" t="s">
        <v>211</v>
      </c>
      <c r="C120" s="270">
        <v>100</v>
      </c>
      <c r="D120" s="273" t="str">
        <f t="shared" si="15"/>
        <v>-</v>
      </c>
      <c r="E120" s="273" t="str">
        <f t="shared" si="13"/>
        <v>-</v>
      </c>
      <c r="F120" s="273" t="s">
        <v>212</v>
      </c>
      <c r="G120" s="273">
        <f t="shared" si="14"/>
        <v>11</v>
      </c>
      <c r="H120" s="247"/>
    </row>
    <row r="121" spans="1:8">
      <c r="A121" s="268">
        <v>45971</v>
      </c>
      <c r="B121" s="246" t="s">
        <v>38</v>
      </c>
      <c r="C121" s="270">
        <v>100</v>
      </c>
      <c r="D121" s="273" t="s">
        <v>209</v>
      </c>
      <c r="E121" s="273">
        <f t="shared" si="13"/>
        <v>2521</v>
      </c>
      <c r="F121" s="273" t="s">
        <v>178</v>
      </c>
      <c r="G121" s="273">
        <f t="shared" si="14"/>
        <v>11</v>
      </c>
      <c r="H121" s="247"/>
    </row>
    <row r="122" spans="1:8">
      <c r="A122" s="268">
        <v>45971</v>
      </c>
      <c r="B122" s="246" t="s">
        <v>34</v>
      </c>
      <c r="C122" s="270">
        <v>100</v>
      </c>
      <c r="D122" s="273" t="s">
        <v>209</v>
      </c>
      <c r="E122" s="273">
        <f t="shared" si="13"/>
        <v>0</v>
      </c>
      <c r="F122" s="273" t="s">
        <v>178</v>
      </c>
      <c r="G122" s="273">
        <f t="shared" si="14"/>
        <v>11</v>
      </c>
      <c r="H122" s="247"/>
    </row>
    <row r="123" spans="1:8">
      <c r="A123" s="268">
        <v>45972</v>
      </c>
      <c r="B123" s="246" t="s">
        <v>213</v>
      </c>
      <c r="C123" s="270">
        <v>1</v>
      </c>
      <c r="D123" s="273" t="s">
        <v>214</v>
      </c>
      <c r="E123" s="273" t="str">
        <f t="shared" si="13"/>
        <v>-</v>
      </c>
      <c r="F123" s="273" t="s">
        <v>177</v>
      </c>
      <c r="G123" s="273">
        <f t="shared" si="14"/>
        <v>11</v>
      </c>
      <c r="H123" s="247"/>
    </row>
    <row r="124" spans="1:8">
      <c r="A124" s="268">
        <v>45972</v>
      </c>
      <c r="B124" s="246" t="s">
        <v>63</v>
      </c>
      <c r="C124" s="270">
        <v>2</v>
      </c>
      <c r="D124" s="273" t="str">
        <f>IFERROR(VLOOKUP(B124,SUPPLY2,3,0),"-")</f>
        <v>Bottle</v>
      </c>
      <c r="E124" s="273">
        <f t="shared" si="13"/>
        <v>2618</v>
      </c>
      <c r="F124" s="273" t="s">
        <v>177</v>
      </c>
      <c r="G124" s="273">
        <f t="shared" si="14"/>
        <v>11</v>
      </c>
      <c r="H124" s="247"/>
    </row>
    <row r="125" spans="1:8">
      <c r="A125" s="268">
        <v>45972</v>
      </c>
      <c r="B125" s="246" t="s">
        <v>215</v>
      </c>
      <c r="C125" s="270">
        <v>100</v>
      </c>
      <c r="D125" s="273" t="s">
        <v>216</v>
      </c>
      <c r="E125" s="273" t="str">
        <f t="shared" si="13"/>
        <v>-</v>
      </c>
      <c r="F125" s="273" t="s">
        <v>178</v>
      </c>
      <c r="G125" s="273">
        <f t="shared" si="14"/>
        <v>11</v>
      </c>
      <c r="H125" s="247"/>
    </row>
    <row r="126" spans="1:8">
      <c r="A126" s="268">
        <v>45972</v>
      </c>
      <c r="B126" s="246" t="s">
        <v>217</v>
      </c>
      <c r="C126" s="270">
        <v>100</v>
      </c>
      <c r="D126" s="273" t="s">
        <v>216</v>
      </c>
      <c r="E126" s="273" t="str">
        <f t="shared" si="13"/>
        <v>-</v>
      </c>
      <c r="F126" s="273" t="s">
        <v>178</v>
      </c>
      <c r="G126" s="273">
        <f t="shared" si="14"/>
        <v>11</v>
      </c>
      <c r="H126" s="247"/>
    </row>
    <row r="127" spans="1:8">
      <c r="A127" s="268">
        <v>45972</v>
      </c>
      <c r="B127" s="246" t="s">
        <v>22</v>
      </c>
      <c r="C127" s="270">
        <v>1</v>
      </c>
      <c r="D127" s="273" t="s">
        <v>216</v>
      </c>
      <c r="E127" s="273">
        <f t="shared" si="13"/>
        <v>281</v>
      </c>
      <c r="F127" s="273" t="s">
        <v>177</v>
      </c>
      <c r="G127" s="273">
        <f t="shared" si="14"/>
        <v>11</v>
      </c>
      <c r="H127" s="247"/>
    </row>
    <row r="128" spans="1:8">
      <c r="A128" s="268">
        <v>45973</v>
      </c>
      <c r="B128" s="246" t="s">
        <v>14</v>
      </c>
      <c r="C128" s="270">
        <v>1</v>
      </c>
      <c r="D128" s="273" t="str">
        <f>IFERROR(VLOOKUP(B128,SUPPLY2,3,0),"-")</f>
        <v>C</v>
      </c>
      <c r="E128" s="273">
        <f t="shared" si="13"/>
        <v>46</v>
      </c>
      <c r="F128" s="273" t="s">
        <v>200</v>
      </c>
      <c r="G128" s="273">
        <f t="shared" si="14"/>
        <v>11</v>
      </c>
      <c r="H128" s="247"/>
    </row>
    <row r="129" spans="1:8">
      <c r="A129" s="268">
        <v>45973</v>
      </c>
      <c r="B129" s="246" t="s">
        <v>10</v>
      </c>
      <c r="C129" s="270">
        <v>2</v>
      </c>
      <c r="D129" s="273" t="str">
        <f>IFERROR(VLOOKUP(B129,SUPPLY2,3,0),"-")</f>
        <v>Ream</v>
      </c>
      <c r="E129" s="273">
        <f t="shared" si="13"/>
        <v>2276</v>
      </c>
      <c r="F129" s="273" t="s">
        <v>177</v>
      </c>
      <c r="G129" s="273">
        <f t="shared" si="14"/>
        <v>11</v>
      </c>
      <c r="H129" s="247"/>
    </row>
    <row r="130" spans="1:8">
      <c r="A130" s="268">
        <v>45974</v>
      </c>
      <c r="B130" s="246" t="s">
        <v>218</v>
      </c>
      <c r="C130" s="270">
        <v>100</v>
      </c>
      <c r="D130" s="273" t="s">
        <v>219</v>
      </c>
      <c r="E130" s="273" t="str">
        <f t="shared" si="13"/>
        <v>-</v>
      </c>
      <c r="F130" s="273" t="s">
        <v>178</v>
      </c>
      <c r="G130" s="273">
        <f t="shared" si="14"/>
        <v>11</v>
      </c>
      <c r="H130" s="247"/>
    </row>
    <row r="131" spans="1:8">
      <c r="A131" s="268">
        <v>45974</v>
      </c>
      <c r="B131" s="246" t="s">
        <v>14</v>
      </c>
      <c r="C131" s="270">
        <v>10</v>
      </c>
      <c r="D131" s="273" t="s">
        <v>216</v>
      </c>
      <c r="E131" s="273">
        <f t="shared" si="13"/>
        <v>46</v>
      </c>
      <c r="F131" s="273" t="s">
        <v>178</v>
      </c>
      <c r="G131" s="273">
        <f t="shared" si="14"/>
        <v>11</v>
      </c>
      <c r="H131" s="247"/>
    </row>
    <row r="132" spans="1:8">
      <c r="A132" s="268">
        <v>45975</v>
      </c>
      <c r="B132" s="246" t="s">
        <v>10</v>
      </c>
      <c r="C132" s="270">
        <v>2</v>
      </c>
      <c r="D132" s="273" t="s">
        <v>95</v>
      </c>
      <c r="E132" s="273">
        <f t="shared" si="13"/>
        <v>2276</v>
      </c>
      <c r="F132" s="273" t="s">
        <v>202</v>
      </c>
      <c r="G132" s="273">
        <f t="shared" si="14"/>
        <v>11</v>
      </c>
      <c r="H132" s="247"/>
    </row>
    <row r="133" spans="1:8">
      <c r="A133" s="268">
        <v>45975</v>
      </c>
      <c r="B133" s="246" t="s">
        <v>63</v>
      </c>
      <c r="C133" s="270">
        <v>1</v>
      </c>
      <c r="D133" s="273" t="str">
        <f>IFERROR(VLOOKUP(B133,SUPPLY2,3,0),"-")</f>
        <v>Bottle</v>
      </c>
      <c r="E133" s="273">
        <f t="shared" si="13"/>
        <v>2618</v>
      </c>
      <c r="F133" s="273" t="s">
        <v>202</v>
      </c>
      <c r="G133" s="273">
        <f t="shared" si="14"/>
        <v>11</v>
      </c>
      <c r="H133" s="247"/>
    </row>
    <row r="134" spans="1:8">
      <c r="A134" s="268">
        <v>45975</v>
      </c>
      <c r="B134" s="246" t="s">
        <v>220</v>
      </c>
      <c r="C134" s="270">
        <v>1</v>
      </c>
      <c r="D134" s="273" t="s">
        <v>214</v>
      </c>
      <c r="E134" s="273" t="str">
        <f t="shared" si="13"/>
        <v>-</v>
      </c>
      <c r="F134" s="273" t="s">
        <v>202</v>
      </c>
      <c r="G134" s="273">
        <f t="shared" si="14"/>
        <v>11</v>
      </c>
      <c r="H134" s="247"/>
    </row>
    <row r="135" spans="1:8">
      <c r="A135" s="268">
        <v>45975</v>
      </c>
      <c r="B135" s="246" t="s">
        <v>12</v>
      </c>
      <c r="C135" s="270">
        <v>1</v>
      </c>
      <c r="D135" s="273" t="s">
        <v>95</v>
      </c>
      <c r="E135" s="273">
        <f t="shared" si="13"/>
        <v>2067</v>
      </c>
      <c r="F135" s="273" t="s">
        <v>202</v>
      </c>
      <c r="G135" s="273">
        <f t="shared" si="14"/>
        <v>11</v>
      </c>
      <c r="H135" s="247"/>
    </row>
    <row r="136" spans="1:8">
      <c r="A136" s="268">
        <v>45975</v>
      </c>
      <c r="B136" s="246" t="s">
        <v>221</v>
      </c>
      <c r="C136" s="270">
        <v>1</v>
      </c>
      <c r="D136" s="273" t="s">
        <v>216</v>
      </c>
      <c r="E136" s="273">
        <f t="shared" si="13"/>
        <v>313</v>
      </c>
      <c r="F136" s="273" t="s">
        <v>222</v>
      </c>
      <c r="G136" s="273">
        <f t="shared" si="14"/>
        <v>11</v>
      </c>
      <c r="H136" s="247"/>
    </row>
    <row r="137" spans="1:8">
      <c r="A137" s="268">
        <v>45975</v>
      </c>
      <c r="B137" s="123" t="s">
        <v>33</v>
      </c>
      <c r="C137" s="270">
        <v>100</v>
      </c>
      <c r="D137" s="273" t="s">
        <v>216</v>
      </c>
      <c r="E137" s="273">
        <f t="shared" si="13"/>
        <v>0</v>
      </c>
      <c r="F137" s="273" t="s">
        <v>178</v>
      </c>
      <c r="G137" s="273">
        <f t="shared" si="14"/>
        <v>11</v>
      </c>
      <c r="H137" s="247"/>
    </row>
    <row r="138" spans="1:8">
      <c r="A138" s="268">
        <v>45975</v>
      </c>
      <c r="B138" s="246" t="s">
        <v>63</v>
      </c>
      <c r="C138" s="270">
        <v>1</v>
      </c>
      <c r="D138" s="273" t="s">
        <v>216</v>
      </c>
      <c r="E138" s="273">
        <f t="shared" si="13"/>
        <v>2618</v>
      </c>
      <c r="F138" s="273" t="s">
        <v>178</v>
      </c>
      <c r="G138" s="273">
        <f t="shared" si="14"/>
        <v>11</v>
      </c>
      <c r="H138" s="247"/>
    </row>
    <row r="139" spans="1:8">
      <c r="A139" s="268">
        <v>45975</v>
      </c>
      <c r="B139" s="246" t="s">
        <v>34</v>
      </c>
      <c r="C139" s="270">
        <v>100</v>
      </c>
      <c r="D139" s="273" t="s">
        <v>216</v>
      </c>
      <c r="E139" s="273">
        <f t="shared" si="13"/>
        <v>0</v>
      </c>
      <c r="F139" s="273" t="s">
        <v>178</v>
      </c>
      <c r="G139" s="273">
        <f t="shared" si="14"/>
        <v>11</v>
      </c>
      <c r="H139" s="247"/>
    </row>
    <row r="140" spans="1:8">
      <c r="A140" s="268">
        <v>45975</v>
      </c>
      <c r="B140" s="246" t="s">
        <v>223</v>
      </c>
      <c r="C140" s="270">
        <v>2</v>
      </c>
      <c r="D140" s="273" t="s">
        <v>216</v>
      </c>
      <c r="E140" s="273" t="str">
        <f t="shared" si="13"/>
        <v>-</v>
      </c>
      <c r="F140" s="273" t="s">
        <v>178</v>
      </c>
      <c r="G140" s="273">
        <f t="shared" ref="G140:G171" si="16">IFERROR(VLOOKUP(A140,YEAR2023,2,0),"-")</f>
        <v>11</v>
      </c>
      <c r="H140" s="247"/>
    </row>
    <row r="141" spans="1:8">
      <c r="A141" s="268">
        <v>45975</v>
      </c>
      <c r="B141" s="246" t="s">
        <v>30</v>
      </c>
      <c r="C141" s="270">
        <v>1</v>
      </c>
      <c r="D141" s="273" t="s">
        <v>216</v>
      </c>
      <c r="E141" s="273">
        <f t="shared" si="13"/>
        <v>310</v>
      </c>
      <c r="F141" s="273" t="s">
        <v>178</v>
      </c>
      <c r="G141" s="273">
        <f t="shared" si="16"/>
        <v>11</v>
      </c>
      <c r="H141" s="247"/>
    </row>
    <row r="142" spans="1:8">
      <c r="A142" s="268">
        <v>45975</v>
      </c>
      <c r="B142" s="246" t="s">
        <v>22</v>
      </c>
      <c r="C142" s="270">
        <v>1</v>
      </c>
      <c r="D142" s="273" t="s">
        <v>224</v>
      </c>
      <c r="E142" s="273">
        <f t="shared" si="13"/>
        <v>281</v>
      </c>
      <c r="F142" s="273" t="s">
        <v>178</v>
      </c>
      <c r="G142" s="273">
        <f t="shared" si="16"/>
        <v>11</v>
      </c>
      <c r="H142" s="247"/>
    </row>
    <row r="143" spans="1:8">
      <c r="A143" s="268">
        <v>45975</v>
      </c>
      <c r="B143" s="246" t="s">
        <v>204</v>
      </c>
      <c r="C143" s="270">
        <v>10</v>
      </c>
      <c r="D143" s="273" t="str">
        <f t="shared" ref="D143:D149" si="17">IFERROR(VLOOKUP(B143,SUPPLY2,3,0),"-")</f>
        <v>Ream</v>
      </c>
      <c r="E143" s="273">
        <f t="shared" si="13"/>
        <v>1938</v>
      </c>
      <c r="F143" s="273" t="s">
        <v>178</v>
      </c>
      <c r="G143" s="273">
        <f t="shared" si="16"/>
        <v>11</v>
      </c>
      <c r="H143" s="247"/>
    </row>
    <row r="144" spans="1:8">
      <c r="A144" s="268">
        <v>45975</v>
      </c>
      <c r="B144" s="246" t="s">
        <v>205</v>
      </c>
      <c r="C144" s="270">
        <v>10</v>
      </c>
      <c r="D144" s="273" t="str">
        <f t="shared" si="17"/>
        <v>Ream</v>
      </c>
      <c r="E144" s="273">
        <f t="shared" si="13"/>
        <v>1939</v>
      </c>
      <c r="F144" s="273" t="s">
        <v>178</v>
      </c>
      <c r="G144" s="273">
        <f t="shared" si="16"/>
        <v>11</v>
      </c>
      <c r="H144" s="247"/>
    </row>
    <row r="145" spans="1:8">
      <c r="A145" s="268">
        <v>45978</v>
      </c>
      <c r="B145" s="246" t="s">
        <v>33</v>
      </c>
      <c r="C145" s="270">
        <v>100</v>
      </c>
      <c r="D145" s="273" t="str">
        <f t="shared" si="17"/>
        <v>Ream</v>
      </c>
      <c r="E145" s="273">
        <f t="shared" si="13"/>
        <v>0</v>
      </c>
      <c r="F145" s="273" t="s">
        <v>178</v>
      </c>
      <c r="G145" s="273">
        <f t="shared" si="16"/>
        <v>11</v>
      </c>
      <c r="H145" s="247"/>
    </row>
    <row r="146" spans="1:8">
      <c r="A146" s="268">
        <v>45978</v>
      </c>
      <c r="B146" s="246" t="s">
        <v>30</v>
      </c>
      <c r="C146" s="270">
        <v>1</v>
      </c>
      <c r="D146" s="273" t="str">
        <f t="shared" si="17"/>
        <v>Box</v>
      </c>
      <c r="E146" s="273">
        <f t="shared" si="13"/>
        <v>310</v>
      </c>
      <c r="F146" s="273" t="s">
        <v>225</v>
      </c>
      <c r="G146" s="273">
        <f t="shared" si="16"/>
        <v>11</v>
      </c>
      <c r="H146" s="247"/>
    </row>
    <row r="147" spans="1:8">
      <c r="A147" s="268">
        <v>45978</v>
      </c>
      <c r="B147" s="246" t="s">
        <v>70</v>
      </c>
      <c r="C147" s="270">
        <v>4</v>
      </c>
      <c r="D147" s="273" t="str">
        <f t="shared" si="17"/>
        <v>Roll</v>
      </c>
      <c r="E147" s="273">
        <f t="shared" si="13"/>
        <v>2629</v>
      </c>
      <c r="F147" s="273" t="s">
        <v>177</v>
      </c>
      <c r="G147" s="273">
        <f t="shared" si="16"/>
        <v>11</v>
      </c>
      <c r="H147" s="247"/>
    </row>
    <row r="148" spans="1:8">
      <c r="A148" s="268">
        <v>45978</v>
      </c>
      <c r="B148" s="246" t="s">
        <v>10</v>
      </c>
      <c r="C148" s="270">
        <v>1</v>
      </c>
      <c r="D148" s="273" t="str">
        <f t="shared" si="17"/>
        <v>Ream</v>
      </c>
      <c r="E148" s="273">
        <f t="shared" si="13"/>
        <v>2276</v>
      </c>
      <c r="F148" s="273" t="s">
        <v>177</v>
      </c>
      <c r="G148" s="273">
        <f t="shared" si="16"/>
        <v>11</v>
      </c>
      <c r="H148" s="247"/>
    </row>
    <row r="149" spans="1:8">
      <c r="A149" s="268">
        <v>45978</v>
      </c>
      <c r="B149" s="246" t="s">
        <v>63</v>
      </c>
      <c r="C149" s="270">
        <v>1</v>
      </c>
      <c r="D149" s="273" t="str">
        <f t="shared" si="17"/>
        <v>Bottle</v>
      </c>
      <c r="E149" s="273">
        <f t="shared" si="13"/>
        <v>2618</v>
      </c>
      <c r="F149" s="273" t="s">
        <v>195</v>
      </c>
      <c r="G149" s="273">
        <f t="shared" si="16"/>
        <v>11</v>
      </c>
      <c r="H149" s="247"/>
    </row>
    <row r="150" spans="1:8">
      <c r="A150" s="268">
        <v>45978</v>
      </c>
      <c r="B150" s="246" t="s">
        <v>226</v>
      </c>
      <c r="C150" s="270">
        <v>100</v>
      </c>
      <c r="D150" s="273" t="s">
        <v>216</v>
      </c>
      <c r="E150" s="273" t="str">
        <f t="shared" si="13"/>
        <v>-</v>
      </c>
      <c r="F150" s="273" t="s">
        <v>178</v>
      </c>
      <c r="G150" s="273">
        <f t="shared" si="16"/>
        <v>11</v>
      </c>
      <c r="H150" s="247"/>
    </row>
    <row r="151" spans="1:8">
      <c r="A151" s="268">
        <v>45978</v>
      </c>
      <c r="B151" s="246" t="s">
        <v>12</v>
      </c>
      <c r="C151" s="270">
        <v>1</v>
      </c>
      <c r="D151" s="273" t="str">
        <f>IFERROR(VLOOKUP(B151,SUPPLY2,3,0),"-")</f>
        <v>Ream</v>
      </c>
      <c r="E151" s="273">
        <f t="shared" si="13"/>
        <v>2067</v>
      </c>
      <c r="F151" s="273" t="s">
        <v>177</v>
      </c>
      <c r="G151" s="273">
        <f t="shared" si="16"/>
        <v>11</v>
      </c>
      <c r="H151" s="247"/>
    </row>
    <row r="152" spans="1:8">
      <c r="A152" s="268">
        <v>45978</v>
      </c>
      <c r="B152" s="246" t="s">
        <v>10</v>
      </c>
      <c r="C152" s="270">
        <v>1</v>
      </c>
      <c r="D152" s="273" t="str">
        <f>IFERROR(VLOOKUP(B152,SUPPLY2,3,0),"-")</f>
        <v>Ream</v>
      </c>
      <c r="E152" s="273">
        <f t="shared" si="13"/>
        <v>2276</v>
      </c>
      <c r="F152" s="273" t="s">
        <v>177</v>
      </c>
      <c r="G152" s="273">
        <f t="shared" si="16"/>
        <v>11</v>
      </c>
      <c r="H152" s="247"/>
    </row>
    <row r="153" spans="1:8">
      <c r="A153" s="268">
        <v>45978</v>
      </c>
      <c r="B153" s="246" t="s">
        <v>204</v>
      </c>
      <c r="C153" s="270">
        <v>50</v>
      </c>
      <c r="D153" s="273" t="s">
        <v>216</v>
      </c>
      <c r="E153" s="273">
        <f t="shared" si="13"/>
        <v>1938</v>
      </c>
      <c r="F153" s="273" t="s">
        <v>178</v>
      </c>
      <c r="G153" s="273">
        <f t="shared" si="16"/>
        <v>11</v>
      </c>
      <c r="H153" s="247"/>
    </row>
    <row r="154" spans="1:8">
      <c r="A154" s="268">
        <v>45979</v>
      </c>
      <c r="B154" s="246" t="s">
        <v>12</v>
      </c>
      <c r="C154" s="270">
        <v>1</v>
      </c>
      <c r="D154" s="273" t="s">
        <v>95</v>
      </c>
      <c r="E154" s="273">
        <f t="shared" si="13"/>
        <v>2067</v>
      </c>
      <c r="F154" s="273" t="s">
        <v>177</v>
      </c>
      <c r="G154" s="273">
        <f t="shared" si="16"/>
        <v>11</v>
      </c>
      <c r="H154" s="247"/>
    </row>
    <row r="155" spans="1:8">
      <c r="A155" s="268">
        <v>45979</v>
      </c>
      <c r="B155" s="246" t="s">
        <v>10</v>
      </c>
      <c r="C155" s="270">
        <v>2</v>
      </c>
      <c r="D155" s="273" t="str">
        <f>IFERROR(VLOOKUP(B155,SUPPLY2,3,0),"-")</f>
        <v>Ream</v>
      </c>
      <c r="E155" s="273">
        <f t="shared" si="13"/>
        <v>2276</v>
      </c>
      <c r="F155" s="273" t="s">
        <v>177</v>
      </c>
      <c r="G155" s="273">
        <f t="shared" si="16"/>
        <v>11</v>
      </c>
      <c r="H155" s="247"/>
    </row>
    <row r="156" spans="1:8">
      <c r="A156" s="268">
        <v>45979</v>
      </c>
      <c r="B156" s="246" t="s">
        <v>33</v>
      </c>
      <c r="C156" s="270">
        <v>100</v>
      </c>
      <c r="D156" s="273" t="s">
        <v>216</v>
      </c>
      <c r="E156" s="273">
        <f t="shared" si="13"/>
        <v>0</v>
      </c>
      <c r="G156" s="273">
        <f t="shared" si="16"/>
        <v>11</v>
      </c>
      <c r="H156" s="247"/>
    </row>
    <row r="157" spans="1:8">
      <c r="A157" s="268">
        <v>45980</v>
      </c>
      <c r="B157" s="246" t="s">
        <v>33</v>
      </c>
      <c r="C157" s="270">
        <v>100</v>
      </c>
      <c r="D157" s="273" t="s">
        <v>219</v>
      </c>
      <c r="E157" s="273">
        <f t="shared" si="13"/>
        <v>0</v>
      </c>
      <c r="G157" s="273">
        <f t="shared" si="16"/>
        <v>11</v>
      </c>
      <c r="H157" s="247"/>
    </row>
    <row r="158" spans="1:8">
      <c r="A158" s="268">
        <v>45980</v>
      </c>
      <c r="B158" s="246" t="s">
        <v>10</v>
      </c>
      <c r="C158" s="270">
        <v>1</v>
      </c>
      <c r="D158" s="273" t="str">
        <f>IFERROR(VLOOKUP(B158,SUPPLY2,3,0),"-")</f>
        <v>Ream</v>
      </c>
      <c r="E158" s="273">
        <f t="shared" si="13"/>
        <v>2276</v>
      </c>
      <c r="F158" s="273" t="s">
        <v>196</v>
      </c>
      <c r="G158" s="273">
        <f t="shared" si="16"/>
        <v>11</v>
      </c>
      <c r="H158" s="247"/>
    </row>
    <row r="159" spans="1:8">
      <c r="A159" s="268">
        <v>45980</v>
      </c>
      <c r="B159" s="246" t="s">
        <v>13</v>
      </c>
      <c r="C159" s="270">
        <v>1</v>
      </c>
      <c r="D159" s="273" t="s">
        <v>216</v>
      </c>
      <c r="E159" s="273">
        <f t="shared" si="13"/>
        <v>330</v>
      </c>
      <c r="G159" s="273">
        <f t="shared" si="16"/>
        <v>11</v>
      </c>
      <c r="H159" s="247"/>
    </row>
    <row r="160" spans="1:8">
      <c r="A160" s="268">
        <v>45981</v>
      </c>
      <c r="B160" s="246" t="s">
        <v>22</v>
      </c>
      <c r="C160" s="270">
        <v>4</v>
      </c>
      <c r="D160" s="273" t="str">
        <f>IFERROR(VLOOKUP(B160,SUPPLY2,3,0),"-")</f>
        <v>Roll</v>
      </c>
      <c r="E160" s="273">
        <f t="shared" si="13"/>
        <v>281</v>
      </c>
      <c r="G160" s="273">
        <f t="shared" si="16"/>
        <v>11</v>
      </c>
      <c r="H160" s="247"/>
    </row>
    <row r="161" spans="1:8">
      <c r="A161" s="268">
        <v>45981</v>
      </c>
      <c r="B161" s="246" t="s">
        <v>33</v>
      </c>
      <c r="C161" s="270">
        <v>100</v>
      </c>
      <c r="D161" s="273" t="s">
        <v>216</v>
      </c>
      <c r="E161" s="273">
        <f t="shared" si="13"/>
        <v>0</v>
      </c>
      <c r="G161" s="273">
        <f t="shared" si="16"/>
        <v>11</v>
      </c>
      <c r="H161" s="247"/>
    </row>
    <row r="162" spans="1:8">
      <c r="A162" s="268">
        <v>45981</v>
      </c>
      <c r="B162" s="246" t="s">
        <v>37</v>
      </c>
      <c r="C162" s="270">
        <v>100</v>
      </c>
      <c r="D162" s="273" t="str">
        <f t="shared" ref="D162:D189" si="18">IFERROR(VLOOKUP(B162,SUPPLY2,3,0),"-")</f>
        <v>Piece</v>
      </c>
      <c r="E162" s="273">
        <f t="shared" si="13"/>
        <v>0</v>
      </c>
      <c r="G162" s="273">
        <f t="shared" si="16"/>
        <v>11</v>
      </c>
      <c r="H162" s="247"/>
    </row>
    <row r="163" spans="1:8">
      <c r="A163" s="268">
        <v>45981</v>
      </c>
      <c r="B163" s="246" t="s">
        <v>38</v>
      </c>
      <c r="C163" s="270">
        <v>200</v>
      </c>
      <c r="D163" s="273" t="str">
        <f t="shared" si="18"/>
        <v>Ream</v>
      </c>
      <c r="E163" s="273">
        <f t="shared" si="13"/>
        <v>2521</v>
      </c>
      <c r="G163" s="273">
        <f t="shared" si="16"/>
        <v>11</v>
      </c>
      <c r="H163" s="247"/>
    </row>
    <row r="164" spans="1:8">
      <c r="A164" s="268">
        <v>45981</v>
      </c>
      <c r="B164" s="246" t="s">
        <v>39</v>
      </c>
      <c r="C164" s="270">
        <v>100</v>
      </c>
      <c r="D164" s="273" t="str">
        <f t="shared" si="18"/>
        <v>Ream</v>
      </c>
      <c r="E164" s="273">
        <f t="shared" si="13"/>
        <v>2576</v>
      </c>
      <c r="G164" s="273">
        <f t="shared" si="16"/>
        <v>11</v>
      </c>
      <c r="H164" s="247"/>
    </row>
    <row r="165" spans="1:8">
      <c r="A165" s="268">
        <v>45981</v>
      </c>
      <c r="B165" s="246" t="s">
        <v>34</v>
      </c>
      <c r="C165" s="270">
        <v>100</v>
      </c>
      <c r="D165" s="273" t="str">
        <f t="shared" si="18"/>
        <v>Ream</v>
      </c>
      <c r="E165" s="273">
        <f t="shared" si="13"/>
        <v>0</v>
      </c>
      <c r="G165" s="273">
        <f t="shared" si="16"/>
        <v>11</v>
      </c>
      <c r="H165" s="247"/>
    </row>
    <row r="166" spans="1:8">
      <c r="A166" s="268">
        <v>45981</v>
      </c>
      <c r="B166" s="246" t="s">
        <v>36</v>
      </c>
      <c r="C166" s="270">
        <v>100</v>
      </c>
      <c r="D166" s="273" t="str">
        <f t="shared" si="18"/>
        <v>Ream</v>
      </c>
      <c r="E166" s="273">
        <f t="shared" si="13"/>
        <v>0</v>
      </c>
      <c r="G166" s="273">
        <f t="shared" si="16"/>
        <v>11</v>
      </c>
      <c r="H166" s="247"/>
    </row>
    <row r="167" spans="1:8">
      <c r="A167" s="268">
        <v>45981</v>
      </c>
      <c r="B167" s="246" t="s">
        <v>227</v>
      </c>
      <c r="C167" s="270">
        <v>100</v>
      </c>
      <c r="D167" s="273" t="str">
        <f t="shared" si="18"/>
        <v>-</v>
      </c>
      <c r="E167" s="273" t="str">
        <f t="shared" si="13"/>
        <v>-</v>
      </c>
      <c r="G167" s="273">
        <f t="shared" si="16"/>
        <v>11</v>
      </c>
      <c r="H167" s="247"/>
    </row>
    <row r="168" spans="1:8">
      <c r="A168" s="268">
        <v>45981</v>
      </c>
      <c r="B168" s="246" t="s">
        <v>10</v>
      </c>
      <c r="C168" s="270">
        <v>1</v>
      </c>
      <c r="D168" s="273" t="str">
        <f t="shared" si="18"/>
        <v>Ream</v>
      </c>
      <c r="E168" s="273">
        <f t="shared" si="13"/>
        <v>2276</v>
      </c>
      <c r="F168" s="273" t="s">
        <v>178</v>
      </c>
      <c r="G168" s="273">
        <f t="shared" si="16"/>
        <v>11</v>
      </c>
      <c r="H168" s="247"/>
    </row>
    <row r="169" spans="1:8">
      <c r="A169" s="268">
        <v>45982</v>
      </c>
      <c r="B169" s="246" t="s">
        <v>10</v>
      </c>
      <c r="C169" s="270">
        <v>3</v>
      </c>
      <c r="D169" s="273" t="str">
        <f t="shared" si="18"/>
        <v>Ream</v>
      </c>
      <c r="E169" s="273">
        <f t="shared" si="13"/>
        <v>2276</v>
      </c>
      <c r="F169" s="273" t="s">
        <v>177</v>
      </c>
      <c r="G169" s="273">
        <f t="shared" si="16"/>
        <v>11</v>
      </c>
      <c r="H169" s="247"/>
    </row>
    <row r="170" spans="1:8">
      <c r="A170" s="268">
        <v>45982</v>
      </c>
      <c r="B170" s="246" t="s">
        <v>63</v>
      </c>
      <c r="C170" s="270">
        <v>2</v>
      </c>
      <c r="D170" s="273" t="str">
        <f t="shared" si="18"/>
        <v>Bottle</v>
      </c>
      <c r="E170" s="273">
        <f t="shared" si="13"/>
        <v>2618</v>
      </c>
      <c r="G170" s="273">
        <f t="shared" si="16"/>
        <v>11</v>
      </c>
      <c r="H170" s="247"/>
    </row>
    <row r="171" spans="1:8">
      <c r="A171" s="268">
        <v>45985</v>
      </c>
      <c r="B171" s="246" t="s">
        <v>10</v>
      </c>
      <c r="C171" s="270">
        <v>2</v>
      </c>
      <c r="D171" s="273" t="str">
        <f t="shared" si="18"/>
        <v>Ream</v>
      </c>
      <c r="E171" s="273">
        <f t="shared" si="13"/>
        <v>2276</v>
      </c>
      <c r="F171" s="273" t="s">
        <v>177</v>
      </c>
      <c r="G171" s="273">
        <f t="shared" si="16"/>
        <v>11</v>
      </c>
      <c r="H171" s="247"/>
    </row>
    <row r="172" spans="1:8">
      <c r="A172" s="268">
        <v>45986</v>
      </c>
      <c r="B172" s="246" t="s">
        <v>10</v>
      </c>
      <c r="C172" s="270">
        <v>1</v>
      </c>
      <c r="D172" s="273" t="str">
        <f t="shared" si="18"/>
        <v>Ream</v>
      </c>
      <c r="E172" s="273">
        <f t="shared" ref="E172:E235" si="19">IFERROR(VLOOKUP(B172,SUPPLY2,4,0),"-")</f>
        <v>2276</v>
      </c>
      <c r="F172" s="273" t="s">
        <v>177</v>
      </c>
      <c r="G172" s="273">
        <f t="shared" ref="G172:G203" si="20">IFERROR(VLOOKUP(A172,YEAR2023,2,0),"-")</f>
        <v>11</v>
      </c>
      <c r="H172" s="247"/>
    </row>
    <row r="173" spans="1:8">
      <c r="A173" s="268">
        <v>45986</v>
      </c>
      <c r="B173" s="246" t="s">
        <v>63</v>
      </c>
      <c r="C173" s="270">
        <v>1</v>
      </c>
      <c r="D173" s="273" t="str">
        <f t="shared" si="18"/>
        <v>Bottle</v>
      </c>
      <c r="E173" s="273">
        <f t="shared" si="19"/>
        <v>2618</v>
      </c>
      <c r="F173" s="273" t="s">
        <v>177</v>
      </c>
      <c r="G173" s="273">
        <f t="shared" si="20"/>
        <v>11</v>
      </c>
      <c r="H173" s="247"/>
    </row>
    <row r="174" spans="1:8">
      <c r="A174" s="268">
        <v>45986</v>
      </c>
      <c r="B174" s="246" t="s">
        <v>12</v>
      </c>
      <c r="C174" s="270">
        <v>1</v>
      </c>
      <c r="D174" s="273" t="str">
        <f t="shared" si="18"/>
        <v>Ream</v>
      </c>
      <c r="E174" s="273">
        <f t="shared" si="19"/>
        <v>2067</v>
      </c>
      <c r="F174" s="273" t="s">
        <v>178</v>
      </c>
      <c r="G174" s="273">
        <f t="shared" si="20"/>
        <v>11</v>
      </c>
      <c r="H174" s="247"/>
    </row>
    <row r="175" spans="1:8">
      <c r="A175" s="268">
        <v>45987</v>
      </c>
      <c r="B175" s="246" t="s">
        <v>18</v>
      </c>
      <c r="C175" s="270">
        <v>2</v>
      </c>
      <c r="D175" s="273" t="str">
        <f t="shared" si="18"/>
        <v>Piece</v>
      </c>
      <c r="E175" s="273">
        <f t="shared" si="19"/>
        <v>337</v>
      </c>
      <c r="F175" s="273" t="s">
        <v>212</v>
      </c>
      <c r="G175" s="273">
        <f t="shared" si="20"/>
        <v>11</v>
      </c>
      <c r="H175" s="247"/>
    </row>
    <row r="176" spans="1:8">
      <c r="A176" s="268">
        <v>45987</v>
      </c>
      <c r="B176" s="246" t="s">
        <v>10</v>
      </c>
      <c r="C176" s="270">
        <v>3</v>
      </c>
      <c r="D176" s="273" t="str">
        <f t="shared" si="18"/>
        <v>Ream</v>
      </c>
      <c r="E176" s="273">
        <f t="shared" si="19"/>
        <v>2276</v>
      </c>
      <c r="F176" s="273" t="s">
        <v>212</v>
      </c>
      <c r="G176" s="273">
        <f t="shared" si="20"/>
        <v>11</v>
      </c>
      <c r="H176" s="247"/>
    </row>
    <row r="177" spans="1:8">
      <c r="A177" s="268">
        <v>45987</v>
      </c>
      <c r="B177" s="246" t="s">
        <v>12</v>
      </c>
      <c r="C177" s="270">
        <v>1</v>
      </c>
      <c r="D177" s="273" t="str">
        <f t="shared" si="18"/>
        <v>Ream</v>
      </c>
      <c r="E177" s="273">
        <f t="shared" si="19"/>
        <v>2067</v>
      </c>
      <c r="F177" s="273" t="s">
        <v>177</v>
      </c>
      <c r="G177" s="273">
        <f t="shared" si="20"/>
        <v>11</v>
      </c>
      <c r="H177" s="247"/>
    </row>
    <row r="178" spans="1:8">
      <c r="A178" s="268">
        <v>45988</v>
      </c>
      <c r="B178" s="246" t="s">
        <v>63</v>
      </c>
      <c r="C178" s="270">
        <v>2</v>
      </c>
      <c r="D178" s="273" t="str">
        <f t="shared" si="18"/>
        <v>Bottle</v>
      </c>
      <c r="E178" s="273">
        <f t="shared" si="19"/>
        <v>2618</v>
      </c>
      <c r="G178" s="273">
        <f t="shared" si="20"/>
        <v>11</v>
      </c>
      <c r="H178" s="247"/>
    </row>
    <row r="179" spans="1:8">
      <c r="A179" s="268">
        <v>45988</v>
      </c>
      <c r="B179" s="246" t="s">
        <v>228</v>
      </c>
      <c r="C179" s="270">
        <v>100</v>
      </c>
      <c r="D179" s="273" t="str">
        <f t="shared" si="18"/>
        <v>-</v>
      </c>
      <c r="E179" s="273" t="str">
        <f t="shared" si="19"/>
        <v>-</v>
      </c>
      <c r="F179" s="273" t="s">
        <v>229</v>
      </c>
      <c r="G179" s="273">
        <f t="shared" si="20"/>
        <v>11</v>
      </c>
      <c r="H179" s="247"/>
    </row>
    <row r="180" spans="1:8">
      <c r="A180" s="268">
        <v>45988</v>
      </c>
      <c r="B180" s="246" t="s">
        <v>33</v>
      </c>
      <c r="C180" s="270">
        <v>100</v>
      </c>
      <c r="D180" s="273" t="str">
        <f t="shared" si="18"/>
        <v>Ream</v>
      </c>
      <c r="E180" s="273">
        <f t="shared" si="19"/>
        <v>0</v>
      </c>
      <c r="G180" s="273">
        <f t="shared" si="20"/>
        <v>11</v>
      </c>
      <c r="H180" s="247"/>
    </row>
    <row r="181" spans="1:8">
      <c r="A181" s="268">
        <v>45989</v>
      </c>
      <c r="B181" s="246" t="s">
        <v>33</v>
      </c>
      <c r="C181" s="270">
        <v>100</v>
      </c>
      <c r="D181" s="273" t="str">
        <f t="shared" si="18"/>
        <v>Ream</v>
      </c>
      <c r="E181" s="273">
        <f t="shared" si="19"/>
        <v>0</v>
      </c>
      <c r="G181" s="273">
        <f t="shared" si="20"/>
        <v>11</v>
      </c>
      <c r="H181" s="247"/>
    </row>
    <row r="182" spans="1:8">
      <c r="A182" s="268">
        <v>45989</v>
      </c>
      <c r="B182" s="246" t="s">
        <v>34</v>
      </c>
      <c r="C182" s="270">
        <v>200</v>
      </c>
      <c r="D182" s="273" t="str">
        <f t="shared" si="18"/>
        <v>Ream</v>
      </c>
      <c r="E182" s="273">
        <f t="shared" si="19"/>
        <v>0</v>
      </c>
      <c r="G182" s="273">
        <f t="shared" si="20"/>
        <v>11</v>
      </c>
      <c r="H182" s="247"/>
    </row>
    <row r="183" spans="1:8">
      <c r="A183" s="268">
        <v>45989</v>
      </c>
      <c r="B183" s="246" t="s">
        <v>38</v>
      </c>
      <c r="C183" s="270">
        <v>200</v>
      </c>
      <c r="D183" s="273" t="str">
        <f t="shared" si="18"/>
        <v>Ream</v>
      </c>
      <c r="E183" s="273">
        <f t="shared" si="19"/>
        <v>2521</v>
      </c>
      <c r="G183" s="273">
        <f t="shared" si="20"/>
        <v>11</v>
      </c>
      <c r="H183" s="247"/>
    </row>
    <row r="184" spans="1:8">
      <c r="A184" s="268">
        <v>45989</v>
      </c>
      <c r="B184" s="246" t="s">
        <v>10</v>
      </c>
      <c r="C184" s="270">
        <v>2</v>
      </c>
      <c r="D184" s="273" t="str">
        <f t="shared" si="18"/>
        <v>Ream</v>
      </c>
      <c r="E184" s="273">
        <f t="shared" si="19"/>
        <v>2276</v>
      </c>
      <c r="F184" s="273" t="s">
        <v>177</v>
      </c>
      <c r="G184" s="273">
        <f t="shared" si="20"/>
        <v>11</v>
      </c>
      <c r="H184" s="247"/>
    </row>
    <row r="185" spans="1:8">
      <c r="A185" s="268">
        <v>45992</v>
      </c>
      <c r="B185" s="246" t="s">
        <v>10</v>
      </c>
      <c r="C185" s="270">
        <v>3</v>
      </c>
      <c r="D185" s="273" t="str">
        <f t="shared" si="18"/>
        <v>Ream</v>
      </c>
      <c r="E185" s="273">
        <f t="shared" si="19"/>
        <v>2276</v>
      </c>
      <c r="F185" s="273" t="s">
        <v>177</v>
      </c>
      <c r="G185" s="273">
        <f t="shared" si="20"/>
        <v>12</v>
      </c>
      <c r="H185" s="247"/>
    </row>
    <row r="186" spans="1:8">
      <c r="A186" s="268">
        <v>45993</v>
      </c>
      <c r="B186" s="246" t="s">
        <v>19</v>
      </c>
      <c r="C186" s="270">
        <v>1</v>
      </c>
      <c r="D186" s="273" t="str">
        <f t="shared" si="18"/>
        <v>Roll</v>
      </c>
      <c r="E186" s="273">
        <f t="shared" si="19"/>
        <v>300</v>
      </c>
      <c r="F186" s="273" t="s">
        <v>200</v>
      </c>
      <c r="G186" s="273">
        <f t="shared" si="20"/>
        <v>12</v>
      </c>
      <c r="H186" s="247"/>
    </row>
    <row r="187" spans="1:8">
      <c r="A187" s="268">
        <v>45993</v>
      </c>
      <c r="B187" s="246" t="s">
        <v>15</v>
      </c>
      <c r="C187" s="270">
        <v>1</v>
      </c>
      <c r="D187" s="273" t="str">
        <f t="shared" si="18"/>
        <v>Roll</v>
      </c>
      <c r="E187" s="273">
        <f t="shared" si="19"/>
        <v>301</v>
      </c>
      <c r="F187" s="273" t="s">
        <v>200</v>
      </c>
      <c r="G187" s="273">
        <f t="shared" si="20"/>
        <v>12</v>
      </c>
      <c r="H187" s="247"/>
    </row>
    <row r="188" spans="1:8">
      <c r="A188" s="268">
        <v>45993</v>
      </c>
      <c r="B188" s="246" t="s">
        <v>10</v>
      </c>
      <c r="C188" s="270">
        <v>2</v>
      </c>
      <c r="D188" s="273" t="str">
        <f t="shared" si="18"/>
        <v>Ream</v>
      </c>
      <c r="E188" s="273">
        <f t="shared" si="19"/>
        <v>2276</v>
      </c>
      <c r="F188" s="273" t="s">
        <v>177</v>
      </c>
      <c r="G188" s="273">
        <f t="shared" si="20"/>
        <v>12</v>
      </c>
      <c r="H188" s="247"/>
    </row>
    <row r="189" spans="1:8">
      <c r="A189" s="268">
        <v>45994</v>
      </c>
      <c r="B189" s="246" t="s">
        <v>63</v>
      </c>
      <c r="C189" s="270">
        <v>2</v>
      </c>
      <c r="D189" s="273" t="str">
        <f t="shared" si="18"/>
        <v>Bottle</v>
      </c>
      <c r="E189" s="273">
        <f t="shared" si="19"/>
        <v>2618</v>
      </c>
      <c r="G189" s="273">
        <f t="shared" si="20"/>
        <v>12</v>
      </c>
      <c r="H189" s="247"/>
    </row>
    <row r="190" spans="1:8">
      <c r="A190" s="268">
        <v>45994</v>
      </c>
      <c r="B190" s="246" t="s">
        <v>33</v>
      </c>
      <c r="C190" s="270">
        <v>100</v>
      </c>
      <c r="D190" s="273" t="s">
        <v>230</v>
      </c>
      <c r="E190" s="273">
        <f t="shared" si="19"/>
        <v>0</v>
      </c>
      <c r="G190" s="273">
        <f t="shared" si="20"/>
        <v>12</v>
      </c>
      <c r="H190" s="247"/>
    </row>
    <row r="191" spans="1:8">
      <c r="A191" s="268">
        <v>45994</v>
      </c>
      <c r="B191" s="246" t="s">
        <v>37</v>
      </c>
      <c r="C191" s="270">
        <v>100</v>
      </c>
      <c r="D191" s="273" t="str">
        <f t="shared" ref="D191:D209" si="21">IFERROR(VLOOKUP(B191,SUPPLY2,3,0),"-")</f>
        <v>Piece</v>
      </c>
      <c r="E191" s="273">
        <f t="shared" si="19"/>
        <v>0</v>
      </c>
      <c r="G191" s="273">
        <f t="shared" si="20"/>
        <v>12</v>
      </c>
      <c r="H191" s="247"/>
    </row>
    <row r="192" spans="1:8">
      <c r="A192" s="268">
        <v>45994</v>
      </c>
      <c r="B192" s="246" t="s">
        <v>36</v>
      </c>
      <c r="C192" s="270">
        <v>100</v>
      </c>
      <c r="D192" s="273" t="str">
        <f t="shared" si="21"/>
        <v>Ream</v>
      </c>
      <c r="E192" s="273">
        <f t="shared" si="19"/>
        <v>0</v>
      </c>
      <c r="G192" s="273">
        <f t="shared" si="20"/>
        <v>12</v>
      </c>
      <c r="H192" s="247"/>
    </row>
    <row r="193" spans="1:8">
      <c r="A193" s="268">
        <v>45994</v>
      </c>
      <c r="B193" s="246" t="s">
        <v>34</v>
      </c>
      <c r="C193" s="270">
        <v>200</v>
      </c>
      <c r="D193" s="273" t="str">
        <f t="shared" si="21"/>
        <v>Ream</v>
      </c>
      <c r="E193" s="273">
        <f t="shared" si="19"/>
        <v>0</v>
      </c>
      <c r="G193" s="273">
        <f t="shared" si="20"/>
        <v>12</v>
      </c>
      <c r="H193" s="247"/>
    </row>
    <row r="194" spans="1:8">
      <c r="A194" s="268">
        <v>45994</v>
      </c>
      <c r="B194" s="246" t="s">
        <v>10</v>
      </c>
      <c r="C194" s="270">
        <v>2</v>
      </c>
      <c r="D194" s="273" t="str">
        <f t="shared" si="21"/>
        <v>Ream</v>
      </c>
      <c r="E194" s="273">
        <f t="shared" si="19"/>
        <v>2276</v>
      </c>
      <c r="F194" s="273" t="s">
        <v>180</v>
      </c>
      <c r="G194" s="273">
        <f t="shared" si="20"/>
        <v>12</v>
      </c>
      <c r="H194" s="247"/>
    </row>
    <row r="195" spans="1:8">
      <c r="A195" s="268">
        <v>45994</v>
      </c>
      <c r="B195" s="246" t="s">
        <v>33</v>
      </c>
      <c r="C195" s="270">
        <v>300</v>
      </c>
      <c r="D195" s="273" t="str">
        <f t="shared" si="21"/>
        <v>Ream</v>
      </c>
      <c r="E195" s="273">
        <f t="shared" si="19"/>
        <v>0</v>
      </c>
      <c r="F195" s="273" t="s">
        <v>180</v>
      </c>
      <c r="G195" s="273">
        <f t="shared" si="20"/>
        <v>12</v>
      </c>
      <c r="H195" s="247"/>
    </row>
    <row r="196" spans="1:8">
      <c r="A196" s="268">
        <v>45994</v>
      </c>
      <c r="B196" s="246" t="s">
        <v>63</v>
      </c>
      <c r="C196" s="270">
        <v>5</v>
      </c>
      <c r="D196" s="273" t="str">
        <f t="shared" si="21"/>
        <v>Bottle</v>
      </c>
      <c r="E196" s="273">
        <f t="shared" si="19"/>
        <v>2618</v>
      </c>
      <c r="F196" s="273" t="s">
        <v>180</v>
      </c>
      <c r="G196" s="273">
        <f t="shared" si="20"/>
        <v>12</v>
      </c>
      <c r="H196" s="247"/>
    </row>
    <row r="197" spans="1:8">
      <c r="A197" s="268">
        <v>45995</v>
      </c>
      <c r="B197" s="246" t="s">
        <v>10</v>
      </c>
      <c r="C197" s="270">
        <v>3</v>
      </c>
      <c r="D197" s="273" t="str">
        <f t="shared" si="21"/>
        <v>Ream</v>
      </c>
      <c r="E197" s="273">
        <f t="shared" si="19"/>
        <v>2276</v>
      </c>
      <c r="F197" s="273" t="s">
        <v>177</v>
      </c>
      <c r="G197" s="273">
        <f t="shared" si="20"/>
        <v>12</v>
      </c>
      <c r="H197" s="247"/>
    </row>
    <row r="198" spans="1:8">
      <c r="A198" s="268">
        <v>45995</v>
      </c>
      <c r="B198" s="246" t="s">
        <v>22</v>
      </c>
      <c r="C198" s="270">
        <v>16</v>
      </c>
      <c r="D198" s="273" t="str">
        <f t="shared" si="21"/>
        <v>Roll</v>
      </c>
      <c r="E198" s="273">
        <f t="shared" si="19"/>
        <v>281</v>
      </c>
      <c r="F198" s="273" t="s">
        <v>177</v>
      </c>
      <c r="G198" s="273">
        <f t="shared" si="20"/>
        <v>12</v>
      </c>
      <c r="H198" s="247"/>
    </row>
    <row r="199" spans="1:8">
      <c r="A199" s="268">
        <v>45995</v>
      </c>
      <c r="B199" s="246" t="s">
        <v>231</v>
      </c>
      <c r="C199" s="270">
        <v>10</v>
      </c>
      <c r="D199" s="273" t="str">
        <f t="shared" si="21"/>
        <v>Piece</v>
      </c>
      <c r="E199" s="273">
        <f t="shared" si="19"/>
        <v>312</v>
      </c>
      <c r="F199" s="273" t="s">
        <v>177</v>
      </c>
      <c r="G199" s="273">
        <f t="shared" si="20"/>
        <v>12</v>
      </c>
      <c r="H199" s="247"/>
    </row>
    <row r="200" spans="1:8">
      <c r="A200" s="268">
        <v>45995</v>
      </c>
      <c r="B200" s="246" t="s">
        <v>22</v>
      </c>
      <c r="C200" s="270">
        <v>1</v>
      </c>
      <c r="D200" s="273" t="str">
        <f t="shared" si="21"/>
        <v>Roll</v>
      </c>
      <c r="E200" s="273">
        <f t="shared" si="19"/>
        <v>281</v>
      </c>
      <c r="F200" s="273" t="s">
        <v>177</v>
      </c>
      <c r="G200" s="273">
        <f t="shared" si="20"/>
        <v>12</v>
      </c>
      <c r="H200" s="247"/>
    </row>
    <row r="201" spans="1:8">
      <c r="A201" s="268">
        <v>45996</v>
      </c>
      <c r="B201" s="246" t="s">
        <v>10</v>
      </c>
      <c r="C201" s="270">
        <v>1</v>
      </c>
      <c r="D201" s="273" t="str">
        <f t="shared" si="21"/>
        <v>Ream</v>
      </c>
      <c r="E201" s="273">
        <f t="shared" si="19"/>
        <v>2276</v>
      </c>
      <c r="F201" s="273" t="s">
        <v>177</v>
      </c>
      <c r="G201" s="273">
        <f t="shared" si="20"/>
        <v>12</v>
      </c>
      <c r="H201" s="247"/>
    </row>
    <row r="202" spans="1:8">
      <c r="A202" s="268">
        <v>45996</v>
      </c>
      <c r="B202" s="246" t="s">
        <v>33</v>
      </c>
      <c r="C202" s="270">
        <v>100</v>
      </c>
      <c r="D202" s="273" t="str">
        <f t="shared" si="21"/>
        <v>Ream</v>
      </c>
      <c r="E202" s="273">
        <f t="shared" si="19"/>
        <v>0</v>
      </c>
      <c r="F202" s="273" t="s">
        <v>178</v>
      </c>
      <c r="G202" s="273">
        <f t="shared" si="20"/>
        <v>12</v>
      </c>
      <c r="H202" s="247"/>
    </row>
    <row r="203" spans="1:8">
      <c r="A203" s="268">
        <v>45996</v>
      </c>
      <c r="B203" s="246" t="s">
        <v>63</v>
      </c>
      <c r="C203" s="270">
        <v>2</v>
      </c>
      <c r="D203" s="273" t="str">
        <f t="shared" si="21"/>
        <v>Bottle</v>
      </c>
      <c r="E203" s="273">
        <f t="shared" si="19"/>
        <v>2618</v>
      </c>
      <c r="F203" s="273" t="s">
        <v>177</v>
      </c>
      <c r="G203" s="273">
        <f t="shared" si="20"/>
        <v>12</v>
      </c>
      <c r="H203" s="247"/>
    </row>
    <row r="204" spans="1:8">
      <c r="A204" s="268">
        <v>46000</v>
      </c>
      <c r="B204" s="246" t="s">
        <v>22</v>
      </c>
      <c r="D204" s="273" t="str">
        <f t="shared" si="21"/>
        <v>Roll</v>
      </c>
      <c r="E204" s="273">
        <f t="shared" si="19"/>
        <v>281</v>
      </c>
      <c r="F204" s="273" t="s">
        <v>202</v>
      </c>
      <c r="G204" s="273">
        <f t="shared" ref="G204:G228" si="22">IFERROR(VLOOKUP(A204,YEAR2023,2,0),"-")</f>
        <v>12</v>
      </c>
      <c r="H204" s="247"/>
    </row>
    <row r="205" spans="1:8">
      <c r="A205" s="268">
        <v>46000</v>
      </c>
      <c r="B205" s="246" t="s">
        <v>63</v>
      </c>
      <c r="C205" s="270">
        <v>1</v>
      </c>
      <c r="D205" s="273" t="str">
        <f t="shared" si="21"/>
        <v>Bottle</v>
      </c>
      <c r="E205" s="273">
        <f t="shared" si="19"/>
        <v>2618</v>
      </c>
      <c r="G205" s="273">
        <f t="shared" si="22"/>
        <v>12</v>
      </c>
      <c r="H205" s="247"/>
    </row>
    <row r="206" spans="1:8">
      <c r="A206" s="268">
        <v>46000</v>
      </c>
      <c r="B206" s="246" t="s">
        <v>232</v>
      </c>
      <c r="C206" s="270">
        <v>1</v>
      </c>
      <c r="D206" s="273" t="str">
        <f t="shared" si="21"/>
        <v>Piece</v>
      </c>
      <c r="E206" s="273">
        <f t="shared" si="19"/>
        <v>2136</v>
      </c>
      <c r="F206" s="273" t="s">
        <v>178</v>
      </c>
      <c r="G206" s="273">
        <f t="shared" si="22"/>
        <v>12</v>
      </c>
      <c r="H206" s="247"/>
    </row>
    <row r="207" spans="1:8">
      <c r="A207" s="268">
        <v>46000</v>
      </c>
      <c r="B207" s="246" t="s">
        <v>15</v>
      </c>
      <c r="C207" s="270">
        <v>1</v>
      </c>
      <c r="D207" s="273" t="str">
        <f t="shared" si="21"/>
        <v>Roll</v>
      </c>
      <c r="E207" s="273">
        <f t="shared" si="19"/>
        <v>301</v>
      </c>
      <c r="F207" s="273" t="s">
        <v>178</v>
      </c>
      <c r="G207" s="273">
        <f t="shared" si="22"/>
        <v>12</v>
      </c>
      <c r="H207" s="247"/>
    </row>
    <row r="208" spans="1:8">
      <c r="A208" s="268">
        <v>46000</v>
      </c>
      <c r="B208" s="246" t="s">
        <v>19</v>
      </c>
      <c r="C208" s="270">
        <v>1</v>
      </c>
      <c r="D208" s="273" t="str">
        <f t="shared" si="21"/>
        <v>Roll</v>
      </c>
      <c r="E208" s="273">
        <f t="shared" si="19"/>
        <v>300</v>
      </c>
      <c r="F208" s="273" t="s">
        <v>178</v>
      </c>
      <c r="G208" s="273">
        <f t="shared" si="22"/>
        <v>12</v>
      </c>
      <c r="H208" s="247"/>
    </row>
    <row r="209" spans="1:8">
      <c r="A209" s="268">
        <v>46000</v>
      </c>
      <c r="B209" s="246" t="s">
        <v>10</v>
      </c>
      <c r="C209" s="270">
        <v>2</v>
      </c>
      <c r="D209" s="273" t="str">
        <f t="shared" si="21"/>
        <v>Ream</v>
      </c>
      <c r="E209" s="273">
        <f t="shared" si="19"/>
        <v>2276</v>
      </c>
      <c r="F209" s="273" t="s">
        <v>177</v>
      </c>
      <c r="G209" s="273">
        <f t="shared" si="22"/>
        <v>12</v>
      </c>
      <c r="H209" s="247"/>
    </row>
    <row r="210" spans="1:8">
      <c r="A210" s="268">
        <v>46000</v>
      </c>
      <c r="B210" s="246" t="s">
        <v>38</v>
      </c>
      <c r="C210" s="270">
        <v>200</v>
      </c>
      <c r="D210" s="273" t="s">
        <v>233</v>
      </c>
      <c r="E210" s="273">
        <f t="shared" si="19"/>
        <v>2521</v>
      </c>
      <c r="G210" s="273">
        <f t="shared" si="22"/>
        <v>12</v>
      </c>
      <c r="H210" s="247"/>
    </row>
    <row r="211" spans="1:8">
      <c r="A211" s="268">
        <v>46000</v>
      </c>
      <c r="B211" s="246" t="s">
        <v>39</v>
      </c>
      <c r="C211" s="270">
        <v>200</v>
      </c>
      <c r="D211" s="273" t="s">
        <v>233</v>
      </c>
      <c r="E211" s="273">
        <f t="shared" si="19"/>
        <v>2576</v>
      </c>
      <c r="G211" s="273">
        <f t="shared" si="22"/>
        <v>12</v>
      </c>
      <c r="H211" s="247"/>
    </row>
    <row r="212" spans="1:8">
      <c r="A212" s="268">
        <v>46000</v>
      </c>
      <c r="D212" s="273" t="str">
        <f t="shared" ref="D212:D226" si="23">IFERROR(VLOOKUP(B212,SUPPLY2,3,0),"-")</f>
        <v>-</v>
      </c>
      <c r="E212" s="273" t="str">
        <f t="shared" si="19"/>
        <v>-</v>
      </c>
      <c r="G212" s="273">
        <f t="shared" si="22"/>
        <v>12</v>
      </c>
      <c r="H212" s="247"/>
    </row>
    <row r="213" spans="1:8">
      <c r="A213" s="268">
        <v>46001</v>
      </c>
      <c r="B213" s="246" t="s">
        <v>63</v>
      </c>
      <c r="C213" s="270">
        <v>1</v>
      </c>
      <c r="D213" s="273" t="str">
        <f t="shared" si="23"/>
        <v>Bottle</v>
      </c>
      <c r="E213" s="273">
        <f t="shared" si="19"/>
        <v>2618</v>
      </c>
      <c r="F213" s="273" t="s">
        <v>195</v>
      </c>
      <c r="G213" s="273">
        <f t="shared" si="22"/>
        <v>12</v>
      </c>
      <c r="H213" s="247"/>
    </row>
    <row r="214" spans="1:8">
      <c r="A214" s="268">
        <v>46006</v>
      </c>
      <c r="B214" s="246" t="s">
        <v>63</v>
      </c>
      <c r="C214" s="270">
        <v>2</v>
      </c>
      <c r="D214" s="273" t="str">
        <f t="shared" si="23"/>
        <v>Bottle</v>
      </c>
      <c r="E214" s="273">
        <f t="shared" si="19"/>
        <v>2618</v>
      </c>
      <c r="F214" s="273" t="s">
        <v>202</v>
      </c>
      <c r="G214" s="273">
        <f t="shared" si="22"/>
        <v>12</v>
      </c>
      <c r="H214" s="247"/>
    </row>
    <row r="215" spans="1:8">
      <c r="A215" s="268">
        <v>46006</v>
      </c>
      <c r="B215" s="246" t="s">
        <v>38</v>
      </c>
      <c r="C215" s="270">
        <v>200</v>
      </c>
      <c r="D215" s="273" t="str">
        <f t="shared" si="23"/>
        <v>Ream</v>
      </c>
      <c r="E215" s="273">
        <f t="shared" si="19"/>
        <v>2521</v>
      </c>
      <c r="F215" s="273" t="s">
        <v>212</v>
      </c>
      <c r="G215" s="273">
        <f t="shared" si="22"/>
        <v>12</v>
      </c>
      <c r="H215" s="247"/>
    </row>
    <row r="216" spans="1:8">
      <c r="A216" s="268">
        <v>46006</v>
      </c>
      <c r="B216" s="246" t="s">
        <v>33</v>
      </c>
      <c r="C216" s="270">
        <v>200</v>
      </c>
      <c r="D216" s="273" t="str">
        <f t="shared" si="23"/>
        <v>Ream</v>
      </c>
      <c r="E216" s="273">
        <f t="shared" si="19"/>
        <v>0</v>
      </c>
      <c r="F216" s="273" t="s">
        <v>212</v>
      </c>
      <c r="G216" s="273">
        <f t="shared" si="22"/>
        <v>12</v>
      </c>
      <c r="H216" s="247"/>
    </row>
    <row r="217" spans="1:8">
      <c r="A217" s="268">
        <v>46006</v>
      </c>
      <c r="B217" s="246" t="s">
        <v>10</v>
      </c>
      <c r="C217" s="270">
        <v>1</v>
      </c>
      <c r="D217" s="273" t="str">
        <f t="shared" si="23"/>
        <v>Ream</v>
      </c>
      <c r="E217" s="273">
        <f t="shared" si="19"/>
        <v>2276</v>
      </c>
      <c r="F217" s="273" t="s">
        <v>202</v>
      </c>
      <c r="G217" s="273">
        <f t="shared" si="22"/>
        <v>12</v>
      </c>
      <c r="H217" s="247"/>
    </row>
    <row r="218" spans="1:8">
      <c r="A218" s="268">
        <v>46007</v>
      </c>
      <c r="B218" s="246" t="s">
        <v>63</v>
      </c>
      <c r="C218" s="270">
        <v>2</v>
      </c>
      <c r="D218" s="273" t="str">
        <f t="shared" si="23"/>
        <v>Bottle</v>
      </c>
      <c r="E218" s="273">
        <f t="shared" si="19"/>
        <v>2618</v>
      </c>
      <c r="F218" s="273" t="s">
        <v>195</v>
      </c>
      <c r="G218" s="273">
        <f t="shared" si="22"/>
        <v>12</v>
      </c>
      <c r="H218" s="247"/>
    </row>
    <row r="219" spans="1:8">
      <c r="A219" s="268">
        <v>46007</v>
      </c>
      <c r="B219" s="246" t="s">
        <v>33</v>
      </c>
      <c r="C219" s="270">
        <v>200</v>
      </c>
      <c r="D219" s="273" t="str">
        <f t="shared" si="23"/>
        <v>Ream</v>
      </c>
      <c r="E219" s="273">
        <f t="shared" si="19"/>
        <v>0</v>
      </c>
      <c r="G219" s="273">
        <f t="shared" si="22"/>
        <v>12</v>
      </c>
      <c r="H219" s="247"/>
    </row>
    <row r="220" spans="1:8">
      <c r="A220" s="268">
        <v>46008</v>
      </c>
      <c r="B220" s="246" t="s">
        <v>63</v>
      </c>
      <c r="C220" s="270">
        <v>1</v>
      </c>
      <c r="D220" s="273" t="str">
        <f t="shared" si="23"/>
        <v>Bottle</v>
      </c>
      <c r="E220" s="273">
        <f t="shared" si="19"/>
        <v>2618</v>
      </c>
      <c r="F220" s="273" t="s">
        <v>196</v>
      </c>
      <c r="G220" s="273">
        <f t="shared" si="22"/>
        <v>12</v>
      </c>
      <c r="H220" s="247"/>
    </row>
    <row r="221" spans="1:8">
      <c r="A221" s="268">
        <v>46008</v>
      </c>
      <c r="B221" s="246" t="s">
        <v>33</v>
      </c>
      <c r="C221" s="270">
        <v>100</v>
      </c>
      <c r="D221" s="273" t="str">
        <f t="shared" si="23"/>
        <v>Ream</v>
      </c>
      <c r="E221" s="273">
        <f t="shared" si="19"/>
        <v>0</v>
      </c>
      <c r="F221" s="273" t="s">
        <v>212</v>
      </c>
      <c r="G221" s="273">
        <f t="shared" si="22"/>
        <v>12</v>
      </c>
      <c r="H221" s="247"/>
    </row>
    <row r="222" spans="1:8">
      <c r="A222" s="268">
        <v>46008</v>
      </c>
      <c r="B222" s="246" t="s">
        <v>10</v>
      </c>
      <c r="C222" s="270">
        <v>1</v>
      </c>
      <c r="D222" s="273" t="str">
        <f t="shared" si="23"/>
        <v>Ream</v>
      </c>
      <c r="E222" s="273">
        <f t="shared" si="19"/>
        <v>2276</v>
      </c>
      <c r="F222" s="273" t="s">
        <v>196</v>
      </c>
      <c r="G222" s="273">
        <f t="shared" si="22"/>
        <v>12</v>
      </c>
      <c r="H222" s="247"/>
    </row>
    <row r="223" spans="1:8">
      <c r="A223" s="268">
        <v>46008</v>
      </c>
      <c r="B223" s="246" t="s">
        <v>63</v>
      </c>
      <c r="C223" s="270">
        <v>1</v>
      </c>
      <c r="D223" s="273" t="str">
        <f t="shared" si="23"/>
        <v>Bottle</v>
      </c>
      <c r="E223" s="273">
        <f t="shared" si="19"/>
        <v>2618</v>
      </c>
      <c r="F223" s="273" t="s">
        <v>178</v>
      </c>
      <c r="G223" s="273">
        <f t="shared" si="22"/>
        <v>12</v>
      </c>
      <c r="H223" s="247"/>
    </row>
    <row r="224" spans="1:8">
      <c r="A224" s="268">
        <v>46008</v>
      </c>
      <c r="B224" s="246" t="s">
        <v>63</v>
      </c>
      <c r="C224" s="270">
        <v>1</v>
      </c>
      <c r="D224" s="273" t="str">
        <f t="shared" si="23"/>
        <v>Bottle</v>
      </c>
      <c r="E224" s="273">
        <f t="shared" si="19"/>
        <v>2618</v>
      </c>
      <c r="F224" s="273" t="s">
        <v>177</v>
      </c>
      <c r="G224" s="273">
        <f t="shared" si="22"/>
        <v>12</v>
      </c>
      <c r="H224" s="247"/>
    </row>
    <row r="225" spans="1:8">
      <c r="A225" s="268">
        <v>46008</v>
      </c>
      <c r="B225" s="246" t="s">
        <v>70</v>
      </c>
      <c r="C225" s="270">
        <v>4</v>
      </c>
      <c r="D225" s="273" t="str">
        <f t="shared" si="23"/>
        <v>Roll</v>
      </c>
      <c r="E225" s="273">
        <f t="shared" si="19"/>
        <v>2629</v>
      </c>
      <c r="G225" s="273">
        <f t="shared" si="22"/>
        <v>12</v>
      </c>
      <c r="H225" s="247"/>
    </row>
    <row r="226" spans="1:8">
      <c r="A226" s="268">
        <v>46009</v>
      </c>
      <c r="B226" s="246" t="s">
        <v>63</v>
      </c>
      <c r="C226" s="270">
        <v>1</v>
      </c>
      <c r="D226" s="273" t="str">
        <f t="shared" si="23"/>
        <v>Bottle</v>
      </c>
      <c r="E226" s="273">
        <f t="shared" si="19"/>
        <v>2618</v>
      </c>
      <c r="F226" s="273" t="s">
        <v>212</v>
      </c>
      <c r="G226" s="273">
        <f t="shared" si="22"/>
        <v>12</v>
      </c>
      <c r="H226" s="247"/>
    </row>
    <row r="227" spans="1:8">
      <c r="A227" s="268">
        <v>46009</v>
      </c>
      <c r="B227" s="246" t="s">
        <v>38</v>
      </c>
      <c r="C227" s="270">
        <v>200</v>
      </c>
      <c r="D227" s="273" t="s">
        <v>234</v>
      </c>
      <c r="E227" s="273">
        <f t="shared" si="19"/>
        <v>2521</v>
      </c>
      <c r="F227" s="273" t="s">
        <v>212</v>
      </c>
      <c r="G227" s="273">
        <f t="shared" si="22"/>
        <v>12</v>
      </c>
      <c r="H227" s="247"/>
    </row>
    <row r="228" spans="1:8">
      <c r="A228" s="268">
        <v>46009</v>
      </c>
      <c r="B228" s="246" t="s">
        <v>63</v>
      </c>
      <c r="C228" s="270">
        <v>1</v>
      </c>
      <c r="D228" s="273" t="str">
        <f>IFERROR(VLOOKUP(B228,SUPPLY2,3,0),"-")</f>
        <v>Bottle</v>
      </c>
      <c r="E228" s="273">
        <f t="shared" si="19"/>
        <v>2618</v>
      </c>
      <c r="F228" s="273" t="s">
        <v>177</v>
      </c>
      <c r="G228" s="273">
        <f t="shared" si="22"/>
        <v>12</v>
      </c>
      <c r="H228" s="247"/>
    </row>
    <row r="229" spans="1:8">
      <c r="A229" s="268">
        <v>46028</v>
      </c>
      <c r="B229" s="246" t="s">
        <v>33</v>
      </c>
      <c r="C229" s="270">
        <v>100</v>
      </c>
      <c r="D229" s="273" t="s">
        <v>106</v>
      </c>
      <c r="E229" s="273">
        <f t="shared" si="19"/>
        <v>0</v>
      </c>
      <c r="F229" s="273" t="s">
        <v>235</v>
      </c>
      <c r="G229" s="273">
        <v>1</v>
      </c>
      <c r="H229" s="247"/>
    </row>
    <row r="230" spans="1:8">
      <c r="A230" s="268">
        <v>46028</v>
      </c>
      <c r="B230" s="246" t="s">
        <v>37</v>
      </c>
      <c r="C230" s="270">
        <v>200</v>
      </c>
      <c r="D230" s="273" t="str">
        <f>IFERROR(VLOOKUP(B230,SUPPLY2,3,0),"-")</f>
        <v>Piece</v>
      </c>
      <c r="E230" s="273">
        <f t="shared" si="19"/>
        <v>0</v>
      </c>
      <c r="F230" s="273" t="s">
        <v>235</v>
      </c>
      <c r="G230" s="273">
        <v>1</v>
      </c>
      <c r="H230" s="247"/>
    </row>
    <row r="231" spans="1:8">
      <c r="A231" s="268">
        <v>46028</v>
      </c>
      <c r="B231" s="246" t="s">
        <v>38</v>
      </c>
      <c r="C231" s="270">
        <v>400</v>
      </c>
      <c r="D231" s="273" t="s">
        <v>106</v>
      </c>
      <c r="E231" s="273">
        <f t="shared" si="19"/>
        <v>2521</v>
      </c>
      <c r="F231" s="273" t="s">
        <v>235</v>
      </c>
      <c r="G231" s="273">
        <v>1</v>
      </c>
      <c r="H231" s="247"/>
    </row>
    <row r="232" spans="1:8">
      <c r="A232" s="268">
        <v>46028</v>
      </c>
      <c r="B232" s="246" t="s">
        <v>34</v>
      </c>
      <c r="C232" s="270">
        <v>100</v>
      </c>
      <c r="D232" s="273" t="str">
        <f>IFERROR(VLOOKUP(B232,SUPPLY2,3,0),"-")</f>
        <v>Ream</v>
      </c>
      <c r="E232" s="273">
        <f t="shared" si="19"/>
        <v>0</v>
      </c>
      <c r="F232" s="273" t="s">
        <v>235</v>
      </c>
      <c r="G232" s="273">
        <v>1</v>
      </c>
      <c r="H232" s="247"/>
    </row>
    <row r="233" spans="1:8">
      <c r="A233" s="268">
        <v>46029</v>
      </c>
      <c r="B233" s="246" t="s">
        <v>34</v>
      </c>
      <c r="C233" s="270">
        <v>100</v>
      </c>
      <c r="D233" s="273" t="s">
        <v>106</v>
      </c>
      <c r="E233" s="273">
        <f t="shared" si="19"/>
        <v>0</v>
      </c>
      <c r="F233" s="273" t="s">
        <v>235</v>
      </c>
      <c r="G233" s="273">
        <v>1</v>
      </c>
      <c r="H233" s="247"/>
    </row>
    <row r="234" spans="1:8">
      <c r="A234" s="268">
        <v>46029</v>
      </c>
      <c r="B234" s="246" t="s">
        <v>10</v>
      </c>
      <c r="C234" s="270">
        <v>1</v>
      </c>
      <c r="D234" s="273" t="str">
        <f>IFERROR(VLOOKUP(B234,SUPPLY2,3,0),"-")</f>
        <v>Ream</v>
      </c>
      <c r="E234" s="273">
        <f t="shared" si="19"/>
        <v>2276</v>
      </c>
      <c r="F234" s="273" t="s">
        <v>177</v>
      </c>
      <c r="G234" s="273">
        <v>1</v>
      </c>
      <c r="H234" s="247"/>
    </row>
    <row r="235" spans="1:8">
      <c r="A235" s="268">
        <v>46029</v>
      </c>
      <c r="B235" s="246" t="s">
        <v>33</v>
      </c>
      <c r="C235" s="270">
        <v>100</v>
      </c>
      <c r="D235" s="273" t="s">
        <v>106</v>
      </c>
      <c r="E235" s="273">
        <f t="shared" si="19"/>
        <v>0</v>
      </c>
      <c r="F235" s="273" t="s">
        <v>235</v>
      </c>
      <c r="G235" s="273">
        <v>1</v>
      </c>
      <c r="H235" s="247"/>
    </row>
    <row r="236" spans="1:8">
      <c r="A236" s="268">
        <v>46030</v>
      </c>
      <c r="B236" s="246" t="s">
        <v>18</v>
      </c>
      <c r="C236" s="270">
        <v>5</v>
      </c>
      <c r="D236" s="273" t="str">
        <f>IFERROR(VLOOKUP(B236,SUPPLY2,3,0),"-")</f>
        <v>Piece</v>
      </c>
      <c r="E236" s="273">
        <f t="shared" ref="E236:E299" si="24">IFERROR(VLOOKUP(B236,SUPPLY2,4,0),"-")</f>
        <v>337</v>
      </c>
      <c r="F236" s="273" t="s">
        <v>235</v>
      </c>
      <c r="G236" s="273">
        <v>1</v>
      </c>
      <c r="H236" s="247"/>
    </row>
    <row r="237" spans="1:8">
      <c r="A237" s="268">
        <v>46030</v>
      </c>
      <c r="B237" s="246" t="s">
        <v>33</v>
      </c>
      <c r="C237" s="270">
        <v>200</v>
      </c>
      <c r="D237" s="273" t="s">
        <v>106</v>
      </c>
      <c r="E237" s="273">
        <f t="shared" si="24"/>
        <v>0</v>
      </c>
      <c r="F237" s="273" t="s">
        <v>235</v>
      </c>
      <c r="G237" s="273">
        <v>1</v>
      </c>
      <c r="H237" s="247"/>
    </row>
    <row r="238" spans="1:8">
      <c r="A238" s="268">
        <v>46030</v>
      </c>
      <c r="B238" s="246" t="s">
        <v>38</v>
      </c>
      <c r="C238" s="270">
        <v>100</v>
      </c>
      <c r="D238" s="273" t="str">
        <f>IFERROR(VLOOKUP(B238,SUPPLY2,3,0),"-")</f>
        <v>Ream</v>
      </c>
      <c r="E238" s="273">
        <f t="shared" si="24"/>
        <v>2521</v>
      </c>
      <c r="F238" s="273" t="s">
        <v>235</v>
      </c>
      <c r="G238" s="273">
        <v>1</v>
      </c>
      <c r="H238" s="247"/>
    </row>
    <row r="239" spans="1:8">
      <c r="A239" s="268">
        <v>46031</v>
      </c>
      <c r="B239" s="246" t="s">
        <v>38</v>
      </c>
      <c r="C239" s="270">
        <v>200</v>
      </c>
      <c r="D239" s="273" t="s">
        <v>106</v>
      </c>
      <c r="E239" s="273">
        <f t="shared" si="24"/>
        <v>2521</v>
      </c>
      <c r="F239" s="273" t="s">
        <v>235</v>
      </c>
      <c r="G239" s="273">
        <v>1</v>
      </c>
      <c r="H239" s="247"/>
    </row>
    <row r="240" spans="1:8">
      <c r="A240" s="268">
        <v>46031</v>
      </c>
      <c r="B240" s="246" t="s">
        <v>63</v>
      </c>
      <c r="C240" s="270">
        <v>1</v>
      </c>
      <c r="D240" s="273" t="str">
        <f>IFERROR(VLOOKUP(B240,SUPPLY2,3,0),"-")</f>
        <v>Bottle</v>
      </c>
      <c r="E240" s="273">
        <f t="shared" si="24"/>
        <v>2618</v>
      </c>
      <c r="F240" s="273" t="s">
        <v>235</v>
      </c>
      <c r="G240" s="273">
        <v>1</v>
      </c>
      <c r="H240" s="247"/>
    </row>
    <row r="241" spans="1:8">
      <c r="A241" s="268">
        <v>46031</v>
      </c>
      <c r="B241" s="246" t="s">
        <v>33</v>
      </c>
      <c r="C241" s="270">
        <v>100</v>
      </c>
      <c r="D241" s="273" t="s">
        <v>106</v>
      </c>
      <c r="E241" s="273">
        <f t="shared" si="24"/>
        <v>0</v>
      </c>
      <c r="F241" s="273" t="s">
        <v>235</v>
      </c>
      <c r="G241" s="273">
        <v>1</v>
      </c>
      <c r="H241" s="247"/>
    </row>
    <row r="242" spans="1:8">
      <c r="A242" s="268">
        <v>46031</v>
      </c>
      <c r="B242" s="246" t="s">
        <v>221</v>
      </c>
      <c r="C242" s="270">
        <v>1</v>
      </c>
      <c r="D242" s="273" t="str">
        <f>IFERROR(VLOOKUP(B242,SUPPLY2,3,0),"-")</f>
        <v>Set</v>
      </c>
      <c r="E242" s="273">
        <f t="shared" si="24"/>
        <v>313</v>
      </c>
      <c r="F242" s="273" t="s">
        <v>177</v>
      </c>
      <c r="G242" s="273">
        <v>1</v>
      </c>
      <c r="H242" s="247"/>
    </row>
    <row r="243" spans="1:8">
      <c r="A243" s="268">
        <v>46031</v>
      </c>
      <c r="B243" s="246" t="s">
        <v>10</v>
      </c>
      <c r="C243" s="270">
        <v>1</v>
      </c>
      <c r="D243" s="273" t="str">
        <f>IFERROR(VLOOKUP(B243,SUPPLY2,3,0),"-")</f>
        <v>Ream</v>
      </c>
      <c r="E243" s="273">
        <f t="shared" si="24"/>
        <v>2276</v>
      </c>
      <c r="F243" s="273" t="s">
        <v>177</v>
      </c>
      <c r="G243" s="273">
        <v>1</v>
      </c>
      <c r="H243" s="247"/>
    </row>
    <row r="244" spans="1:8">
      <c r="A244" s="268">
        <v>46031</v>
      </c>
      <c r="B244" s="246" t="s">
        <v>30</v>
      </c>
      <c r="C244" s="270">
        <v>1</v>
      </c>
      <c r="D244" s="273" t="str">
        <f>IFERROR(VLOOKUP(B244,SUPPLY2,3,0),"-")</f>
        <v>Box</v>
      </c>
      <c r="E244" s="273">
        <f t="shared" si="24"/>
        <v>310</v>
      </c>
      <c r="F244" s="273" t="s">
        <v>200</v>
      </c>
      <c r="G244" s="273">
        <v>1</v>
      </c>
      <c r="H244" s="247"/>
    </row>
    <row r="245" spans="1:8">
      <c r="A245" s="268">
        <v>46031</v>
      </c>
      <c r="B245" s="246" t="s">
        <v>23</v>
      </c>
      <c r="C245" s="270">
        <v>1</v>
      </c>
      <c r="D245" s="273" t="str">
        <f>IFERROR(VLOOKUP(B245,SUPPLY2,3,0),"-")</f>
        <v>Piece</v>
      </c>
      <c r="E245" s="273">
        <f t="shared" si="24"/>
        <v>0</v>
      </c>
      <c r="F245" s="273" t="s">
        <v>200</v>
      </c>
      <c r="G245" s="273">
        <v>1</v>
      </c>
      <c r="H245" s="247"/>
    </row>
    <row r="246" spans="1:8">
      <c r="A246" s="268">
        <v>46031</v>
      </c>
      <c r="B246" s="246" t="s">
        <v>10</v>
      </c>
      <c r="C246" s="270">
        <v>1</v>
      </c>
      <c r="D246" s="273" t="str">
        <f>IFERROR(VLOOKUP(B246,SUPPLY2,3,0),"-")</f>
        <v>Ream</v>
      </c>
      <c r="E246" s="273">
        <f t="shared" si="24"/>
        <v>2276</v>
      </c>
      <c r="F246" s="273" t="s">
        <v>177</v>
      </c>
      <c r="G246" s="273">
        <v>1</v>
      </c>
      <c r="H246" s="247"/>
    </row>
    <row r="247" spans="1:8">
      <c r="A247" s="268">
        <v>46034</v>
      </c>
      <c r="B247" s="246" t="s">
        <v>33</v>
      </c>
      <c r="C247" s="270">
        <v>200</v>
      </c>
      <c r="D247" s="273" t="s">
        <v>106</v>
      </c>
      <c r="E247" s="273">
        <f t="shared" si="24"/>
        <v>0</v>
      </c>
      <c r="F247" s="273" t="s">
        <v>235</v>
      </c>
      <c r="G247" s="273">
        <v>1</v>
      </c>
      <c r="H247" s="247"/>
    </row>
    <row r="248" spans="1:8">
      <c r="A248" s="268">
        <v>46034</v>
      </c>
      <c r="B248" s="246" t="s">
        <v>38</v>
      </c>
      <c r="C248" s="270">
        <v>200</v>
      </c>
      <c r="D248" s="273" t="s">
        <v>106</v>
      </c>
      <c r="E248" s="273">
        <f t="shared" si="24"/>
        <v>2521</v>
      </c>
      <c r="F248" s="273" t="s">
        <v>235</v>
      </c>
      <c r="G248" s="273">
        <v>1</v>
      </c>
      <c r="H248" s="247"/>
    </row>
    <row r="249" spans="1:8">
      <c r="A249" s="268">
        <v>46034</v>
      </c>
      <c r="B249" s="246" t="s">
        <v>18</v>
      </c>
      <c r="C249" s="270">
        <v>2</v>
      </c>
      <c r="D249" s="273" t="str">
        <f>IFERROR(VLOOKUP(B249,SUPPLY2,3,0),"-")</f>
        <v>Piece</v>
      </c>
      <c r="E249" s="273">
        <f t="shared" si="24"/>
        <v>337</v>
      </c>
      <c r="F249" s="273" t="s">
        <v>235</v>
      </c>
      <c r="G249" s="273">
        <v>1</v>
      </c>
      <c r="H249" s="247"/>
    </row>
    <row r="250" spans="1:8">
      <c r="A250" s="268">
        <v>46034</v>
      </c>
      <c r="B250" s="246" t="s">
        <v>34</v>
      </c>
      <c r="C250" s="270">
        <v>100</v>
      </c>
      <c r="D250" s="273" t="s">
        <v>106</v>
      </c>
      <c r="E250" s="273">
        <f t="shared" si="24"/>
        <v>0</v>
      </c>
      <c r="F250" s="273" t="s">
        <v>235</v>
      </c>
      <c r="G250" s="273">
        <v>1</v>
      </c>
      <c r="H250" s="247"/>
    </row>
    <row r="251" spans="1:8">
      <c r="A251" s="268">
        <v>46034</v>
      </c>
      <c r="B251" s="246" t="s">
        <v>18</v>
      </c>
      <c r="C251" s="270">
        <v>1</v>
      </c>
      <c r="D251" s="273" t="str">
        <f>IFERROR(VLOOKUP(B251,SUPPLY2,3,0),"-")</f>
        <v>Piece</v>
      </c>
      <c r="E251" s="273">
        <f t="shared" si="24"/>
        <v>337</v>
      </c>
      <c r="F251" s="273" t="s">
        <v>200</v>
      </c>
      <c r="G251" s="273">
        <v>1</v>
      </c>
      <c r="H251" s="247"/>
    </row>
    <row r="252" spans="1:8">
      <c r="A252" s="268">
        <v>46035</v>
      </c>
      <c r="B252" s="246" t="s">
        <v>22</v>
      </c>
      <c r="C252" s="270">
        <v>4</v>
      </c>
      <c r="D252" s="273" t="str">
        <f>IFERROR(VLOOKUP(B252,SUPPLY2,3,0),"-")</f>
        <v>Roll</v>
      </c>
      <c r="E252" s="273">
        <f t="shared" si="24"/>
        <v>281</v>
      </c>
      <c r="F252" s="273" t="s">
        <v>177</v>
      </c>
      <c r="G252" s="273">
        <v>1</v>
      </c>
      <c r="H252" s="247"/>
    </row>
    <row r="253" spans="1:8">
      <c r="A253" s="268">
        <v>46035</v>
      </c>
      <c r="B253" s="246" t="s">
        <v>18</v>
      </c>
      <c r="C253" s="270">
        <v>2</v>
      </c>
      <c r="D253" s="273" t="str">
        <f>IFERROR(VLOOKUP(B253,SUPPLY2,3,0),"-")</f>
        <v>Piece</v>
      </c>
      <c r="E253" s="273">
        <f t="shared" si="24"/>
        <v>337</v>
      </c>
      <c r="F253" s="273" t="s">
        <v>177</v>
      </c>
      <c r="G253" s="273">
        <v>1</v>
      </c>
      <c r="H253" s="247"/>
    </row>
    <row r="254" spans="1:8">
      <c r="A254" s="268">
        <v>46035</v>
      </c>
      <c r="B254" s="246" t="s">
        <v>10</v>
      </c>
      <c r="C254" s="270">
        <v>1</v>
      </c>
      <c r="D254" s="273" t="str">
        <f>IFERROR(VLOOKUP(B254,SUPPLY2,3,0),"-")</f>
        <v>Ream</v>
      </c>
      <c r="E254" s="273">
        <f t="shared" si="24"/>
        <v>2276</v>
      </c>
      <c r="F254" s="273" t="s">
        <v>177</v>
      </c>
      <c r="G254" s="273">
        <v>1</v>
      </c>
      <c r="H254" s="247"/>
    </row>
    <row r="255" spans="1:8">
      <c r="A255" s="268">
        <v>46035</v>
      </c>
      <c r="B255" s="246" t="s">
        <v>34</v>
      </c>
      <c r="C255" s="270">
        <v>100</v>
      </c>
      <c r="D255" s="273" t="s">
        <v>216</v>
      </c>
      <c r="E255" s="273">
        <f t="shared" si="24"/>
        <v>0</v>
      </c>
      <c r="F255" s="273" t="s">
        <v>235</v>
      </c>
      <c r="G255" s="273">
        <v>1</v>
      </c>
      <c r="H255" s="247"/>
    </row>
    <row r="256" spans="1:8">
      <c r="A256" s="268">
        <v>46035</v>
      </c>
      <c r="B256" s="246" t="s">
        <v>38</v>
      </c>
      <c r="C256" s="270">
        <v>200</v>
      </c>
      <c r="D256" s="273" t="str">
        <f>IFERROR(VLOOKUP(B256,SUPPLY2,3,0),"-")</f>
        <v>Ream</v>
      </c>
      <c r="E256" s="273">
        <f t="shared" si="24"/>
        <v>2521</v>
      </c>
      <c r="F256" s="273" t="s">
        <v>235</v>
      </c>
      <c r="G256" s="273">
        <v>1</v>
      </c>
      <c r="H256" s="247"/>
    </row>
    <row r="257" spans="1:8">
      <c r="A257" s="268">
        <v>46035</v>
      </c>
      <c r="B257" s="246" t="s">
        <v>33</v>
      </c>
      <c r="C257" s="270">
        <v>100</v>
      </c>
      <c r="D257" s="273" t="s">
        <v>216</v>
      </c>
      <c r="E257" s="273">
        <f t="shared" si="24"/>
        <v>0</v>
      </c>
      <c r="F257" s="273" t="s">
        <v>235</v>
      </c>
      <c r="G257" s="273">
        <v>1</v>
      </c>
      <c r="H257" s="247"/>
    </row>
    <row r="258" spans="1:8">
      <c r="A258" s="268">
        <v>46035</v>
      </c>
      <c r="B258" s="246" t="s">
        <v>63</v>
      </c>
      <c r="C258" s="270">
        <v>1</v>
      </c>
      <c r="D258" s="273" t="str">
        <f>IFERROR(VLOOKUP(B258,SUPPLY2,3,0),"-")</f>
        <v>Bottle</v>
      </c>
      <c r="E258" s="273">
        <f t="shared" si="24"/>
        <v>2618</v>
      </c>
      <c r="F258" s="273" t="s">
        <v>177</v>
      </c>
      <c r="G258" s="273">
        <v>1</v>
      </c>
      <c r="H258" s="247"/>
    </row>
    <row r="259" spans="1:8">
      <c r="A259" s="268">
        <v>46035</v>
      </c>
      <c r="B259" s="246" t="s">
        <v>220</v>
      </c>
      <c r="C259" s="270">
        <v>1</v>
      </c>
      <c r="D259" s="273" t="str">
        <f>IFERROR(VLOOKUP(B259,SUPPLY2,3,0),"-")</f>
        <v>-</v>
      </c>
      <c r="E259" s="273" t="str">
        <f t="shared" si="24"/>
        <v>-</v>
      </c>
      <c r="F259" s="273" t="s">
        <v>177</v>
      </c>
      <c r="G259" s="273">
        <v>1</v>
      </c>
      <c r="H259" s="247"/>
    </row>
    <row r="260" spans="1:8">
      <c r="A260" s="268">
        <v>46036</v>
      </c>
      <c r="B260" s="246" t="s">
        <v>33</v>
      </c>
      <c r="C260" s="270">
        <v>100</v>
      </c>
      <c r="D260" s="273" t="s">
        <v>216</v>
      </c>
      <c r="E260" s="273">
        <f t="shared" si="24"/>
        <v>0</v>
      </c>
      <c r="F260" s="273" t="s">
        <v>235</v>
      </c>
      <c r="G260" s="273">
        <v>1</v>
      </c>
      <c r="H260" s="247"/>
    </row>
    <row r="261" spans="1:8">
      <c r="A261" s="268">
        <v>46036</v>
      </c>
      <c r="B261" s="246" t="s">
        <v>38</v>
      </c>
      <c r="C261" s="270">
        <v>200</v>
      </c>
      <c r="D261" s="273" t="str">
        <f>IFERROR(VLOOKUP(B261,SUPPLY2,3,0),"-")</f>
        <v>Ream</v>
      </c>
      <c r="E261" s="273">
        <f t="shared" si="24"/>
        <v>2521</v>
      </c>
      <c r="F261" s="273" t="s">
        <v>235</v>
      </c>
      <c r="G261" s="273">
        <v>1</v>
      </c>
      <c r="H261" s="247"/>
    </row>
    <row r="262" spans="1:8">
      <c r="A262" s="268">
        <v>46036</v>
      </c>
      <c r="B262" s="246" t="s">
        <v>63</v>
      </c>
      <c r="C262" s="270">
        <v>1</v>
      </c>
      <c r="D262" s="273" t="str">
        <f>IFERROR(VLOOKUP(B262,SUPPLY2,3,0),"-")</f>
        <v>Bottle</v>
      </c>
      <c r="E262" s="273">
        <f t="shared" si="24"/>
        <v>2618</v>
      </c>
      <c r="F262" s="273" t="s">
        <v>177</v>
      </c>
      <c r="G262" s="273">
        <v>1</v>
      </c>
      <c r="H262" s="247"/>
    </row>
    <row r="263" spans="1:8">
      <c r="A263" s="268">
        <v>46037</v>
      </c>
      <c r="B263" s="246" t="s">
        <v>34</v>
      </c>
      <c r="C263" s="270">
        <v>100</v>
      </c>
      <c r="D263" s="273" t="s">
        <v>106</v>
      </c>
      <c r="E263" s="273">
        <f t="shared" si="24"/>
        <v>0</v>
      </c>
      <c r="F263" s="273" t="s">
        <v>235</v>
      </c>
      <c r="G263" s="273">
        <v>1</v>
      </c>
      <c r="H263" s="247"/>
    </row>
    <row r="264" spans="1:8">
      <c r="A264" s="268">
        <v>46037</v>
      </c>
      <c r="B264" s="246" t="s">
        <v>38</v>
      </c>
      <c r="C264" s="270">
        <v>100</v>
      </c>
      <c r="D264" s="273" t="s">
        <v>106</v>
      </c>
      <c r="E264" s="273">
        <f t="shared" si="24"/>
        <v>2521</v>
      </c>
      <c r="F264" s="273" t="s">
        <v>235</v>
      </c>
      <c r="G264" s="273">
        <v>1</v>
      </c>
      <c r="H264" s="247"/>
    </row>
    <row r="265" spans="1:8">
      <c r="A265" s="268">
        <v>46037</v>
      </c>
      <c r="B265" s="246" t="s">
        <v>37</v>
      </c>
      <c r="C265" s="270">
        <v>100</v>
      </c>
      <c r="D265" s="273" t="str">
        <f t="shared" ref="D265:D270" si="25">IFERROR(VLOOKUP(B265,SUPPLY2,3,0),"-")</f>
        <v>Piece</v>
      </c>
      <c r="E265" s="273">
        <f t="shared" si="24"/>
        <v>0</v>
      </c>
      <c r="F265" s="273" t="s">
        <v>235</v>
      </c>
      <c r="G265" s="273">
        <v>1</v>
      </c>
      <c r="H265" s="247"/>
    </row>
    <row r="266" spans="1:8">
      <c r="A266" s="268">
        <v>46037</v>
      </c>
      <c r="B266" s="246" t="s">
        <v>39</v>
      </c>
      <c r="C266" s="270">
        <v>100</v>
      </c>
      <c r="D266" s="273" t="str">
        <f t="shared" si="25"/>
        <v>Ream</v>
      </c>
      <c r="E266" s="273">
        <f t="shared" si="24"/>
        <v>2576</v>
      </c>
      <c r="F266" s="273" t="s">
        <v>235</v>
      </c>
      <c r="G266" s="273">
        <v>1</v>
      </c>
      <c r="H266" s="247"/>
    </row>
    <row r="267" spans="1:8">
      <c r="A267" s="268">
        <v>46037</v>
      </c>
      <c r="B267" s="246" t="s">
        <v>10</v>
      </c>
      <c r="C267" s="270">
        <v>1</v>
      </c>
      <c r="D267" s="273" t="str">
        <f t="shared" si="25"/>
        <v>Ream</v>
      </c>
      <c r="E267" s="273">
        <f t="shared" si="24"/>
        <v>2276</v>
      </c>
      <c r="F267" s="273" t="s">
        <v>177</v>
      </c>
      <c r="G267" s="273">
        <v>1</v>
      </c>
      <c r="H267" s="247"/>
    </row>
    <row r="268" spans="1:8">
      <c r="A268" s="268">
        <v>46037</v>
      </c>
      <c r="B268" s="246" t="s">
        <v>236</v>
      </c>
      <c r="C268" s="270">
        <v>5</v>
      </c>
      <c r="D268" s="273" t="str">
        <f t="shared" si="25"/>
        <v>-</v>
      </c>
      <c r="E268" s="273" t="str">
        <f t="shared" si="24"/>
        <v>-</v>
      </c>
      <c r="F268" s="273" t="s">
        <v>200</v>
      </c>
      <c r="G268" s="273">
        <v>1</v>
      </c>
      <c r="H268" s="247"/>
    </row>
    <row r="269" spans="1:8">
      <c r="A269" s="268">
        <v>46037</v>
      </c>
      <c r="B269" s="246" t="s">
        <v>13</v>
      </c>
      <c r="D269" s="273" t="str">
        <f t="shared" si="25"/>
        <v>C</v>
      </c>
      <c r="E269" s="273">
        <f t="shared" si="24"/>
        <v>330</v>
      </c>
      <c r="F269" s="273" t="s">
        <v>200</v>
      </c>
      <c r="G269" s="273">
        <v>1</v>
      </c>
      <c r="H269" s="247"/>
    </row>
    <row r="270" spans="1:8">
      <c r="A270" s="268">
        <v>46037</v>
      </c>
      <c r="B270" s="246" t="s">
        <v>231</v>
      </c>
      <c r="C270" s="270">
        <v>1</v>
      </c>
      <c r="D270" s="273" t="str">
        <f t="shared" si="25"/>
        <v>Piece</v>
      </c>
      <c r="E270" s="273">
        <f t="shared" si="24"/>
        <v>312</v>
      </c>
      <c r="F270" s="273" t="s">
        <v>200</v>
      </c>
      <c r="G270" s="273">
        <v>1</v>
      </c>
      <c r="H270" s="247"/>
    </row>
    <row r="271" spans="1:8">
      <c r="A271" s="268">
        <v>46037</v>
      </c>
      <c r="B271" s="246" t="s">
        <v>33</v>
      </c>
      <c r="C271" s="270">
        <v>100</v>
      </c>
      <c r="D271" s="273" t="s">
        <v>106</v>
      </c>
      <c r="E271" s="273">
        <f t="shared" si="24"/>
        <v>0</v>
      </c>
      <c r="F271" s="273" t="s">
        <v>235</v>
      </c>
      <c r="G271" s="273">
        <v>1</v>
      </c>
      <c r="H271" s="247"/>
    </row>
    <row r="272" spans="1:8">
      <c r="A272" s="268">
        <v>46037</v>
      </c>
      <c r="B272" s="246" t="s">
        <v>18</v>
      </c>
      <c r="C272" s="270">
        <v>3</v>
      </c>
      <c r="D272" s="273" t="str">
        <f>IFERROR(VLOOKUP(B272,SUPPLY2,3,0),"-")</f>
        <v>Piece</v>
      </c>
      <c r="E272" s="273">
        <f t="shared" si="24"/>
        <v>337</v>
      </c>
      <c r="F272" s="273" t="s">
        <v>200</v>
      </c>
      <c r="G272" s="273">
        <v>1</v>
      </c>
      <c r="H272" s="247"/>
    </row>
    <row r="273" spans="1:8">
      <c r="A273" s="268">
        <v>46041</v>
      </c>
      <c r="B273" s="246" t="s">
        <v>33</v>
      </c>
      <c r="C273" s="270">
        <v>100</v>
      </c>
      <c r="D273" s="273" t="s">
        <v>216</v>
      </c>
      <c r="E273" s="273">
        <f t="shared" si="24"/>
        <v>0</v>
      </c>
      <c r="F273" s="273" t="s">
        <v>235</v>
      </c>
      <c r="G273" s="273">
        <v>1</v>
      </c>
      <c r="H273" s="247"/>
    </row>
    <row r="274" spans="1:8">
      <c r="A274" s="268">
        <v>46041</v>
      </c>
      <c r="B274" s="246" t="s">
        <v>34</v>
      </c>
      <c r="C274" s="270">
        <v>100</v>
      </c>
      <c r="D274" s="273" t="s">
        <v>216</v>
      </c>
      <c r="E274" s="273">
        <f t="shared" si="24"/>
        <v>0</v>
      </c>
      <c r="F274" s="273" t="s">
        <v>235</v>
      </c>
      <c r="G274" s="273">
        <v>1</v>
      </c>
      <c r="H274" s="247"/>
    </row>
    <row r="275" spans="1:8">
      <c r="A275" s="268">
        <v>46041</v>
      </c>
      <c r="B275" s="246" t="s">
        <v>13</v>
      </c>
      <c r="C275" s="270">
        <v>20</v>
      </c>
      <c r="D275" s="273" t="str">
        <f>IFERROR(VLOOKUP(B275,SUPPLY2,3,0),"-")</f>
        <v>C</v>
      </c>
      <c r="E275" s="273">
        <f t="shared" si="24"/>
        <v>330</v>
      </c>
      <c r="F275" s="273" t="s">
        <v>200</v>
      </c>
      <c r="G275" s="273">
        <v>1</v>
      </c>
      <c r="H275" s="247"/>
    </row>
    <row r="276" spans="1:8">
      <c r="A276" s="268">
        <v>46041</v>
      </c>
      <c r="B276" s="246" t="s">
        <v>18</v>
      </c>
      <c r="C276" s="270">
        <v>3</v>
      </c>
      <c r="D276" s="273" t="str">
        <f>IFERROR(VLOOKUP(B276,SUPPLY2,3,0),"-")</f>
        <v>Piece</v>
      </c>
      <c r="E276" s="273">
        <f t="shared" si="24"/>
        <v>337</v>
      </c>
      <c r="F276" s="273" t="s">
        <v>178</v>
      </c>
      <c r="G276" s="273">
        <v>1</v>
      </c>
      <c r="H276" s="247"/>
    </row>
    <row r="277" spans="1:8">
      <c r="A277" s="268">
        <v>46041</v>
      </c>
      <c r="B277" s="246" t="s">
        <v>30</v>
      </c>
      <c r="C277" s="270">
        <v>1</v>
      </c>
      <c r="D277" s="273" t="str">
        <f>IFERROR(VLOOKUP(B277,SUPPLY2,3,0),"-")</f>
        <v>Box</v>
      </c>
      <c r="E277" s="273">
        <f t="shared" si="24"/>
        <v>310</v>
      </c>
      <c r="F277" s="273" t="s">
        <v>177</v>
      </c>
      <c r="G277" s="273">
        <v>1</v>
      </c>
      <c r="H277" s="247"/>
    </row>
    <row r="278" spans="1:8">
      <c r="A278" s="268">
        <v>46042</v>
      </c>
      <c r="B278" s="246" t="s">
        <v>33</v>
      </c>
      <c r="C278" s="270">
        <v>200</v>
      </c>
      <c r="D278" s="273" t="s">
        <v>106</v>
      </c>
      <c r="E278" s="273">
        <f t="shared" si="24"/>
        <v>0</v>
      </c>
      <c r="F278" s="273" t="s">
        <v>235</v>
      </c>
      <c r="G278" s="273">
        <v>1</v>
      </c>
      <c r="H278" s="247"/>
    </row>
    <row r="279" spans="1:8">
      <c r="A279" s="268">
        <v>46042</v>
      </c>
      <c r="B279" s="246" t="s">
        <v>18</v>
      </c>
      <c r="C279" s="270">
        <v>1</v>
      </c>
      <c r="D279" s="273" t="str">
        <f t="shared" ref="D279:D288" si="26">IFERROR(VLOOKUP(B279,SUPPLY2,3,0),"-")</f>
        <v>Piece</v>
      </c>
      <c r="E279" s="273">
        <f t="shared" si="24"/>
        <v>337</v>
      </c>
      <c r="F279" s="273" t="s">
        <v>200</v>
      </c>
      <c r="G279" s="273">
        <v>1</v>
      </c>
      <c r="H279" s="247"/>
    </row>
    <row r="280" spans="1:8">
      <c r="A280" s="268">
        <v>46042</v>
      </c>
      <c r="B280" s="246" t="s">
        <v>63</v>
      </c>
      <c r="C280" s="270">
        <v>2</v>
      </c>
      <c r="D280" s="273" t="str">
        <f t="shared" si="26"/>
        <v>Bottle</v>
      </c>
      <c r="E280" s="273">
        <f t="shared" si="24"/>
        <v>2618</v>
      </c>
      <c r="F280" s="273" t="s">
        <v>177</v>
      </c>
      <c r="G280" s="273">
        <v>1</v>
      </c>
      <c r="H280" s="247"/>
    </row>
    <row r="281" spans="1:8">
      <c r="A281" s="268">
        <v>46042</v>
      </c>
      <c r="B281" s="246" t="s">
        <v>10</v>
      </c>
      <c r="C281" s="270">
        <v>1</v>
      </c>
      <c r="D281" s="273" t="str">
        <f t="shared" si="26"/>
        <v>Ream</v>
      </c>
      <c r="E281" s="273">
        <f t="shared" si="24"/>
        <v>2276</v>
      </c>
      <c r="F281" s="273" t="s">
        <v>177</v>
      </c>
      <c r="G281" s="273">
        <v>1</v>
      </c>
      <c r="H281" s="247"/>
    </row>
    <row r="282" spans="1:8">
      <c r="A282" s="268">
        <v>46042</v>
      </c>
      <c r="B282" s="246" t="s">
        <v>15</v>
      </c>
      <c r="C282" s="270">
        <v>1</v>
      </c>
      <c r="D282" s="273" t="str">
        <f t="shared" si="26"/>
        <v>Roll</v>
      </c>
      <c r="E282" s="273">
        <f t="shared" si="24"/>
        <v>301</v>
      </c>
      <c r="F282" s="273" t="s">
        <v>177</v>
      </c>
      <c r="G282" s="273">
        <v>1</v>
      </c>
      <c r="H282" s="247"/>
    </row>
    <row r="283" spans="1:8">
      <c r="A283" s="268">
        <v>46042</v>
      </c>
      <c r="B283" s="246" t="s">
        <v>22</v>
      </c>
      <c r="C283" s="270">
        <v>1</v>
      </c>
      <c r="D283" s="273" t="str">
        <f t="shared" si="26"/>
        <v>Roll</v>
      </c>
      <c r="E283" s="273">
        <f t="shared" si="24"/>
        <v>281</v>
      </c>
      <c r="F283" s="273" t="s">
        <v>178</v>
      </c>
      <c r="G283" s="273">
        <v>1</v>
      </c>
      <c r="H283" s="247"/>
    </row>
    <row r="284" spans="1:8">
      <c r="A284" s="268">
        <v>46042</v>
      </c>
      <c r="B284" s="246" t="s">
        <v>38</v>
      </c>
      <c r="C284" s="270">
        <v>100</v>
      </c>
      <c r="D284" s="273" t="str">
        <f t="shared" si="26"/>
        <v>Ream</v>
      </c>
      <c r="E284" s="273">
        <f t="shared" si="24"/>
        <v>2521</v>
      </c>
      <c r="F284" s="273" t="s">
        <v>235</v>
      </c>
      <c r="G284" s="273">
        <v>1</v>
      </c>
      <c r="H284" s="247"/>
    </row>
    <row r="285" spans="1:8">
      <c r="A285" s="268">
        <v>46042</v>
      </c>
      <c r="B285" s="246" t="s">
        <v>37</v>
      </c>
      <c r="C285" s="270">
        <v>100</v>
      </c>
      <c r="D285" s="273" t="str">
        <f t="shared" si="26"/>
        <v>Piece</v>
      </c>
      <c r="E285" s="273">
        <f t="shared" si="24"/>
        <v>0</v>
      </c>
      <c r="F285" s="273" t="s">
        <v>235</v>
      </c>
      <c r="G285" s="273">
        <v>1</v>
      </c>
      <c r="H285" s="247"/>
    </row>
    <row r="286" spans="1:8">
      <c r="A286" s="268">
        <v>46042</v>
      </c>
      <c r="B286" s="246" t="s">
        <v>21</v>
      </c>
      <c r="C286" s="270">
        <v>1</v>
      </c>
      <c r="D286" s="273" t="str">
        <f t="shared" si="26"/>
        <v>Roll</v>
      </c>
      <c r="E286" s="273">
        <f t="shared" si="24"/>
        <v>2537</v>
      </c>
      <c r="F286" s="273" t="s">
        <v>237</v>
      </c>
      <c r="G286" s="273">
        <v>1</v>
      </c>
      <c r="H286" s="247"/>
    </row>
    <row r="287" spans="1:8">
      <c r="A287" s="268">
        <v>46043</v>
      </c>
      <c r="B287" s="246" t="s">
        <v>10</v>
      </c>
      <c r="C287" s="270">
        <v>1</v>
      </c>
      <c r="D287" s="273" t="str">
        <f t="shared" si="26"/>
        <v>Ream</v>
      </c>
      <c r="E287" s="273">
        <f t="shared" si="24"/>
        <v>2276</v>
      </c>
      <c r="F287" s="273" t="s">
        <v>177</v>
      </c>
      <c r="G287" s="273">
        <v>1</v>
      </c>
      <c r="H287" s="247"/>
    </row>
    <row r="288" spans="1:8">
      <c r="A288" s="268">
        <v>46043</v>
      </c>
      <c r="B288" s="246" t="s">
        <v>18</v>
      </c>
      <c r="C288" s="270">
        <v>3</v>
      </c>
      <c r="D288" s="273" t="str">
        <f t="shared" si="26"/>
        <v>Piece</v>
      </c>
      <c r="E288" s="273">
        <f t="shared" si="24"/>
        <v>337</v>
      </c>
      <c r="F288" s="273" t="s">
        <v>235</v>
      </c>
      <c r="G288" s="273">
        <v>1</v>
      </c>
      <c r="H288" s="247"/>
    </row>
    <row r="289" spans="1:8">
      <c r="A289" s="268">
        <v>46043</v>
      </c>
      <c r="B289" s="246" t="s">
        <v>33</v>
      </c>
      <c r="C289" s="270">
        <v>100</v>
      </c>
      <c r="D289" s="273" t="s">
        <v>106</v>
      </c>
      <c r="E289" s="273">
        <f t="shared" si="24"/>
        <v>0</v>
      </c>
      <c r="F289" s="273" t="s">
        <v>235</v>
      </c>
      <c r="G289" s="273">
        <v>1</v>
      </c>
      <c r="H289" s="247"/>
    </row>
    <row r="290" spans="1:8">
      <c r="A290" s="268">
        <v>46043</v>
      </c>
      <c r="B290" s="246" t="s">
        <v>231</v>
      </c>
      <c r="C290" s="270">
        <v>2</v>
      </c>
      <c r="D290" s="273" t="str">
        <f>IFERROR(VLOOKUP(B290,SUPPLY2,3,0),"-")</f>
        <v>Piece</v>
      </c>
      <c r="E290" s="273">
        <f t="shared" si="24"/>
        <v>312</v>
      </c>
      <c r="F290" s="273" t="s">
        <v>200</v>
      </c>
      <c r="G290" s="273">
        <v>1</v>
      </c>
      <c r="H290" s="247"/>
    </row>
    <row r="291" spans="1:8">
      <c r="A291" s="268">
        <v>46043</v>
      </c>
      <c r="B291" s="246" t="s">
        <v>15</v>
      </c>
      <c r="C291" s="270">
        <v>2</v>
      </c>
      <c r="D291" s="273" t="str">
        <f>IFERROR(VLOOKUP(B291,SUPPLY2,3,0),"-")</f>
        <v>Roll</v>
      </c>
      <c r="E291" s="273">
        <f t="shared" si="24"/>
        <v>301</v>
      </c>
      <c r="F291" s="273" t="s">
        <v>200</v>
      </c>
      <c r="G291" s="273">
        <v>1</v>
      </c>
      <c r="H291" s="247"/>
    </row>
    <row r="292" spans="1:8">
      <c r="A292" s="268">
        <v>46044</v>
      </c>
      <c r="B292" s="246" t="s">
        <v>34</v>
      </c>
      <c r="C292" s="270">
        <v>100</v>
      </c>
      <c r="D292" s="273" t="s">
        <v>106</v>
      </c>
      <c r="E292" s="273">
        <f t="shared" si="24"/>
        <v>0</v>
      </c>
      <c r="F292" s="273" t="s">
        <v>235</v>
      </c>
      <c r="G292" s="273">
        <v>1</v>
      </c>
      <c r="H292" s="247"/>
    </row>
    <row r="293" spans="1:8">
      <c r="A293" s="268">
        <v>46044</v>
      </c>
      <c r="B293" s="246" t="s">
        <v>33</v>
      </c>
      <c r="C293" s="270">
        <v>100</v>
      </c>
      <c r="D293" s="273" t="str">
        <f t="shared" ref="D293:D303" si="27">IFERROR(VLOOKUP(B293,SUPPLY2,3,0),"-")</f>
        <v>Ream</v>
      </c>
      <c r="E293" s="273">
        <f t="shared" si="24"/>
        <v>0</v>
      </c>
      <c r="F293" s="273" t="s">
        <v>235</v>
      </c>
      <c r="G293" s="273">
        <v>1</v>
      </c>
      <c r="H293" s="247"/>
    </row>
    <row r="294" spans="1:8">
      <c r="A294" s="268">
        <v>46044</v>
      </c>
      <c r="B294" s="246" t="s">
        <v>63</v>
      </c>
      <c r="C294" s="270">
        <v>1</v>
      </c>
      <c r="D294" s="273" t="str">
        <f t="shared" si="27"/>
        <v>Bottle</v>
      </c>
      <c r="E294" s="273">
        <f t="shared" si="24"/>
        <v>2618</v>
      </c>
      <c r="F294" s="273" t="s">
        <v>229</v>
      </c>
      <c r="G294" s="273">
        <v>1</v>
      </c>
      <c r="H294" s="247"/>
    </row>
    <row r="295" spans="1:8">
      <c r="A295" s="268">
        <v>46044</v>
      </c>
      <c r="B295" s="246" t="s">
        <v>12</v>
      </c>
      <c r="C295" s="270">
        <v>1</v>
      </c>
      <c r="D295" s="273" t="str">
        <f t="shared" si="27"/>
        <v>Ream</v>
      </c>
      <c r="E295" s="273">
        <f t="shared" si="24"/>
        <v>2067</v>
      </c>
      <c r="F295" s="273" t="s">
        <v>177</v>
      </c>
      <c r="G295" s="273">
        <v>1</v>
      </c>
      <c r="H295" s="247"/>
    </row>
    <row r="296" spans="1:8">
      <c r="A296" s="268">
        <v>46044</v>
      </c>
      <c r="B296" s="246" t="s">
        <v>10</v>
      </c>
      <c r="C296" s="270">
        <v>1</v>
      </c>
      <c r="D296" s="273" t="str">
        <f t="shared" si="27"/>
        <v>Ream</v>
      </c>
      <c r="E296" s="273">
        <f t="shared" si="24"/>
        <v>2276</v>
      </c>
      <c r="F296" s="273" t="s">
        <v>177</v>
      </c>
      <c r="G296" s="273">
        <v>1</v>
      </c>
      <c r="H296" s="247"/>
    </row>
    <row r="297" spans="1:8">
      <c r="A297" s="268">
        <v>46044</v>
      </c>
      <c r="B297" s="246" t="s">
        <v>63</v>
      </c>
      <c r="C297" s="270">
        <v>1</v>
      </c>
      <c r="D297" s="273" t="str">
        <f t="shared" si="27"/>
        <v>Bottle</v>
      </c>
      <c r="E297" s="273">
        <f t="shared" si="24"/>
        <v>2618</v>
      </c>
      <c r="F297" s="273" t="s">
        <v>177</v>
      </c>
      <c r="G297" s="273">
        <v>1</v>
      </c>
      <c r="H297" s="247"/>
    </row>
    <row r="298" spans="1:8">
      <c r="A298" s="268">
        <v>46045</v>
      </c>
      <c r="B298" s="246" t="s">
        <v>18</v>
      </c>
      <c r="C298" s="270">
        <v>1</v>
      </c>
      <c r="D298" s="273" t="str">
        <f t="shared" si="27"/>
        <v>Piece</v>
      </c>
      <c r="E298" s="273">
        <f t="shared" si="24"/>
        <v>337</v>
      </c>
      <c r="F298" s="273" t="s">
        <v>177</v>
      </c>
      <c r="G298" s="273">
        <v>1</v>
      </c>
      <c r="H298" s="247"/>
    </row>
    <row r="299" spans="1:8">
      <c r="A299" s="268">
        <v>46045</v>
      </c>
      <c r="B299" s="246" t="s">
        <v>63</v>
      </c>
      <c r="C299" s="270">
        <v>1</v>
      </c>
      <c r="D299" s="273" t="str">
        <f t="shared" si="27"/>
        <v>Bottle</v>
      </c>
      <c r="E299" s="273">
        <f t="shared" si="24"/>
        <v>2618</v>
      </c>
      <c r="F299" s="273" t="s">
        <v>177</v>
      </c>
      <c r="G299" s="273">
        <v>1</v>
      </c>
      <c r="H299" s="247"/>
    </row>
    <row r="300" spans="1:8">
      <c r="A300" s="268">
        <v>46045</v>
      </c>
      <c r="B300" s="246" t="s">
        <v>37</v>
      </c>
      <c r="C300" s="270">
        <v>100</v>
      </c>
      <c r="D300" s="273" t="str">
        <f t="shared" si="27"/>
        <v>Piece</v>
      </c>
      <c r="E300" s="273">
        <f t="shared" ref="E300:E365" si="28">IFERROR(VLOOKUP(B300,SUPPLY2,4,0),"-")</f>
        <v>0</v>
      </c>
      <c r="F300" s="273" t="s">
        <v>235</v>
      </c>
      <c r="G300" s="273">
        <v>1</v>
      </c>
      <c r="H300" s="247"/>
    </row>
    <row r="301" spans="1:8">
      <c r="A301" s="268">
        <v>46045</v>
      </c>
      <c r="B301" s="246" t="s">
        <v>63</v>
      </c>
      <c r="C301" s="270">
        <v>1</v>
      </c>
      <c r="D301" s="273" t="str">
        <f t="shared" si="27"/>
        <v>Bottle</v>
      </c>
      <c r="E301" s="273">
        <f t="shared" si="28"/>
        <v>2618</v>
      </c>
      <c r="F301" s="273" t="s">
        <v>238</v>
      </c>
      <c r="G301" s="273">
        <v>1</v>
      </c>
      <c r="H301" s="247"/>
    </row>
    <row r="302" spans="1:8">
      <c r="A302" s="268">
        <v>46045</v>
      </c>
      <c r="B302" s="246" t="s">
        <v>63</v>
      </c>
      <c r="C302" s="270">
        <v>2</v>
      </c>
      <c r="D302" s="273" t="str">
        <f t="shared" si="27"/>
        <v>Bottle</v>
      </c>
      <c r="E302" s="273">
        <f t="shared" si="28"/>
        <v>2618</v>
      </c>
      <c r="F302" s="273" t="s">
        <v>238</v>
      </c>
      <c r="G302" s="273">
        <v>1</v>
      </c>
      <c r="H302" s="247"/>
    </row>
    <row r="303" spans="1:8">
      <c r="A303" s="268">
        <v>46045</v>
      </c>
      <c r="B303" s="246" t="s">
        <v>10</v>
      </c>
      <c r="C303" s="270">
        <v>1</v>
      </c>
      <c r="D303" s="273" t="str">
        <f t="shared" si="27"/>
        <v>Ream</v>
      </c>
      <c r="E303" s="273">
        <f t="shared" si="28"/>
        <v>2276</v>
      </c>
      <c r="F303" s="273" t="s">
        <v>177</v>
      </c>
      <c r="G303" s="273">
        <v>1</v>
      </c>
      <c r="H303" s="247"/>
    </row>
    <row r="304" spans="1:8">
      <c r="A304" s="268">
        <v>46048</v>
      </c>
      <c r="B304" s="246" t="s">
        <v>33</v>
      </c>
      <c r="C304" s="270">
        <v>200</v>
      </c>
      <c r="D304" s="273" t="s">
        <v>106</v>
      </c>
      <c r="E304" s="273">
        <f t="shared" si="28"/>
        <v>0</v>
      </c>
      <c r="F304" s="273" t="s">
        <v>235</v>
      </c>
      <c r="G304" s="273">
        <v>1</v>
      </c>
      <c r="H304" s="247"/>
    </row>
    <row r="305" spans="1:8">
      <c r="A305" s="268">
        <v>46048</v>
      </c>
      <c r="B305" s="246" t="s">
        <v>34</v>
      </c>
      <c r="C305" s="270">
        <v>100</v>
      </c>
      <c r="D305" s="273" t="s">
        <v>106</v>
      </c>
      <c r="E305" s="273">
        <f t="shared" si="28"/>
        <v>0</v>
      </c>
      <c r="F305" s="273" t="s">
        <v>235</v>
      </c>
      <c r="G305" s="273">
        <v>1</v>
      </c>
      <c r="H305" s="247"/>
    </row>
    <row r="306" spans="1:8">
      <c r="A306" s="268">
        <v>46048</v>
      </c>
      <c r="B306" s="246" t="s">
        <v>10</v>
      </c>
      <c r="C306" s="270">
        <v>1</v>
      </c>
      <c r="D306" s="273" t="str">
        <f>IFERROR(VLOOKUP(B306,SUPPLY2,3,0),"-")</f>
        <v>Ream</v>
      </c>
      <c r="E306" s="273">
        <f t="shared" si="28"/>
        <v>2276</v>
      </c>
      <c r="F306" s="273" t="s">
        <v>177</v>
      </c>
      <c r="G306" s="273">
        <v>1</v>
      </c>
      <c r="H306" s="247"/>
    </row>
    <row r="307" spans="1:8">
      <c r="A307" s="268">
        <v>46048</v>
      </c>
      <c r="B307" s="246" t="s">
        <v>70</v>
      </c>
      <c r="C307" s="270">
        <v>1</v>
      </c>
      <c r="D307" s="273" t="str">
        <f>IFERROR(VLOOKUP(B307,SUPPLY2,3,0),"-")</f>
        <v>Roll</v>
      </c>
      <c r="E307" s="273">
        <f t="shared" si="28"/>
        <v>2629</v>
      </c>
      <c r="F307" s="273" t="s">
        <v>177</v>
      </c>
      <c r="G307" s="273">
        <v>1</v>
      </c>
      <c r="H307" s="247"/>
    </row>
    <row r="308" spans="1:8">
      <c r="A308" s="268">
        <v>46049</v>
      </c>
      <c r="B308" s="246" t="s">
        <v>18</v>
      </c>
      <c r="C308" s="270">
        <v>4</v>
      </c>
      <c r="D308" s="273" t="str">
        <f>IFERROR(VLOOKUP(B308,SUPPLY2,3,0),"-")</f>
        <v>Piece</v>
      </c>
      <c r="E308" s="273">
        <f t="shared" si="28"/>
        <v>337</v>
      </c>
      <c r="F308" s="273" t="s">
        <v>239</v>
      </c>
      <c r="G308" s="273">
        <v>1</v>
      </c>
      <c r="H308" s="247"/>
    </row>
    <row r="309" spans="1:8">
      <c r="A309" s="268">
        <v>46049</v>
      </c>
      <c r="B309" s="246" t="s">
        <v>38</v>
      </c>
      <c r="C309" s="270">
        <v>200</v>
      </c>
      <c r="D309" s="273" t="s">
        <v>106</v>
      </c>
      <c r="E309" s="273">
        <f t="shared" si="28"/>
        <v>2521</v>
      </c>
      <c r="F309" s="273" t="s">
        <v>235</v>
      </c>
      <c r="G309" s="273">
        <v>1</v>
      </c>
      <c r="H309" s="247"/>
    </row>
    <row r="310" spans="1:8">
      <c r="A310" s="268">
        <v>46049</v>
      </c>
      <c r="B310" s="246" t="s">
        <v>13</v>
      </c>
      <c r="C310" s="270">
        <v>1</v>
      </c>
      <c r="D310" s="273" t="str">
        <f t="shared" ref="D310:D316" si="29">IFERROR(VLOOKUP(B310,SUPPLY2,3,0),"-")</f>
        <v>C</v>
      </c>
      <c r="E310" s="273">
        <f t="shared" si="28"/>
        <v>330</v>
      </c>
      <c r="F310" s="273" t="s">
        <v>178</v>
      </c>
      <c r="G310" s="273">
        <v>1</v>
      </c>
      <c r="H310" s="247"/>
    </row>
    <row r="311" spans="1:8">
      <c r="A311" s="268">
        <v>46049</v>
      </c>
      <c r="B311" s="246" t="s">
        <v>14</v>
      </c>
      <c r="C311" s="270">
        <v>12</v>
      </c>
      <c r="D311" s="273" t="str">
        <f t="shared" si="29"/>
        <v>C</v>
      </c>
      <c r="E311" s="273">
        <f t="shared" si="28"/>
        <v>46</v>
      </c>
      <c r="F311" s="273" t="s">
        <v>178</v>
      </c>
      <c r="G311" s="273">
        <v>1</v>
      </c>
      <c r="H311" s="247"/>
    </row>
    <row r="312" spans="1:8">
      <c r="A312" s="268">
        <v>46049</v>
      </c>
      <c r="B312" s="246" t="s">
        <v>30</v>
      </c>
      <c r="C312" s="270">
        <v>1</v>
      </c>
      <c r="D312" s="273" t="str">
        <f t="shared" si="29"/>
        <v>Box</v>
      </c>
      <c r="E312" s="273">
        <f t="shared" si="28"/>
        <v>310</v>
      </c>
      <c r="F312" s="273" t="s">
        <v>240</v>
      </c>
      <c r="G312" s="273">
        <v>1</v>
      </c>
      <c r="H312" s="247"/>
    </row>
    <row r="313" spans="1:8">
      <c r="A313" s="268">
        <v>46049</v>
      </c>
      <c r="B313" s="246" t="s">
        <v>18</v>
      </c>
      <c r="C313" s="270">
        <v>2</v>
      </c>
      <c r="D313" s="273" t="str">
        <f t="shared" si="29"/>
        <v>Piece</v>
      </c>
      <c r="E313" s="273">
        <f t="shared" si="28"/>
        <v>337</v>
      </c>
      <c r="F313" s="273" t="s">
        <v>240</v>
      </c>
      <c r="G313" s="273">
        <v>1</v>
      </c>
      <c r="H313" s="247"/>
    </row>
    <row r="314" spans="1:8">
      <c r="A314" s="268">
        <v>46049</v>
      </c>
      <c r="B314" s="246" t="s">
        <v>15</v>
      </c>
      <c r="C314" s="270">
        <v>2</v>
      </c>
      <c r="D314" s="273" t="str">
        <f t="shared" si="29"/>
        <v>Roll</v>
      </c>
      <c r="E314" s="273">
        <f t="shared" si="28"/>
        <v>301</v>
      </c>
      <c r="F314" s="273" t="s">
        <v>240</v>
      </c>
      <c r="G314" s="273">
        <v>1</v>
      </c>
      <c r="H314" s="247"/>
    </row>
    <row r="315" spans="1:8">
      <c r="A315" s="268">
        <v>46049</v>
      </c>
      <c r="B315" s="246" t="s">
        <v>27</v>
      </c>
      <c r="C315" s="270">
        <v>1</v>
      </c>
      <c r="D315" s="273" t="str">
        <f t="shared" si="29"/>
        <v>Bag</v>
      </c>
      <c r="E315" s="273">
        <f t="shared" si="28"/>
        <v>308</v>
      </c>
      <c r="F315" s="273" t="s">
        <v>240</v>
      </c>
      <c r="G315" s="273">
        <v>1</v>
      </c>
      <c r="H315" s="247"/>
    </row>
    <row r="316" spans="1:8">
      <c r="A316" s="268">
        <v>46049</v>
      </c>
      <c r="B316" s="246" t="s">
        <v>37</v>
      </c>
      <c r="C316" s="270">
        <v>100</v>
      </c>
      <c r="D316" s="273" t="str">
        <f t="shared" si="29"/>
        <v>Piece</v>
      </c>
      <c r="E316" s="273">
        <f t="shared" si="28"/>
        <v>0</v>
      </c>
      <c r="F316" s="273" t="s">
        <v>235</v>
      </c>
      <c r="G316" s="273">
        <v>1</v>
      </c>
      <c r="H316" s="247"/>
    </row>
    <row r="317" spans="1:8">
      <c r="A317" s="268">
        <v>46049</v>
      </c>
      <c r="B317" s="246" t="s">
        <v>33</v>
      </c>
      <c r="C317" s="270">
        <v>100</v>
      </c>
      <c r="D317" s="273" t="s">
        <v>106</v>
      </c>
      <c r="E317" s="273">
        <f t="shared" si="28"/>
        <v>0</v>
      </c>
      <c r="F317" s="273" t="s">
        <v>235</v>
      </c>
      <c r="G317" s="273">
        <v>1</v>
      </c>
      <c r="H317" s="247"/>
    </row>
    <row r="318" spans="1:8">
      <c r="A318" s="268">
        <v>46049</v>
      </c>
      <c r="B318" s="246" t="s">
        <v>10</v>
      </c>
      <c r="C318" s="270">
        <v>1</v>
      </c>
      <c r="D318" s="273" t="str">
        <f t="shared" ref="D318:D323" si="30">IFERROR(VLOOKUP(B318,SUPPLY2,3,0),"-")</f>
        <v>Ream</v>
      </c>
      <c r="E318" s="273">
        <f t="shared" si="28"/>
        <v>2276</v>
      </c>
      <c r="F318" s="273" t="s">
        <v>196</v>
      </c>
      <c r="G318" s="273">
        <v>1</v>
      </c>
      <c r="H318" s="247"/>
    </row>
    <row r="319" spans="1:8">
      <c r="A319" s="268">
        <v>46049</v>
      </c>
      <c r="B319" s="246" t="s">
        <v>12</v>
      </c>
      <c r="C319" s="270">
        <v>1</v>
      </c>
      <c r="D319" s="273" t="str">
        <f t="shared" si="30"/>
        <v>Ream</v>
      </c>
      <c r="E319" s="273">
        <f t="shared" si="28"/>
        <v>2067</v>
      </c>
      <c r="F319" s="273" t="s">
        <v>196</v>
      </c>
      <c r="G319" s="273">
        <v>1</v>
      </c>
      <c r="H319" s="247"/>
    </row>
    <row r="320" spans="1:8">
      <c r="A320" s="268">
        <v>46049</v>
      </c>
      <c r="B320" s="246" t="s">
        <v>30</v>
      </c>
      <c r="C320" s="270">
        <v>1</v>
      </c>
      <c r="D320" s="273" t="str">
        <f t="shared" si="30"/>
        <v>Box</v>
      </c>
      <c r="E320" s="273">
        <f t="shared" si="28"/>
        <v>310</v>
      </c>
      <c r="F320" s="273" t="s">
        <v>196</v>
      </c>
      <c r="G320" s="273">
        <v>1</v>
      </c>
      <c r="H320" s="247"/>
    </row>
    <row r="321" spans="1:8">
      <c r="A321" s="268">
        <v>46049</v>
      </c>
      <c r="B321" s="246" t="s">
        <v>10</v>
      </c>
      <c r="C321" s="270">
        <v>1</v>
      </c>
      <c r="D321" s="273" t="str">
        <f t="shared" si="30"/>
        <v>Ream</v>
      </c>
      <c r="E321" s="273">
        <f t="shared" si="28"/>
        <v>2276</v>
      </c>
      <c r="F321" s="273" t="s">
        <v>177</v>
      </c>
      <c r="G321" s="273">
        <v>1</v>
      </c>
      <c r="H321" s="247"/>
    </row>
    <row r="322" spans="1:8">
      <c r="A322" s="268">
        <v>46050</v>
      </c>
      <c r="B322" s="246" t="s">
        <v>33</v>
      </c>
      <c r="C322" s="270">
        <v>1</v>
      </c>
      <c r="D322" s="273" t="str">
        <f t="shared" si="30"/>
        <v>Ream</v>
      </c>
      <c r="E322" s="273">
        <f t="shared" si="28"/>
        <v>0</v>
      </c>
      <c r="F322" s="273" t="s">
        <v>177</v>
      </c>
      <c r="G322" s="273">
        <v>1</v>
      </c>
      <c r="H322" s="247"/>
    </row>
    <row r="323" spans="1:8">
      <c r="A323" s="268">
        <v>46050</v>
      </c>
      <c r="B323" s="246" t="s">
        <v>13</v>
      </c>
      <c r="C323" s="270">
        <v>15</v>
      </c>
      <c r="D323" s="273" t="str">
        <f t="shared" si="30"/>
        <v>C</v>
      </c>
      <c r="E323" s="273">
        <f t="shared" si="28"/>
        <v>330</v>
      </c>
      <c r="F323" s="273" t="s">
        <v>196</v>
      </c>
      <c r="G323" s="273">
        <v>1</v>
      </c>
      <c r="H323" s="247"/>
    </row>
    <row r="324" spans="1:8">
      <c r="A324" s="268">
        <v>46051</v>
      </c>
      <c r="B324" s="246" t="s">
        <v>33</v>
      </c>
      <c r="C324" s="270">
        <v>100</v>
      </c>
      <c r="D324" s="273" t="s">
        <v>106</v>
      </c>
      <c r="E324" s="273">
        <f t="shared" si="28"/>
        <v>0</v>
      </c>
      <c r="F324" s="273" t="s">
        <v>235</v>
      </c>
      <c r="G324" s="273">
        <v>1</v>
      </c>
      <c r="H324" s="247"/>
    </row>
    <row r="325" spans="1:8">
      <c r="A325" s="268">
        <v>46051</v>
      </c>
      <c r="B325" s="246" t="s">
        <v>34</v>
      </c>
      <c r="C325" s="270">
        <v>100</v>
      </c>
      <c r="D325" s="273" t="s">
        <v>106</v>
      </c>
      <c r="E325" s="273">
        <f t="shared" si="28"/>
        <v>0</v>
      </c>
      <c r="F325" s="273" t="s">
        <v>235</v>
      </c>
      <c r="G325" s="273">
        <v>1</v>
      </c>
      <c r="H325" s="247"/>
    </row>
    <row r="326" spans="1:8">
      <c r="A326" s="268">
        <v>46051</v>
      </c>
      <c r="B326" s="246" t="s">
        <v>10</v>
      </c>
      <c r="C326" s="270">
        <v>2</v>
      </c>
      <c r="D326" s="273" t="str">
        <f t="shared" ref="D326:D331" si="31">IFERROR(VLOOKUP(B326,SUPPLY2,3,0),"-")</f>
        <v>Ream</v>
      </c>
      <c r="E326" s="273">
        <f t="shared" si="28"/>
        <v>2276</v>
      </c>
      <c r="F326" s="273" t="s">
        <v>177</v>
      </c>
      <c r="G326" s="273">
        <v>1</v>
      </c>
      <c r="H326" s="247"/>
    </row>
    <row r="327" spans="1:8">
      <c r="A327" s="268">
        <v>46051</v>
      </c>
      <c r="B327" s="246" t="s">
        <v>13</v>
      </c>
      <c r="C327" s="270">
        <v>6</v>
      </c>
      <c r="D327" s="273" t="str">
        <f t="shared" si="31"/>
        <v>C</v>
      </c>
      <c r="E327" s="273">
        <f t="shared" si="28"/>
        <v>330</v>
      </c>
      <c r="F327" s="273" t="s">
        <v>240</v>
      </c>
      <c r="G327" s="273">
        <v>1</v>
      </c>
      <c r="H327" s="247"/>
    </row>
    <row r="328" spans="1:8">
      <c r="A328" s="268">
        <v>46051</v>
      </c>
      <c r="B328" s="246" t="s">
        <v>241</v>
      </c>
      <c r="C328" s="270">
        <v>6</v>
      </c>
      <c r="D328" s="273" t="str">
        <f t="shared" si="31"/>
        <v>Piece</v>
      </c>
      <c r="E328" s="273">
        <f t="shared" si="28"/>
        <v>2366</v>
      </c>
      <c r="F328" s="273" t="s">
        <v>240</v>
      </c>
      <c r="G328" s="273">
        <v>1</v>
      </c>
      <c r="H328" s="247"/>
    </row>
    <row r="329" spans="1:8">
      <c r="A329" s="268">
        <v>46052</v>
      </c>
      <c r="B329" s="246" t="s">
        <v>13</v>
      </c>
      <c r="C329" s="270">
        <v>15</v>
      </c>
      <c r="D329" s="273" t="str">
        <f t="shared" si="31"/>
        <v>C</v>
      </c>
      <c r="E329" s="273">
        <f t="shared" si="28"/>
        <v>330</v>
      </c>
      <c r="F329" s="273" t="s">
        <v>200</v>
      </c>
      <c r="G329" s="273">
        <v>1</v>
      </c>
      <c r="H329" s="247"/>
    </row>
    <row r="330" spans="1:8">
      <c r="A330" s="268">
        <v>46052</v>
      </c>
      <c r="B330" s="246" t="s">
        <v>13</v>
      </c>
      <c r="C330" s="270">
        <v>10</v>
      </c>
      <c r="D330" s="273" t="str">
        <f t="shared" si="31"/>
        <v>C</v>
      </c>
      <c r="E330" s="273">
        <f t="shared" si="28"/>
        <v>330</v>
      </c>
      <c r="F330" s="273" t="s">
        <v>237</v>
      </c>
      <c r="G330" s="273">
        <v>1</v>
      </c>
      <c r="H330" s="247"/>
    </row>
    <row r="331" spans="1:8">
      <c r="A331" s="268">
        <v>46052</v>
      </c>
      <c r="B331" s="246" t="s">
        <v>14</v>
      </c>
      <c r="C331" s="270">
        <v>2</v>
      </c>
      <c r="D331" s="273" t="str">
        <f t="shared" si="31"/>
        <v>C</v>
      </c>
      <c r="E331" s="273">
        <f t="shared" si="28"/>
        <v>46</v>
      </c>
      <c r="F331" s="273" t="s">
        <v>200</v>
      </c>
      <c r="G331" s="273">
        <v>1</v>
      </c>
      <c r="H331" s="247"/>
    </row>
    <row r="332" spans="1:8">
      <c r="A332" s="268">
        <v>46052</v>
      </c>
      <c r="B332" s="246" t="s">
        <v>33</v>
      </c>
      <c r="C332" s="270">
        <v>200</v>
      </c>
      <c r="D332" s="273" t="s">
        <v>219</v>
      </c>
      <c r="E332" s="273">
        <f t="shared" si="28"/>
        <v>0</v>
      </c>
      <c r="F332" s="273" t="s">
        <v>235</v>
      </c>
      <c r="G332" s="273">
        <v>1</v>
      </c>
      <c r="H332" s="247"/>
    </row>
    <row r="333" spans="1:8">
      <c r="A333" s="268">
        <v>46052</v>
      </c>
      <c r="B333" s="246" t="s">
        <v>38</v>
      </c>
      <c r="C333" s="270">
        <v>400</v>
      </c>
      <c r="D333" s="273" t="s">
        <v>219</v>
      </c>
      <c r="E333" s="273">
        <f t="shared" si="28"/>
        <v>2521</v>
      </c>
      <c r="F333" s="273" t="s">
        <v>235</v>
      </c>
      <c r="G333" s="273">
        <v>1</v>
      </c>
      <c r="H333" s="247"/>
    </row>
    <row r="334" spans="1:8">
      <c r="A334" s="268">
        <v>46055</v>
      </c>
      <c r="B334" s="246" t="s">
        <v>10</v>
      </c>
      <c r="C334" s="270">
        <v>1</v>
      </c>
      <c r="D334" s="273" t="str">
        <f>IFERROR(VLOOKUP(B334,SUPPLY2,3,0),"-")</f>
        <v>Ream</v>
      </c>
      <c r="E334" s="273">
        <f t="shared" si="28"/>
        <v>2276</v>
      </c>
      <c r="F334" s="273" t="s">
        <v>177</v>
      </c>
      <c r="G334" s="273">
        <v>2</v>
      </c>
      <c r="H334" s="247"/>
    </row>
    <row r="335" spans="1:8">
      <c r="A335" s="268">
        <v>46055</v>
      </c>
      <c r="B335" s="246" t="s">
        <v>33</v>
      </c>
      <c r="C335" s="270">
        <v>100</v>
      </c>
      <c r="D335" s="273" t="s">
        <v>216</v>
      </c>
      <c r="E335" s="273">
        <f t="shared" si="28"/>
        <v>0</v>
      </c>
      <c r="F335" s="273" t="s">
        <v>235</v>
      </c>
      <c r="G335" s="273">
        <v>2</v>
      </c>
      <c r="H335" s="247"/>
    </row>
    <row r="336" spans="1:8">
      <c r="A336" s="268">
        <v>46055</v>
      </c>
      <c r="B336" s="246" t="s">
        <v>38</v>
      </c>
      <c r="C336" s="270">
        <v>100</v>
      </c>
      <c r="D336" s="273" t="s">
        <v>106</v>
      </c>
      <c r="E336" s="273">
        <f t="shared" si="28"/>
        <v>2521</v>
      </c>
      <c r="F336" s="273" t="s">
        <v>235</v>
      </c>
      <c r="G336" s="273">
        <v>2</v>
      </c>
      <c r="H336" s="247"/>
    </row>
    <row r="337" spans="1:8">
      <c r="A337" s="268">
        <v>46055</v>
      </c>
      <c r="B337" s="246" t="s">
        <v>37</v>
      </c>
      <c r="C337" s="270">
        <v>100</v>
      </c>
      <c r="D337" s="273" t="str">
        <f>IFERROR(VLOOKUP(B337,SUPPLY2,3,0),"-")</f>
        <v>Piece</v>
      </c>
      <c r="E337" s="273">
        <f t="shared" si="28"/>
        <v>0</v>
      </c>
      <c r="F337" s="273" t="s">
        <v>235</v>
      </c>
      <c r="G337" s="273">
        <v>2</v>
      </c>
      <c r="H337" s="247"/>
    </row>
    <row r="338" spans="1:8">
      <c r="A338" s="268">
        <v>46055</v>
      </c>
      <c r="B338" s="246" t="s">
        <v>34</v>
      </c>
      <c r="C338" s="270">
        <v>100</v>
      </c>
      <c r="D338" s="273" t="s">
        <v>216</v>
      </c>
      <c r="E338" s="273">
        <f t="shared" si="28"/>
        <v>0</v>
      </c>
      <c r="F338" s="273" t="s">
        <v>235</v>
      </c>
      <c r="G338" s="273">
        <v>2</v>
      </c>
      <c r="H338" s="247"/>
    </row>
    <row r="339" spans="1:8">
      <c r="A339" s="268">
        <v>46056</v>
      </c>
      <c r="B339" s="246" t="s">
        <v>33</v>
      </c>
      <c r="C339" s="270">
        <v>200</v>
      </c>
      <c r="D339" s="273" t="s">
        <v>106</v>
      </c>
      <c r="E339" s="273">
        <f t="shared" si="28"/>
        <v>0</v>
      </c>
      <c r="F339" s="273" t="s">
        <v>235</v>
      </c>
      <c r="G339" s="273">
        <v>2</v>
      </c>
      <c r="H339" s="247"/>
    </row>
    <row r="340" spans="1:8">
      <c r="A340" s="268">
        <v>46056</v>
      </c>
      <c r="B340" s="246" t="s">
        <v>38</v>
      </c>
      <c r="C340" s="270">
        <v>100</v>
      </c>
      <c r="D340" s="273" t="s">
        <v>106</v>
      </c>
      <c r="E340" s="273">
        <f t="shared" si="28"/>
        <v>2521</v>
      </c>
      <c r="F340" s="273" t="s">
        <v>235</v>
      </c>
      <c r="G340" s="273">
        <v>2</v>
      </c>
      <c r="H340" s="247"/>
    </row>
    <row r="341" spans="1:8">
      <c r="A341" s="268">
        <v>46056</v>
      </c>
      <c r="B341" s="246" t="s">
        <v>70</v>
      </c>
      <c r="C341" s="270">
        <v>4</v>
      </c>
      <c r="D341" s="273" t="str">
        <f>IFERROR(VLOOKUP(B341,SUPPLY2,3,0),"-")</f>
        <v>Roll</v>
      </c>
      <c r="E341" s="273">
        <f t="shared" si="28"/>
        <v>2629</v>
      </c>
      <c r="F341" s="273" t="s">
        <v>177</v>
      </c>
      <c r="G341" s="273">
        <v>2</v>
      </c>
      <c r="H341" s="247"/>
    </row>
    <row r="342" spans="1:8">
      <c r="A342" s="268">
        <v>46056</v>
      </c>
      <c r="B342" s="246" t="s">
        <v>37</v>
      </c>
      <c r="C342" s="270">
        <v>100</v>
      </c>
      <c r="D342" s="273" t="str">
        <f>IFERROR(VLOOKUP(B342,SUPPLY2,3,0),"-")</f>
        <v>Piece</v>
      </c>
      <c r="E342" s="273">
        <f t="shared" si="28"/>
        <v>0</v>
      </c>
      <c r="F342" s="273" t="s">
        <v>235</v>
      </c>
      <c r="G342" s="273">
        <v>2</v>
      </c>
      <c r="H342" s="247"/>
    </row>
    <row r="343" spans="1:8">
      <c r="A343" s="268">
        <v>46056</v>
      </c>
      <c r="B343" s="246" t="s">
        <v>242</v>
      </c>
      <c r="C343" s="270">
        <v>100</v>
      </c>
      <c r="D343" s="273" t="str">
        <f>IFERROR(VLOOKUP(B343,SUPPLY2,3,0),"-")</f>
        <v>-</v>
      </c>
      <c r="E343" s="273" t="str">
        <f t="shared" si="28"/>
        <v>-</v>
      </c>
      <c r="F343" s="273" t="s">
        <v>235</v>
      </c>
      <c r="G343" s="273">
        <v>2</v>
      </c>
      <c r="H343" s="247"/>
    </row>
    <row r="344" spans="1:8">
      <c r="A344" s="268">
        <v>46057</v>
      </c>
      <c r="B344" s="246" t="s">
        <v>38</v>
      </c>
      <c r="C344" s="270">
        <v>300</v>
      </c>
      <c r="D344" s="273" t="s">
        <v>106</v>
      </c>
      <c r="E344" s="273">
        <f t="shared" si="28"/>
        <v>2521</v>
      </c>
      <c r="F344" s="273" t="s">
        <v>235</v>
      </c>
      <c r="G344" s="273">
        <v>2</v>
      </c>
      <c r="H344" s="247"/>
    </row>
    <row r="345" spans="1:8">
      <c r="A345" s="268">
        <v>46057</v>
      </c>
      <c r="B345" s="246" t="s">
        <v>14</v>
      </c>
      <c r="C345" s="270">
        <v>11</v>
      </c>
      <c r="D345" s="273" t="str">
        <f>IFERROR(VLOOKUP(B345,SUPPLY2,3,0),"-")</f>
        <v>C</v>
      </c>
      <c r="E345" s="273">
        <f t="shared" si="28"/>
        <v>46</v>
      </c>
      <c r="F345" s="273" t="s">
        <v>195</v>
      </c>
      <c r="G345" s="273">
        <v>2</v>
      </c>
      <c r="H345" s="247"/>
    </row>
    <row r="346" spans="1:8">
      <c r="A346" s="268">
        <v>46057</v>
      </c>
      <c r="B346" s="246" t="s">
        <v>33</v>
      </c>
      <c r="C346" s="270">
        <v>100</v>
      </c>
      <c r="D346" s="273" t="s">
        <v>106</v>
      </c>
      <c r="E346" s="273">
        <f t="shared" si="28"/>
        <v>0</v>
      </c>
      <c r="F346" s="273" t="s">
        <v>235</v>
      </c>
      <c r="G346" s="273">
        <v>2</v>
      </c>
      <c r="H346" s="247"/>
    </row>
    <row r="347" spans="1:8">
      <c r="A347" s="268">
        <v>46057</v>
      </c>
      <c r="B347" s="246" t="s">
        <v>37</v>
      </c>
      <c r="C347" s="270">
        <v>100</v>
      </c>
      <c r="D347" s="273" t="str">
        <f>IFERROR(VLOOKUP(B347,SUPPLY2,3,0),"-")</f>
        <v>Piece</v>
      </c>
      <c r="E347" s="273">
        <f t="shared" si="28"/>
        <v>0</v>
      </c>
      <c r="F347" s="273" t="s">
        <v>235</v>
      </c>
      <c r="G347" s="273">
        <v>2</v>
      </c>
      <c r="H347" s="247"/>
    </row>
    <row r="348" spans="1:8">
      <c r="A348" s="268">
        <v>46057</v>
      </c>
      <c r="B348" s="246" t="s">
        <v>10</v>
      </c>
      <c r="C348" s="270">
        <v>2</v>
      </c>
      <c r="D348" s="273" t="str">
        <f>IFERROR(VLOOKUP(B348,SUPPLY2,3,0),"-")</f>
        <v>Ream</v>
      </c>
      <c r="E348" s="273">
        <f t="shared" si="28"/>
        <v>2276</v>
      </c>
      <c r="F348" s="273" t="s">
        <v>177</v>
      </c>
      <c r="G348" s="273">
        <v>2</v>
      </c>
      <c r="H348" s="247"/>
    </row>
    <row r="349" spans="1:8">
      <c r="A349" s="268">
        <v>46062</v>
      </c>
      <c r="B349" s="246" t="s">
        <v>33</v>
      </c>
      <c r="C349" s="270">
        <v>200</v>
      </c>
      <c r="D349" s="273" t="s">
        <v>106</v>
      </c>
      <c r="E349" s="273">
        <f t="shared" si="28"/>
        <v>0</v>
      </c>
      <c r="F349" s="273" t="s">
        <v>235</v>
      </c>
      <c r="G349" s="273">
        <v>2</v>
      </c>
      <c r="H349" s="247"/>
    </row>
    <row r="350" spans="1:8">
      <c r="A350" s="268">
        <v>46062</v>
      </c>
      <c r="B350" s="246" t="s">
        <v>34</v>
      </c>
      <c r="C350" s="270">
        <v>100</v>
      </c>
      <c r="D350" s="273" t="s">
        <v>106</v>
      </c>
      <c r="E350" s="273">
        <f t="shared" si="28"/>
        <v>0</v>
      </c>
      <c r="F350" s="273" t="s">
        <v>235</v>
      </c>
      <c r="G350" s="273">
        <v>2</v>
      </c>
      <c r="H350" s="247"/>
    </row>
    <row r="351" spans="1:8">
      <c r="A351" s="268">
        <v>46062</v>
      </c>
      <c r="B351" s="246" t="s">
        <v>38</v>
      </c>
      <c r="C351" s="270">
        <v>100</v>
      </c>
      <c r="D351" s="273" t="s">
        <v>106</v>
      </c>
      <c r="E351" s="273">
        <f t="shared" si="28"/>
        <v>2521</v>
      </c>
      <c r="F351" s="273" t="s">
        <v>235</v>
      </c>
      <c r="G351" s="273">
        <v>2</v>
      </c>
      <c r="H351" s="247"/>
    </row>
    <row r="352" spans="1:8">
      <c r="A352" s="268">
        <v>46062</v>
      </c>
      <c r="B352" s="246" t="s">
        <v>10</v>
      </c>
      <c r="C352" s="270">
        <v>1</v>
      </c>
      <c r="D352" s="273" t="str">
        <f>IFERROR(VLOOKUP(B352,SUPPLY2,3,0),"-")</f>
        <v>Ream</v>
      </c>
      <c r="E352" s="273">
        <f t="shared" si="28"/>
        <v>2276</v>
      </c>
      <c r="F352" s="273" t="s">
        <v>177</v>
      </c>
      <c r="G352" s="273">
        <v>2</v>
      </c>
      <c r="H352" s="247"/>
    </row>
    <row r="353" spans="1:8">
      <c r="A353" s="268">
        <v>46062</v>
      </c>
      <c r="B353" s="246" t="s">
        <v>30</v>
      </c>
      <c r="C353" s="270">
        <v>1</v>
      </c>
      <c r="D353" s="273" t="str">
        <f>IFERROR(VLOOKUP(B353,SUPPLY2,3,0),"-")</f>
        <v>Box</v>
      </c>
      <c r="E353" s="273">
        <f t="shared" si="28"/>
        <v>310</v>
      </c>
      <c r="F353" s="273" t="s">
        <v>177</v>
      </c>
      <c r="G353" s="273">
        <v>2</v>
      </c>
      <c r="H353" s="247"/>
    </row>
    <row r="354" spans="1:8">
      <c r="A354" s="268">
        <v>46063</v>
      </c>
      <c r="B354" s="246" t="s">
        <v>34</v>
      </c>
      <c r="C354" s="270">
        <v>100</v>
      </c>
      <c r="D354" s="273" t="s">
        <v>106</v>
      </c>
      <c r="E354" s="273">
        <f t="shared" si="28"/>
        <v>0</v>
      </c>
      <c r="F354" s="273" t="s">
        <v>235</v>
      </c>
      <c r="G354" s="273">
        <v>2</v>
      </c>
      <c r="H354" s="247"/>
    </row>
    <row r="355" spans="1:8">
      <c r="A355" s="268">
        <v>46064</v>
      </c>
      <c r="B355" s="246" t="s">
        <v>33</v>
      </c>
      <c r="C355" s="270">
        <v>100</v>
      </c>
      <c r="D355" s="273" t="s">
        <v>106</v>
      </c>
      <c r="E355" s="273">
        <f t="shared" si="28"/>
        <v>0</v>
      </c>
      <c r="F355" s="273" t="s">
        <v>235</v>
      </c>
      <c r="G355" s="273">
        <v>2</v>
      </c>
      <c r="H355" s="247"/>
    </row>
    <row r="356" spans="1:8">
      <c r="A356" s="268">
        <v>46064</v>
      </c>
      <c r="B356" s="246" t="s">
        <v>38</v>
      </c>
      <c r="C356" s="270">
        <v>100</v>
      </c>
      <c r="D356" s="273" t="s">
        <v>106</v>
      </c>
      <c r="E356" s="273">
        <f t="shared" si="28"/>
        <v>2521</v>
      </c>
      <c r="F356" s="273" t="s">
        <v>235</v>
      </c>
      <c r="G356" s="273">
        <v>2</v>
      </c>
      <c r="H356" s="247"/>
    </row>
    <row r="357" spans="1:8">
      <c r="A357" s="268">
        <v>46064</v>
      </c>
      <c r="B357" s="246" t="s">
        <v>10</v>
      </c>
      <c r="C357" s="270">
        <v>1</v>
      </c>
      <c r="D357" s="273" t="str">
        <f>IFERROR(VLOOKUP(B357,SUPPLY2,3,0),"-")</f>
        <v>Ream</v>
      </c>
      <c r="E357" s="273">
        <f t="shared" si="28"/>
        <v>2276</v>
      </c>
      <c r="F357" s="273" t="s">
        <v>177</v>
      </c>
      <c r="G357" s="273">
        <v>2</v>
      </c>
      <c r="H357" s="247"/>
    </row>
    <row r="358" spans="1:8">
      <c r="A358" s="268">
        <v>46064</v>
      </c>
      <c r="B358" s="246" t="s">
        <v>33</v>
      </c>
      <c r="C358" s="270">
        <v>100</v>
      </c>
      <c r="D358" s="273" t="s">
        <v>106</v>
      </c>
      <c r="E358" s="273">
        <f t="shared" si="28"/>
        <v>0</v>
      </c>
      <c r="F358" s="273" t="s">
        <v>195</v>
      </c>
      <c r="G358" s="273">
        <v>2</v>
      </c>
      <c r="H358" s="247"/>
    </row>
    <row r="359" spans="1:8">
      <c r="A359" s="268">
        <v>46064</v>
      </c>
      <c r="B359" s="246" t="s">
        <v>243</v>
      </c>
      <c r="C359" s="270">
        <v>25</v>
      </c>
      <c r="D359" s="273" t="s">
        <v>106</v>
      </c>
      <c r="E359" s="273" t="str">
        <f t="shared" si="28"/>
        <v>-</v>
      </c>
      <c r="F359" s="273" t="s">
        <v>177</v>
      </c>
      <c r="G359" s="273">
        <v>2</v>
      </c>
      <c r="H359" s="247"/>
    </row>
    <row r="360" spans="1:8">
      <c r="A360" s="268">
        <v>46064</v>
      </c>
      <c r="B360" s="246" t="s">
        <v>244</v>
      </c>
      <c r="C360" s="270">
        <v>10</v>
      </c>
      <c r="D360" s="273" t="s">
        <v>106</v>
      </c>
      <c r="E360" s="273" t="str">
        <f t="shared" si="28"/>
        <v>-</v>
      </c>
      <c r="F360" s="273" t="s">
        <v>195</v>
      </c>
      <c r="G360" s="273">
        <v>2</v>
      </c>
      <c r="H360" s="247"/>
    </row>
    <row r="361" spans="1:8">
      <c r="A361" s="268">
        <v>46065</v>
      </c>
      <c r="B361" s="246" t="s">
        <v>33</v>
      </c>
      <c r="C361" s="270">
        <v>200</v>
      </c>
      <c r="D361" s="273" t="s">
        <v>106</v>
      </c>
      <c r="E361" s="273">
        <f t="shared" si="28"/>
        <v>0</v>
      </c>
      <c r="F361" s="273" t="s">
        <v>235</v>
      </c>
      <c r="G361" s="273">
        <v>2</v>
      </c>
      <c r="H361" s="247"/>
    </row>
    <row r="362" spans="1:8">
      <c r="A362" s="268">
        <v>46065</v>
      </c>
      <c r="B362" s="246" t="s">
        <v>70</v>
      </c>
      <c r="C362" s="270">
        <v>3</v>
      </c>
      <c r="D362" s="273" t="str">
        <f>IFERROR(VLOOKUP(B362,SUPPLY2,3,0),"-")</f>
        <v>Roll</v>
      </c>
      <c r="E362" s="273">
        <f t="shared" si="28"/>
        <v>2629</v>
      </c>
      <c r="F362" s="273" t="s">
        <v>177</v>
      </c>
      <c r="G362" s="273">
        <v>2</v>
      </c>
      <c r="H362" s="247"/>
    </row>
    <row r="363" spans="1:8">
      <c r="A363" s="268">
        <v>46065</v>
      </c>
      <c r="B363" s="246" t="s">
        <v>34</v>
      </c>
      <c r="C363" s="270">
        <v>200</v>
      </c>
      <c r="D363" s="273" t="s">
        <v>106</v>
      </c>
      <c r="E363" s="273">
        <f t="shared" si="28"/>
        <v>0</v>
      </c>
      <c r="F363" s="273" t="s">
        <v>235</v>
      </c>
      <c r="G363" s="273">
        <v>2</v>
      </c>
      <c r="H363" s="247"/>
    </row>
    <row r="364" spans="1:8">
      <c r="A364" s="268">
        <v>46065</v>
      </c>
      <c r="B364" s="246" t="s">
        <v>38</v>
      </c>
      <c r="C364" s="270">
        <v>500</v>
      </c>
      <c r="D364" s="273" t="s">
        <v>106</v>
      </c>
      <c r="E364" s="273">
        <f t="shared" si="28"/>
        <v>2521</v>
      </c>
      <c r="F364" s="273" t="s">
        <v>235</v>
      </c>
      <c r="G364" s="273">
        <v>2</v>
      </c>
      <c r="H364" s="247"/>
    </row>
    <row r="365" spans="1:8">
      <c r="A365" s="268">
        <v>46065</v>
      </c>
      <c r="B365" s="246" t="s">
        <v>37</v>
      </c>
      <c r="C365" s="270">
        <v>100</v>
      </c>
      <c r="D365" s="273" t="str">
        <f>IFERROR(VLOOKUP(B365,SUPPLY2,3,0),"-")</f>
        <v>Piece</v>
      </c>
      <c r="E365" s="273">
        <f t="shared" si="28"/>
        <v>0</v>
      </c>
      <c r="F365" s="273" t="s">
        <v>235</v>
      </c>
      <c r="G365" s="273">
        <v>2</v>
      </c>
      <c r="H365" s="247"/>
    </row>
    <row r="366" spans="1:8">
      <c r="A366" s="268">
        <v>46066</v>
      </c>
      <c r="B366" s="246" t="s">
        <v>33</v>
      </c>
      <c r="C366" s="270">
        <v>100</v>
      </c>
      <c r="D366" s="273" t="s">
        <v>106</v>
      </c>
      <c r="F366" s="273" t="s">
        <v>235</v>
      </c>
      <c r="G366" s="273">
        <v>2</v>
      </c>
      <c r="H366" s="247"/>
    </row>
    <row r="367" spans="1:8">
      <c r="A367" s="268">
        <v>46066</v>
      </c>
      <c r="B367" s="246" t="s">
        <v>10</v>
      </c>
      <c r="C367" s="270">
        <v>1</v>
      </c>
      <c r="D367" s="273" t="str">
        <f>IFERROR(VLOOKUP(B367,SUPPLY2,3,0),"-")</f>
        <v>Ream</v>
      </c>
      <c r="E367" s="273">
        <f t="shared" ref="E367:E375" si="32">IFERROR(VLOOKUP(B367,SUPPLY2,4,0),"-")</f>
        <v>2276</v>
      </c>
      <c r="F367" s="273" t="s">
        <v>177</v>
      </c>
      <c r="G367" s="273">
        <v>2</v>
      </c>
      <c r="H367" s="247"/>
    </row>
    <row r="368" spans="1:8">
      <c r="A368" s="268">
        <v>46069</v>
      </c>
      <c r="B368" s="246" t="s">
        <v>33</v>
      </c>
      <c r="C368" s="270">
        <v>100</v>
      </c>
      <c r="D368" s="273" t="s">
        <v>106</v>
      </c>
      <c r="E368" s="273">
        <f t="shared" si="32"/>
        <v>0</v>
      </c>
      <c r="F368" s="273" t="s">
        <v>235</v>
      </c>
      <c r="G368" s="273">
        <v>2</v>
      </c>
      <c r="H368" s="247"/>
    </row>
    <row r="369" spans="1:8">
      <c r="A369" s="268">
        <v>46069</v>
      </c>
      <c r="B369" s="246" t="s">
        <v>63</v>
      </c>
      <c r="C369" s="270">
        <v>2</v>
      </c>
      <c r="D369" s="273" t="str">
        <f>IFERROR(VLOOKUP(B369,SUPPLY2,3,0),"-")</f>
        <v>Bottle</v>
      </c>
      <c r="E369" s="273">
        <f t="shared" si="32"/>
        <v>2618</v>
      </c>
      <c r="F369" s="273" t="s">
        <v>238</v>
      </c>
      <c r="G369" s="273">
        <v>2</v>
      </c>
      <c r="H369" s="247"/>
    </row>
    <row r="370" spans="1:8">
      <c r="A370" s="268">
        <v>46069</v>
      </c>
      <c r="B370" s="246" t="s">
        <v>15</v>
      </c>
      <c r="C370" s="270">
        <v>1</v>
      </c>
      <c r="D370" s="273" t="str">
        <f>IFERROR(VLOOKUP(B370,SUPPLY2,3,0),"-")</f>
        <v>Roll</v>
      </c>
      <c r="E370" s="273">
        <f t="shared" si="32"/>
        <v>301</v>
      </c>
      <c r="F370" s="273" t="s">
        <v>177</v>
      </c>
      <c r="G370" s="273">
        <v>2</v>
      </c>
      <c r="H370" s="247"/>
    </row>
    <row r="371" spans="1:8">
      <c r="A371" s="268">
        <v>46069</v>
      </c>
      <c r="B371" s="246" t="s">
        <v>12</v>
      </c>
      <c r="C371" s="270">
        <v>1</v>
      </c>
      <c r="D371" s="273" t="str">
        <f>IFERROR(VLOOKUP(B371,SUPPLY2,3,0),"-")</f>
        <v>Ream</v>
      </c>
      <c r="E371" s="273">
        <f t="shared" si="32"/>
        <v>2067</v>
      </c>
      <c r="F371" s="273" t="s">
        <v>177</v>
      </c>
      <c r="G371" s="273">
        <v>2</v>
      </c>
      <c r="H371" s="247"/>
    </row>
    <row r="372" spans="1:8">
      <c r="A372" s="268">
        <v>46069</v>
      </c>
      <c r="B372" s="246" t="s">
        <v>70</v>
      </c>
      <c r="C372" s="270">
        <v>5</v>
      </c>
      <c r="D372" s="273" t="str">
        <f>IFERROR(VLOOKUP(B372,SUPPLY2,3,0),"-")</f>
        <v>Roll</v>
      </c>
      <c r="E372" s="273">
        <f t="shared" si="32"/>
        <v>2629</v>
      </c>
      <c r="F372" s="273" t="s">
        <v>235</v>
      </c>
      <c r="G372" s="273">
        <v>2</v>
      </c>
      <c r="H372" s="247"/>
    </row>
    <row r="373" spans="1:8">
      <c r="A373" s="268">
        <v>46069</v>
      </c>
      <c r="B373" s="246" t="s">
        <v>36</v>
      </c>
      <c r="C373" s="270">
        <v>100</v>
      </c>
      <c r="D373" s="273" t="s">
        <v>106</v>
      </c>
      <c r="E373" s="273">
        <f t="shared" si="32"/>
        <v>0</v>
      </c>
      <c r="F373" s="273" t="s">
        <v>235</v>
      </c>
      <c r="G373" s="273">
        <v>2</v>
      </c>
      <c r="H373" s="247"/>
    </row>
    <row r="374" spans="1:8">
      <c r="A374" s="268">
        <v>46071</v>
      </c>
      <c r="B374" s="246" t="s">
        <v>18</v>
      </c>
      <c r="C374" s="270">
        <v>1</v>
      </c>
      <c r="D374" s="273" t="str">
        <f>IFERROR(VLOOKUP(B374,SUPPLY2,3,0),"-")</f>
        <v>Piece</v>
      </c>
      <c r="E374" s="273">
        <f t="shared" si="32"/>
        <v>337</v>
      </c>
      <c r="F374" s="273" t="s">
        <v>177</v>
      </c>
      <c r="G374" s="273">
        <v>2</v>
      </c>
      <c r="H374" s="247"/>
    </row>
    <row r="375" spans="1:8">
      <c r="A375" s="268">
        <v>46071</v>
      </c>
      <c r="B375" s="246" t="s">
        <v>33</v>
      </c>
      <c r="C375" s="270">
        <v>100</v>
      </c>
      <c r="D375" s="273" t="s">
        <v>106</v>
      </c>
      <c r="E375" s="273">
        <f t="shared" si="32"/>
        <v>0</v>
      </c>
      <c r="F375" s="273" t="s">
        <v>235</v>
      </c>
      <c r="G375" s="273">
        <v>2</v>
      </c>
      <c r="H375" s="247"/>
    </row>
    <row r="376" spans="1:8">
      <c r="A376" s="268">
        <v>46071</v>
      </c>
      <c r="B376" s="246" t="s">
        <v>10</v>
      </c>
      <c r="C376" s="270">
        <v>1</v>
      </c>
      <c r="D376" s="273" t="s">
        <v>106</v>
      </c>
      <c r="F376" s="273" t="s">
        <v>177</v>
      </c>
      <c r="G376" s="273">
        <v>2</v>
      </c>
      <c r="H376" s="247"/>
    </row>
    <row r="377" spans="1:8">
      <c r="A377" s="268">
        <v>46071</v>
      </c>
      <c r="B377" s="246" t="s">
        <v>18</v>
      </c>
      <c r="C377" s="270">
        <v>3</v>
      </c>
      <c r="D377" s="273" t="s">
        <v>106</v>
      </c>
      <c r="F377" s="273" t="s">
        <v>235</v>
      </c>
      <c r="G377" s="273">
        <v>2</v>
      </c>
      <c r="H377" s="247"/>
    </row>
    <row r="378" spans="1:8">
      <c r="A378" s="268">
        <v>46071</v>
      </c>
      <c r="B378" s="246" t="s">
        <v>18</v>
      </c>
      <c r="C378" s="270">
        <v>1</v>
      </c>
      <c r="D378" s="273" t="str">
        <f>IFERROR(VLOOKUP(B378,SUPPLY2,3,0),"-")</f>
        <v>Piece</v>
      </c>
      <c r="E378" s="273">
        <f t="shared" ref="E378:E386" si="33">IFERROR(VLOOKUP(B378,SUPPLY2,4,0),"-")</f>
        <v>337</v>
      </c>
      <c r="F378" s="273" t="s">
        <v>177</v>
      </c>
      <c r="G378" s="273">
        <v>2</v>
      </c>
      <c r="H378" s="247"/>
    </row>
    <row r="379" spans="1:8">
      <c r="A379" s="268">
        <v>46071</v>
      </c>
      <c r="B379" s="246" t="s">
        <v>63</v>
      </c>
      <c r="C379" s="270">
        <v>1</v>
      </c>
      <c r="D379" s="273" t="str">
        <f>IFERROR(VLOOKUP(B379,SUPPLY2,3,0),"-")</f>
        <v>Bottle</v>
      </c>
      <c r="E379" s="273">
        <f t="shared" si="33"/>
        <v>2618</v>
      </c>
      <c r="F379" s="273" t="s">
        <v>196</v>
      </c>
      <c r="G379" s="273">
        <v>2</v>
      </c>
      <c r="H379" s="247"/>
    </row>
    <row r="380" spans="1:8">
      <c r="A380" s="268">
        <v>46072</v>
      </c>
      <c r="B380" s="246" t="s">
        <v>63</v>
      </c>
      <c r="C380" s="270">
        <v>1</v>
      </c>
      <c r="D380" s="273" t="str">
        <f>IFERROR(VLOOKUP(B380,SUPPLY2,3,0),"-")</f>
        <v>Bottle</v>
      </c>
      <c r="E380" s="273">
        <f t="shared" si="33"/>
        <v>2618</v>
      </c>
      <c r="F380" s="273" t="s">
        <v>195</v>
      </c>
      <c r="G380" s="273">
        <v>2</v>
      </c>
      <c r="H380" s="247"/>
    </row>
    <row r="381" spans="1:8">
      <c r="A381" s="268">
        <v>46072</v>
      </c>
      <c r="B381" s="246" t="s">
        <v>33</v>
      </c>
      <c r="C381" s="270">
        <v>200</v>
      </c>
      <c r="D381" s="273" t="s">
        <v>106</v>
      </c>
      <c r="E381" s="273">
        <f t="shared" si="33"/>
        <v>0</v>
      </c>
      <c r="F381" s="273" t="s">
        <v>235</v>
      </c>
      <c r="G381" s="273">
        <v>2</v>
      </c>
      <c r="H381" s="247"/>
    </row>
    <row r="382" spans="1:8">
      <c r="A382" s="268">
        <v>46072</v>
      </c>
      <c r="B382" s="246" t="s">
        <v>38</v>
      </c>
      <c r="C382" s="270">
        <v>200</v>
      </c>
      <c r="D382" s="273" t="s">
        <v>106</v>
      </c>
      <c r="E382" s="273">
        <f t="shared" si="33"/>
        <v>2521</v>
      </c>
      <c r="F382" s="273" t="s">
        <v>235</v>
      </c>
      <c r="G382" s="273">
        <v>2</v>
      </c>
      <c r="H382" s="247"/>
    </row>
    <row r="383" spans="1:8">
      <c r="A383" s="268">
        <v>46072</v>
      </c>
      <c r="B383" s="246" t="s">
        <v>39</v>
      </c>
      <c r="C383" s="270">
        <v>100</v>
      </c>
      <c r="D383" s="273" t="s">
        <v>106</v>
      </c>
      <c r="E383" s="273">
        <f t="shared" si="33"/>
        <v>2576</v>
      </c>
      <c r="F383" s="273" t="s">
        <v>235</v>
      </c>
      <c r="G383" s="273">
        <v>2</v>
      </c>
      <c r="H383" s="247"/>
    </row>
    <row r="384" spans="1:8">
      <c r="A384" s="268">
        <v>46072</v>
      </c>
      <c r="B384" s="246" t="s">
        <v>22</v>
      </c>
      <c r="C384" s="270">
        <v>4</v>
      </c>
      <c r="D384" s="273" t="str">
        <f>IFERROR(VLOOKUP(B384,SUPPLY2,3,0),"-")</f>
        <v>Roll</v>
      </c>
      <c r="E384" s="273">
        <f t="shared" si="33"/>
        <v>281</v>
      </c>
      <c r="F384" s="273" t="s">
        <v>177</v>
      </c>
      <c r="G384" s="273">
        <v>2</v>
      </c>
      <c r="H384" s="247"/>
    </row>
    <row r="385" spans="1:8">
      <c r="A385" s="268">
        <v>46072</v>
      </c>
      <c r="B385" s="246" t="s">
        <v>37</v>
      </c>
      <c r="C385" s="270">
        <v>100</v>
      </c>
      <c r="D385" s="273" t="str">
        <f>IFERROR(VLOOKUP(B385,SUPPLY2,3,0),"-")</f>
        <v>Piece</v>
      </c>
      <c r="E385" s="273">
        <f t="shared" si="33"/>
        <v>0</v>
      </c>
      <c r="F385" s="273" t="s">
        <v>235</v>
      </c>
      <c r="G385" s="273">
        <v>2</v>
      </c>
      <c r="H385" s="247"/>
    </row>
    <row r="386" spans="1:8">
      <c r="A386" s="268">
        <v>46072</v>
      </c>
      <c r="B386" s="246" t="s">
        <v>34</v>
      </c>
      <c r="C386" s="270">
        <v>100</v>
      </c>
      <c r="D386" s="273" t="s">
        <v>106</v>
      </c>
      <c r="E386" s="273">
        <f t="shared" si="33"/>
        <v>0</v>
      </c>
      <c r="F386" s="273" t="s">
        <v>235</v>
      </c>
      <c r="G386" s="273">
        <v>2</v>
      </c>
      <c r="H386" s="247"/>
    </row>
    <row r="387" spans="1:8">
      <c r="A387" s="268">
        <v>46073</v>
      </c>
      <c r="B387" s="246" t="s">
        <v>10</v>
      </c>
      <c r="C387" s="270">
        <v>1</v>
      </c>
      <c r="D387" s="273" t="s">
        <v>104</v>
      </c>
      <c r="F387" s="273" t="s">
        <v>177</v>
      </c>
      <c r="G387" s="273">
        <v>2</v>
      </c>
      <c r="H387" s="247"/>
    </row>
    <row r="388" spans="1:8">
      <c r="A388" s="268">
        <v>46073</v>
      </c>
      <c r="B388" s="246" t="s">
        <v>33</v>
      </c>
      <c r="C388" s="270">
        <v>100</v>
      </c>
      <c r="D388" s="273" t="s">
        <v>106</v>
      </c>
      <c r="F388" s="273" t="s">
        <v>235</v>
      </c>
      <c r="G388" s="273">
        <v>2</v>
      </c>
      <c r="H388" s="247"/>
    </row>
    <row r="389" spans="1:8">
      <c r="A389" s="268">
        <v>46073</v>
      </c>
      <c r="B389" s="246" t="s">
        <v>221</v>
      </c>
      <c r="C389" s="270">
        <v>5</v>
      </c>
      <c r="D389" s="273" t="s">
        <v>106</v>
      </c>
      <c r="F389" s="273" t="s">
        <v>237</v>
      </c>
      <c r="G389" s="273">
        <v>2</v>
      </c>
      <c r="H389" s="247"/>
    </row>
    <row r="390" spans="1:8">
      <c r="A390" s="268">
        <v>46073</v>
      </c>
      <c r="B390" s="246" t="s">
        <v>10</v>
      </c>
      <c r="C390" s="270">
        <v>1</v>
      </c>
      <c r="D390" s="273" t="str">
        <f>IFERROR(VLOOKUP(B390,SUPPLY2,3,0),"-")</f>
        <v>Ream</v>
      </c>
      <c r="E390" s="273">
        <f>IFERROR(VLOOKUP(B390,SUPPLY2,4,0),"-")</f>
        <v>2276</v>
      </c>
      <c r="F390" s="273" t="s">
        <v>177</v>
      </c>
      <c r="G390" s="273">
        <v>2</v>
      </c>
      <c r="H390" s="247"/>
    </row>
    <row r="391" spans="1:8">
      <c r="A391" s="268">
        <v>46076</v>
      </c>
      <c r="B391" s="246" t="s">
        <v>38</v>
      </c>
      <c r="C391" s="270">
        <v>200</v>
      </c>
      <c r="D391" s="273" t="s">
        <v>106</v>
      </c>
      <c r="F391" s="273" t="s">
        <v>235</v>
      </c>
      <c r="G391" s="273">
        <v>2</v>
      </c>
      <c r="H391" s="247"/>
    </row>
    <row r="392" spans="1:8">
      <c r="A392" s="268">
        <v>46076</v>
      </c>
      <c r="B392" s="246" t="s">
        <v>33</v>
      </c>
      <c r="C392" s="270">
        <v>200</v>
      </c>
      <c r="D392" s="273" t="s">
        <v>106</v>
      </c>
      <c r="E392" s="273">
        <f t="shared" ref="E392:E417" si="34">IFERROR(VLOOKUP(B392,SUPPLY2,4,0),"-")</f>
        <v>0</v>
      </c>
      <c r="F392" s="273" t="s">
        <v>235</v>
      </c>
      <c r="G392" s="273">
        <v>2</v>
      </c>
      <c r="H392" s="247"/>
    </row>
    <row r="393" spans="1:8">
      <c r="A393" s="268">
        <v>46076</v>
      </c>
      <c r="B393" s="246" t="s">
        <v>13</v>
      </c>
      <c r="C393" s="270">
        <v>15</v>
      </c>
      <c r="D393" s="273" t="str">
        <f>IFERROR(VLOOKUP(B393,SUPPLY2,3,0),"-")</f>
        <v>C</v>
      </c>
      <c r="E393" s="273">
        <f t="shared" si="34"/>
        <v>330</v>
      </c>
      <c r="F393" s="273" t="s">
        <v>195</v>
      </c>
      <c r="G393" s="273">
        <v>2</v>
      </c>
      <c r="H393" s="247"/>
    </row>
    <row r="394" spans="1:8">
      <c r="A394" s="268">
        <v>46076</v>
      </c>
      <c r="B394" s="246" t="s">
        <v>34</v>
      </c>
      <c r="C394" s="270">
        <v>100</v>
      </c>
      <c r="D394" s="273" t="s">
        <v>106</v>
      </c>
      <c r="E394" s="273">
        <f t="shared" si="34"/>
        <v>0</v>
      </c>
      <c r="F394" s="273" t="s">
        <v>235</v>
      </c>
      <c r="G394" s="273">
        <v>2</v>
      </c>
      <c r="H394" s="247"/>
    </row>
    <row r="395" spans="1:8">
      <c r="A395" s="268">
        <v>46077</v>
      </c>
      <c r="B395" s="246" t="s">
        <v>18</v>
      </c>
      <c r="C395" s="270">
        <v>1</v>
      </c>
      <c r="D395" s="273" t="str">
        <f t="shared" ref="D395:D405" si="35">IFERROR(VLOOKUP(B395,SUPPLY2,3,0),"-")</f>
        <v>Piece</v>
      </c>
      <c r="E395" s="273">
        <f t="shared" si="34"/>
        <v>337</v>
      </c>
      <c r="F395" s="273" t="s">
        <v>229</v>
      </c>
      <c r="G395" s="273">
        <v>2</v>
      </c>
      <c r="H395" s="247"/>
    </row>
    <row r="396" spans="1:8">
      <c r="A396" s="268">
        <v>46077</v>
      </c>
      <c r="B396" s="246" t="s">
        <v>10</v>
      </c>
      <c r="C396" s="270">
        <v>1</v>
      </c>
      <c r="D396" s="273" t="str">
        <f t="shared" si="35"/>
        <v>Ream</v>
      </c>
      <c r="E396" s="273">
        <f t="shared" si="34"/>
        <v>2276</v>
      </c>
      <c r="F396" s="273" t="s">
        <v>177</v>
      </c>
      <c r="G396" s="273">
        <v>2</v>
      </c>
      <c r="H396" s="247"/>
    </row>
    <row r="397" spans="1:8">
      <c r="A397" s="268">
        <v>46077</v>
      </c>
      <c r="B397" s="246" t="s">
        <v>33</v>
      </c>
      <c r="C397" s="270">
        <v>100</v>
      </c>
      <c r="D397" s="273" t="str">
        <f t="shared" si="35"/>
        <v>Ream</v>
      </c>
      <c r="E397" s="273">
        <f t="shared" si="34"/>
        <v>0</v>
      </c>
      <c r="F397" s="273" t="s">
        <v>235</v>
      </c>
      <c r="G397" s="273">
        <v>2</v>
      </c>
      <c r="H397" s="247"/>
    </row>
    <row r="398" spans="1:8">
      <c r="A398" s="268">
        <v>46077</v>
      </c>
      <c r="B398" s="246" t="s">
        <v>38</v>
      </c>
      <c r="C398" s="270">
        <v>300</v>
      </c>
      <c r="D398" s="273" t="str">
        <f t="shared" si="35"/>
        <v>Ream</v>
      </c>
      <c r="E398" s="273">
        <f t="shared" si="34"/>
        <v>2521</v>
      </c>
      <c r="F398" s="273" t="s">
        <v>235</v>
      </c>
      <c r="G398" s="273">
        <v>2</v>
      </c>
      <c r="H398" s="247"/>
    </row>
    <row r="399" spans="1:8">
      <c r="A399" s="268">
        <v>46077</v>
      </c>
      <c r="B399" s="246" t="s">
        <v>13</v>
      </c>
      <c r="C399" s="270">
        <v>7</v>
      </c>
      <c r="D399" s="273" t="str">
        <f t="shared" si="35"/>
        <v>C</v>
      </c>
      <c r="E399" s="273">
        <f t="shared" si="34"/>
        <v>330</v>
      </c>
      <c r="F399" s="273" t="s">
        <v>195</v>
      </c>
      <c r="G399" s="273">
        <v>2</v>
      </c>
      <c r="H399" s="247"/>
    </row>
    <row r="400" spans="1:8">
      <c r="A400" s="268">
        <v>46077</v>
      </c>
      <c r="B400" s="246" t="s">
        <v>70</v>
      </c>
      <c r="C400" s="270">
        <v>4</v>
      </c>
      <c r="D400" s="273" t="str">
        <f t="shared" si="35"/>
        <v>Roll</v>
      </c>
      <c r="E400" s="273">
        <f t="shared" si="34"/>
        <v>2629</v>
      </c>
      <c r="F400" s="273" t="s">
        <v>235</v>
      </c>
      <c r="G400" s="273">
        <v>2</v>
      </c>
      <c r="H400" s="247"/>
    </row>
    <row r="401" spans="1:8">
      <c r="A401" s="268">
        <v>46078</v>
      </c>
      <c r="B401" s="246" t="s">
        <v>63</v>
      </c>
      <c r="C401" s="270">
        <v>2</v>
      </c>
      <c r="D401" s="273" t="str">
        <f t="shared" si="35"/>
        <v>Bottle</v>
      </c>
      <c r="E401" s="273">
        <f t="shared" si="34"/>
        <v>2618</v>
      </c>
      <c r="F401" s="273" t="s">
        <v>177</v>
      </c>
      <c r="G401" s="273">
        <v>2</v>
      </c>
      <c r="H401" s="247"/>
    </row>
    <row r="402" spans="1:8">
      <c r="A402" s="268">
        <v>46078</v>
      </c>
      <c r="B402" s="246" t="s">
        <v>37</v>
      </c>
      <c r="C402" s="270">
        <v>200</v>
      </c>
      <c r="D402" s="273" t="str">
        <f t="shared" si="35"/>
        <v>Piece</v>
      </c>
      <c r="E402" s="273">
        <f t="shared" si="34"/>
        <v>0</v>
      </c>
      <c r="F402" s="273" t="s">
        <v>235</v>
      </c>
      <c r="G402" s="273">
        <v>2</v>
      </c>
      <c r="H402" s="247"/>
    </row>
    <row r="403" spans="1:8">
      <c r="A403" s="268">
        <v>46078</v>
      </c>
      <c r="B403" s="246" t="s">
        <v>33</v>
      </c>
      <c r="C403" s="270">
        <v>200</v>
      </c>
      <c r="D403" s="273" t="str">
        <f t="shared" si="35"/>
        <v>Ream</v>
      </c>
      <c r="E403" s="273">
        <f t="shared" si="34"/>
        <v>0</v>
      </c>
      <c r="F403" s="273" t="s">
        <v>235</v>
      </c>
      <c r="G403" s="273">
        <v>2</v>
      </c>
      <c r="H403" s="247"/>
    </row>
    <row r="404" spans="1:8">
      <c r="A404" s="268">
        <v>46078</v>
      </c>
      <c r="B404" s="246" t="s">
        <v>38</v>
      </c>
      <c r="C404" s="270">
        <v>200</v>
      </c>
      <c r="D404" s="273" t="str">
        <f t="shared" si="35"/>
        <v>Ream</v>
      </c>
      <c r="E404" s="273">
        <f t="shared" si="34"/>
        <v>2521</v>
      </c>
      <c r="F404" s="273" t="s">
        <v>235</v>
      </c>
      <c r="G404" s="273">
        <v>2</v>
      </c>
      <c r="H404" s="247"/>
    </row>
    <row r="405" spans="1:8">
      <c r="A405" s="268">
        <v>46078</v>
      </c>
      <c r="B405" s="246" t="s">
        <v>10</v>
      </c>
      <c r="C405" s="270">
        <v>1</v>
      </c>
      <c r="D405" s="273" t="str">
        <f t="shared" si="35"/>
        <v>Ream</v>
      </c>
      <c r="E405" s="273">
        <f t="shared" si="34"/>
        <v>2276</v>
      </c>
      <c r="F405" s="273" t="s">
        <v>177</v>
      </c>
      <c r="G405" s="273">
        <v>2</v>
      </c>
      <c r="H405" s="247"/>
    </row>
    <row r="406" spans="1:8">
      <c r="A406" s="268">
        <v>46078</v>
      </c>
      <c r="B406" s="246" t="s">
        <v>243</v>
      </c>
      <c r="C406" s="270">
        <v>25</v>
      </c>
      <c r="D406" s="273" t="s">
        <v>106</v>
      </c>
      <c r="E406" s="273" t="str">
        <f t="shared" si="34"/>
        <v>-</v>
      </c>
      <c r="F406" s="273" t="s">
        <v>177</v>
      </c>
      <c r="G406" s="273">
        <v>2</v>
      </c>
      <c r="H406" s="247"/>
    </row>
    <row r="407" spans="1:8">
      <c r="A407" s="268">
        <v>46079</v>
      </c>
      <c r="B407" s="246" t="s">
        <v>10</v>
      </c>
      <c r="C407" s="270">
        <v>2</v>
      </c>
      <c r="D407" s="273" t="str">
        <f>IFERROR(VLOOKUP(B407,SUPPLY2,3,0),"-")</f>
        <v>Ream</v>
      </c>
      <c r="E407" s="273">
        <f t="shared" si="34"/>
        <v>2276</v>
      </c>
      <c r="F407" s="273" t="s">
        <v>177</v>
      </c>
      <c r="G407" s="273">
        <v>2</v>
      </c>
      <c r="H407" s="247"/>
    </row>
    <row r="408" spans="1:8">
      <c r="A408" s="268">
        <v>46079</v>
      </c>
      <c r="B408" s="246" t="s">
        <v>12</v>
      </c>
      <c r="C408" s="270">
        <v>1</v>
      </c>
      <c r="D408" s="273" t="str">
        <f>IFERROR(VLOOKUP(B408,SUPPLY2,3,0),"-")</f>
        <v>Ream</v>
      </c>
      <c r="E408" s="273">
        <f t="shared" si="34"/>
        <v>2067</v>
      </c>
      <c r="F408" s="273" t="s">
        <v>177</v>
      </c>
      <c r="G408" s="273">
        <v>2</v>
      </c>
      <c r="H408" s="247"/>
    </row>
    <row r="409" spans="1:8">
      <c r="A409" s="268">
        <v>46079</v>
      </c>
      <c r="B409" s="246" t="s">
        <v>33</v>
      </c>
      <c r="C409" s="270">
        <v>200</v>
      </c>
      <c r="D409" s="273" t="s">
        <v>106</v>
      </c>
      <c r="E409" s="273">
        <f t="shared" si="34"/>
        <v>0</v>
      </c>
      <c r="F409" s="273" t="s">
        <v>235</v>
      </c>
      <c r="G409" s="273">
        <v>2</v>
      </c>
      <c r="H409" s="247"/>
    </row>
    <row r="410" spans="1:8">
      <c r="A410" s="268">
        <v>46079</v>
      </c>
      <c r="B410" s="246" t="s">
        <v>13</v>
      </c>
      <c r="C410" s="270">
        <v>10</v>
      </c>
      <c r="D410" s="273" t="str">
        <f>IFERROR(VLOOKUP(B410,SUPPLY2,3,0),"-")</f>
        <v>C</v>
      </c>
      <c r="E410" s="273">
        <f t="shared" si="34"/>
        <v>330</v>
      </c>
      <c r="F410" s="273" t="s">
        <v>237</v>
      </c>
      <c r="G410" s="273">
        <v>2</v>
      </c>
      <c r="H410" s="247"/>
    </row>
    <row r="411" spans="1:8">
      <c r="A411" s="268">
        <v>46080</v>
      </c>
      <c r="B411" s="246" t="s">
        <v>245</v>
      </c>
      <c r="C411" s="270">
        <v>1</v>
      </c>
      <c r="D411" s="273" t="s">
        <v>106</v>
      </c>
      <c r="E411" s="273" t="str">
        <f t="shared" si="34"/>
        <v>-</v>
      </c>
      <c r="F411" s="273" t="s">
        <v>238</v>
      </c>
      <c r="G411" s="273">
        <v>2</v>
      </c>
      <c r="H411" s="247"/>
    </row>
    <row r="412" spans="1:8">
      <c r="A412" s="268">
        <v>46080</v>
      </c>
      <c r="B412" s="246" t="s">
        <v>18</v>
      </c>
      <c r="C412" s="270">
        <v>2</v>
      </c>
      <c r="D412" s="273" t="str">
        <f>IFERROR(VLOOKUP(B412,SUPPLY2,3,0),"-")</f>
        <v>Piece</v>
      </c>
      <c r="E412" s="273">
        <f t="shared" si="34"/>
        <v>337</v>
      </c>
      <c r="F412" s="273" t="s">
        <v>200</v>
      </c>
      <c r="G412" s="273">
        <v>2</v>
      </c>
      <c r="H412" s="247"/>
    </row>
    <row r="413" spans="1:8">
      <c r="A413" s="268">
        <v>46080</v>
      </c>
      <c r="B413" s="246" t="s">
        <v>243</v>
      </c>
      <c r="C413" s="270">
        <v>25</v>
      </c>
      <c r="D413" s="273" t="s">
        <v>106</v>
      </c>
      <c r="E413" s="273" t="str">
        <f t="shared" si="34"/>
        <v>-</v>
      </c>
      <c r="F413" s="273" t="s">
        <v>178</v>
      </c>
      <c r="G413" s="273">
        <v>2</v>
      </c>
      <c r="H413" s="247"/>
    </row>
    <row r="414" spans="1:8">
      <c r="A414" s="268">
        <v>46080</v>
      </c>
      <c r="B414" s="246" t="s">
        <v>33</v>
      </c>
      <c r="C414" s="270">
        <v>300</v>
      </c>
      <c r="D414" s="273" t="str">
        <f>IFERROR(VLOOKUP(B414,SUPPLY2,3,0),"-")</f>
        <v>Ream</v>
      </c>
      <c r="E414" s="273">
        <f t="shared" si="34"/>
        <v>0</v>
      </c>
      <c r="F414" s="273" t="s">
        <v>235</v>
      </c>
      <c r="G414" s="273">
        <v>2</v>
      </c>
      <c r="H414" s="247"/>
    </row>
    <row r="415" spans="1:8">
      <c r="A415" s="268">
        <v>46080</v>
      </c>
      <c r="B415" s="246" t="s">
        <v>38</v>
      </c>
      <c r="C415" s="270">
        <v>300</v>
      </c>
      <c r="D415" s="273" t="str">
        <f>IFERROR(VLOOKUP(B415,SUPPLY2,3,0),"-")</f>
        <v>Ream</v>
      </c>
      <c r="E415" s="273">
        <f t="shared" si="34"/>
        <v>2521</v>
      </c>
      <c r="F415" s="273" t="s">
        <v>235</v>
      </c>
      <c r="G415" s="273">
        <v>2</v>
      </c>
      <c r="H415" s="247"/>
    </row>
    <row r="416" spans="1:8">
      <c r="A416" s="268">
        <v>46080</v>
      </c>
      <c r="B416" s="246" t="s">
        <v>39</v>
      </c>
      <c r="C416" s="270">
        <v>200</v>
      </c>
      <c r="D416" s="273" t="str">
        <f>IFERROR(VLOOKUP(B416,SUPPLY2,3,0),"-")</f>
        <v>Ream</v>
      </c>
      <c r="E416" s="273">
        <f t="shared" si="34"/>
        <v>2576</v>
      </c>
      <c r="F416" s="273" t="s">
        <v>235</v>
      </c>
      <c r="G416" s="273">
        <v>2</v>
      </c>
      <c r="H416" s="247"/>
    </row>
    <row r="417" spans="1:8">
      <c r="A417" s="268">
        <v>46080</v>
      </c>
      <c r="B417" s="246" t="s">
        <v>13</v>
      </c>
      <c r="C417" s="270">
        <v>10</v>
      </c>
      <c r="D417" s="273" t="str">
        <f>IFERROR(VLOOKUP(B417,SUPPLY2,3,0),"-")</f>
        <v>C</v>
      </c>
      <c r="E417" s="273">
        <f t="shared" si="34"/>
        <v>330</v>
      </c>
      <c r="F417" s="273" t="s">
        <v>196</v>
      </c>
      <c r="G417" s="273">
        <v>2</v>
      </c>
      <c r="H417" s="247"/>
    </row>
    <row r="418" spans="1:8">
      <c r="A418" s="268">
        <v>46083</v>
      </c>
      <c r="B418" s="246" t="s">
        <v>13</v>
      </c>
      <c r="C418" s="270">
        <v>1</v>
      </c>
      <c r="F418" s="273" t="s">
        <v>238</v>
      </c>
      <c r="G418" s="273">
        <v>3</v>
      </c>
      <c r="H418" s="247"/>
    </row>
    <row r="419" spans="1:8">
      <c r="A419" s="268">
        <v>46083</v>
      </c>
      <c r="B419" s="246" t="s">
        <v>14</v>
      </c>
      <c r="C419" s="270">
        <v>20</v>
      </c>
      <c r="D419" s="273" t="str">
        <f>IFERROR(VLOOKUP(B419,SUPPLY2,3,0),"-")</f>
        <v>C</v>
      </c>
      <c r="E419" s="273">
        <f t="shared" ref="E419:E436" si="36">IFERROR(VLOOKUP(B419,SUPPLY2,4,0),"-")</f>
        <v>46</v>
      </c>
      <c r="F419" s="273" t="s">
        <v>238</v>
      </c>
      <c r="G419" s="273">
        <v>3</v>
      </c>
      <c r="H419" s="247"/>
    </row>
    <row r="420" spans="1:8">
      <c r="A420" s="268">
        <v>46083</v>
      </c>
      <c r="B420" s="246" t="s">
        <v>10</v>
      </c>
      <c r="C420" s="270">
        <v>2</v>
      </c>
      <c r="D420" s="273" t="str">
        <f>IFERROR(VLOOKUP(B420,SUPPLY2,3,0),"-")</f>
        <v>Ream</v>
      </c>
      <c r="E420" s="273">
        <f t="shared" si="36"/>
        <v>2276</v>
      </c>
      <c r="F420" s="273" t="s">
        <v>177</v>
      </c>
      <c r="G420" s="273">
        <v>3</v>
      </c>
      <c r="H420" s="247"/>
    </row>
    <row r="421" spans="1:8">
      <c r="A421" s="268">
        <v>46083</v>
      </c>
      <c r="B421" s="246" t="s">
        <v>245</v>
      </c>
      <c r="C421" s="270">
        <v>2</v>
      </c>
      <c r="D421" s="273" t="str">
        <f>IFERROR(VLOOKUP(B421,SUPPLY2,3,0),"-")</f>
        <v>-</v>
      </c>
      <c r="E421" s="273" t="str">
        <f t="shared" si="36"/>
        <v>-</v>
      </c>
      <c r="F421" s="273" t="s">
        <v>196</v>
      </c>
      <c r="G421" s="273">
        <v>3</v>
      </c>
      <c r="H421" s="247"/>
    </row>
    <row r="422" spans="1:8">
      <c r="A422" s="268">
        <v>46083</v>
      </c>
      <c r="B422" s="246" t="s">
        <v>34</v>
      </c>
      <c r="C422" s="270">
        <v>200</v>
      </c>
      <c r="D422" s="273" t="s">
        <v>106</v>
      </c>
      <c r="E422" s="273">
        <f t="shared" si="36"/>
        <v>0</v>
      </c>
      <c r="F422" s="273" t="s">
        <v>235</v>
      </c>
      <c r="G422" s="273">
        <v>3</v>
      </c>
      <c r="H422" s="247"/>
    </row>
    <row r="423" spans="1:8">
      <c r="A423" s="268">
        <v>46083</v>
      </c>
      <c r="B423" s="246" t="s">
        <v>27</v>
      </c>
      <c r="C423" s="270">
        <v>2</v>
      </c>
      <c r="D423" s="273" t="s">
        <v>106</v>
      </c>
      <c r="E423" s="273">
        <f t="shared" si="36"/>
        <v>308</v>
      </c>
      <c r="F423" s="273" t="s">
        <v>229</v>
      </c>
      <c r="G423" s="273">
        <v>3</v>
      </c>
      <c r="H423" s="247"/>
    </row>
    <row r="424" spans="1:8">
      <c r="A424" s="268">
        <v>46084</v>
      </c>
      <c r="B424" s="246" t="s">
        <v>13</v>
      </c>
      <c r="C424" s="270">
        <v>10</v>
      </c>
      <c r="D424" s="273" t="str">
        <f>IFERROR(VLOOKUP(B424,SUPPLY2,3,0),"-")</f>
        <v>C</v>
      </c>
      <c r="E424" s="273">
        <f t="shared" si="36"/>
        <v>330</v>
      </c>
      <c r="F424" s="273" t="s">
        <v>237</v>
      </c>
      <c r="G424" s="273">
        <v>3</v>
      </c>
      <c r="H424" s="247"/>
    </row>
    <row r="425" spans="1:8">
      <c r="A425" s="268">
        <v>46084</v>
      </c>
      <c r="B425" s="246" t="s">
        <v>13</v>
      </c>
      <c r="C425" s="270">
        <v>10</v>
      </c>
      <c r="D425" s="273" t="str">
        <f>IFERROR(VLOOKUP(B425,SUPPLY2,3,0),"-")</f>
        <v>C</v>
      </c>
      <c r="E425" s="273">
        <f t="shared" si="36"/>
        <v>330</v>
      </c>
      <c r="F425" s="273" t="s">
        <v>200</v>
      </c>
      <c r="G425" s="273">
        <v>3</v>
      </c>
      <c r="H425" s="247"/>
    </row>
    <row r="426" spans="1:8">
      <c r="A426" s="268">
        <v>46084</v>
      </c>
      <c r="B426" s="246" t="s">
        <v>18</v>
      </c>
      <c r="C426" s="270">
        <v>2</v>
      </c>
      <c r="D426" s="273" t="str">
        <f>IFERROR(VLOOKUP(B426,SUPPLY2,3,0),"-")</f>
        <v>Piece</v>
      </c>
      <c r="E426" s="273">
        <f t="shared" si="36"/>
        <v>337</v>
      </c>
      <c r="F426" s="273" t="s">
        <v>237</v>
      </c>
      <c r="G426" s="273">
        <v>3</v>
      </c>
      <c r="H426" s="247"/>
    </row>
    <row r="427" spans="1:8">
      <c r="A427" s="268">
        <v>46084</v>
      </c>
      <c r="B427" s="246" t="s">
        <v>33</v>
      </c>
      <c r="C427" s="270">
        <v>100</v>
      </c>
      <c r="D427" s="273" t="s">
        <v>106</v>
      </c>
      <c r="E427" s="273">
        <f t="shared" si="36"/>
        <v>0</v>
      </c>
      <c r="F427" s="273" t="s">
        <v>235</v>
      </c>
      <c r="G427" s="273">
        <v>3</v>
      </c>
      <c r="H427" s="247"/>
    </row>
    <row r="428" spans="1:8">
      <c r="A428" s="268">
        <v>46084</v>
      </c>
      <c r="B428" s="246" t="s">
        <v>38</v>
      </c>
      <c r="C428" s="270">
        <v>200</v>
      </c>
      <c r="D428" s="273" t="s">
        <v>106</v>
      </c>
      <c r="E428" s="273">
        <f t="shared" si="36"/>
        <v>2521</v>
      </c>
      <c r="F428" s="273" t="s">
        <v>235</v>
      </c>
      <c r="G428" s="273">
        <v>3</v>
      </c>
      <c r="H428" s="247"/>
    </row>
    <row r="429" spans="1:8">
      <c r="A429" s="268">
        <v>46084</v>
      </c>
      <c r="B429" s="246" t="s">
        <v>13</v>
      </c>
      <c r="C429" s="270">
        <v>5</v>
      </c>
      <c r="D429" s="273" t="str">
        <f>IFERROR(VLOOKUP(B429,SUPPLY2,3,0),"-")</f>
        <v>C</v>
      </c>
      <c r="E429" s="273">
        <f t="shared" si="36"/>
        <v>330</v>
      </c>
      <c r="F429" s="273" t="s">
        <v>195</v>
      </c>
      <c r="G429" s="273">
        <v>3</v>
      </c>
      <c r="H429" s="247"/>
    </row>
    <row r="430" spans="1:8">
      <c r="A430" s="268">
        <v>46084</v>
      </c>
      <c r="B430" s="246" t="s">
        <v>10</v>
      </c>
      <c r="C430" s="270">
        <v>1</v>
      </c>
      <c r="D430" s="273" t="str">
        <f>IFERROR(VLOOKUP(B430,SUPPLY2,3,0),"-")</f>
        <v>Ream</v>
      </c>
      <c r="E430" s="273">
        <f t="shared" si="36"/>
        <v>2276</v>
      </c>
      <c r="F430" s="273" t="s">
        <v>177</v>
      </c>
      <c r="G430" s="273">
        <v>3</v>
      </c>
      <c r="H430" s="247"/>
    </row>
    <row r="431" spans="1:8">
      <c r="A431" s="268">
        <v>46084</v>
      </c>
      <c r="B431" s="246" t="s">
        <v>242</v>
      </c>
      <c r="C431" s="270">
        <v>200</v>
      </c>
      <c r="D431" s="273" t="s">
        <v>106</v>
      </c>
      <c r="E431" s="273" t="str">
        <f t="shared" si="36"/>
        <v>-</v>
      </c>
      <c r="F431" s="273" t="s">
        <v>235</v>
      </c>
      <c r="G431" s="273">
        <v>3</v>
      </c>
      <c r="H431" s="247"/>
    </row>
    <row r="432" spans="1:8">
      <c r="A432" s="268">
        <v>46085</v>
      </c>
      <c r="B432" s="246" t="s">
        <v>33</v>
      </c>
      <c r="C432" s="270">
        <v>100</v>
      </c>
      <c r="D432" s="273" t="str">
        <f>IFERROR(VLOOKUP(B432,SUPPLY2,3,0),"-")</f>
        <v>Ream</v>
      </c>
      <c r="E432" s="273">
        <f t="shared" si="36"/>
        <v>0</v>
      </c>
      <c r="F432" s="273" t="s">
        <v>235</v>
      </c>
      <c r="G432" s="273">
        <v>3</v>
      </c>
      <c r="H432" s="247"/>
    </row>
    <row r="433" spans="1:8">
      <c r="A433" s="268">
        <v>46085</v>
      </c>
      <c r="B433" s="246" t="s">
        <v>63</v>
      </c>
      <c r="C433" s="270">
        <v>1</v>
      </c>
      <c r="D433" s="273" t="str">
        <f>IFERROR(VLOOKUP(B433,SUPPLY2,3,0),"-")</f>
        <v>Bottle</v>
      </c>
      <c r="E433" s="273">
        <f t="shared" si="36"/>
        <v>2618</v>
      </c>
      <c r="F433" s="273" t="s">
        <v>235</v>
      </c>
      <c r="G433" s="273">
        <v>3</v>
      </c>
      <c r="H433" s="247"/>
    </row>
    <row r="434" spans="1:8">
      <c r="A434" s="268">
        <v>46085</v>
      </c>
      <c r="B434" s="246" t="s">
        <v>18</v>
      </c>
      <c r="C434" s="270">
        <v>4</v>
      </c>
      <c r="D434" s="273" t="str">
        <f>IFERROR(VLOOKUP(B434,SUPPLY2,3,0),"-")</f>
        <v>Piece</v>
      </c>
      <c r="E434" s="273">
        <f t="shared" si="36"/>
        <v>337</v>
      </c>
      <c r="F434" s="273" t="s">
        <v>238</v>
      </c>
      <c r="G434" s="273">
        <v>3</v>
      </c>
      <c r="H434" s="247"/>
    </row>
    <row r="435" spans="1:8">
      <c r="A435" s="268">
        <v>46085</v>
      </c>
      <c r="B435" s="246" t="s">
        <v>30</v>
      </c>
      <c r="C435" s="270">
        <v>1</v>
      </c>
      <c r="D435" s="273" t="str">
        <f>IFERROR(VLOOKUP(B435,SUPPLY2,3,0),"-")</f>
        <v>Box</v>
      </c>
      <c r="E435" s="273">
        <f t="shared" si="36"/>
        <v>310</v>
      </c>
      <c r="F435" s="273" t="s">
        <v>177</v>
      </c>
      <c r="G435" s="273">
        <v>3</v>
      </c>
      <c r="H435" s="247"/>
    </row>
    <row r="436" spans="1:8">
      <c r="A436" s="268">
        <v>46085</v>
      </c>
      <c r="B436" s="246" t="s">
        <v>70</v>
      </c>
      <c r="C436" s="270">
        <v>8</v>
      </c>
      <c r="D436" s="273" t="str">
        <f>IFERROR(VLOOKUP(B436,SUPPLY2,3,0),"-")</f>
        <v>Roll</v>
      </c>
      <c r="E436" s="273">
        <f t="shared" si="36"/>
        <v>2629</v>
      </c>
      <c r="F436" s="273" t="s">
        <v>235</v>
      </c>
      <c r="G436" s="273">
        <v>3</v>
      </c>
      <c r="H436" s="247"/>
    </row>
    <row r="437" spans="1:8">
      <c r="A437" s="268">
        <v>46086</v>
      </c>
      <c r="B437" s="246" t="s">
        <v>33</v>
      </c>
      <c r="C437" s="270">
        <v>100</v>
      </c>
      <c r="D437" s="273" t="s">
        <v>106</v>
      </c>
      <c r="F437" s="273" t="s">
        <v>235</v>
      </c>
      <c r="G437" s="273">
        <v>3</v>
      </c>
      <c r="H437" s="247"/>
    </row>
    <row r="438" spans="1:8">
      <c r="A438" s="268">
        <v>46086</v>
      </c>
      <c r="B438" s="246" t="s">
        <v>38</v>
      </c>
      <c r="C438" s="270">
        <v>100</v>
      </c>
      <c r="D438" s="273" t="s">
        <v>106</v>
      </c>
      <c r="F438" s="273" t="s">
        <v>235</v>
      </c>
      <c r="G438" s="273">
        <v>3</v>
      </c>
      <c r="H438" s="247"/>
    </row>
    <row r="439" spans="1:8">
      <c r="A439" s="268">
        <v>46086</v>
      </c>
      <c r="B439" s="246" t="s">
        <v>37</v>
      </c>
      <c r="C439" s="270">
        <v>300</v>
      </c>
      <c r="D439" s="273" t="s">
        <v>106</v>
      </c>
      <c r="F439" s="273" t="s">
        <v>235</v>
      </c>
      <c r="G439" s="273">
        <v>3</v>
      </c>
      <c r="H439" s="247"/>
    </row>
    <row r="440" spans="1:8">
      <c r="A440" s="268">
        <v>46086</v>
      </c>
      <c r="B440" s="246" t="s">
        <v>34</v>
      </c>
      <c r="C440" s="270">
        <v>300</v>
      </c>
      <c r="D440" s="273" t="s">
        <v>106</v>
      </c>
      <c r="E440" s="273">
        <f t="shared" ref="E440:E471" si="37">IFERROR(VLOOKUP(B440,SUPPLY2,4,0),"-")</f>
        <v>0</v>
      </c>
      <c r="F440" s="273" t="s">
        <v>235</v>
      </c>
      <c r="G440" s="273">
        <v>3</v>
      </c>
      <c r="H440" s="247"/>
    </row>
    <row r="441" spans="1:8">
      <c r="A441" s="268">
        <v>46086</v>
      </c>
      <c r="B441" s="246" t="s">
        <v>36</v>
      </c>
      <c r="C441" s="270">
        <v>300</v>
      </c>
      <c r="D441" s="273" t="s">
        <v>106</v>
      </c>
      <c r="E441" s="273">
        <f t="shared" si="37"/>
        <v>0</v>
      </c>
      <c r="F441" s="273" t="s">
        <v>235</v>
      </c>
      <c r="G441" s="273">
        <v>3</v>
      </c>
      <c r="H441" s="247"/>
    </row>
    <row r="442" spans="1:8">
      <c r="A442" s="268">
        <v>46086</v>
      </c>
      <c r="B442" s="246" t="s">
        <v>14</v>
      </c>
      <c r="C442" s="270">
        <v>1</v>
      </c>
      <c r="D442" s="273" t="str">
        <f>IFERROR(VLOOKUP(B442,SUPPLY2,3,0),"-")</f>
        <v>C</v>
      </c>
      <c r="E442" s="273">
        <f t="shared" si="37"/>
        <v>46</v>
      </c>
      <c r="F442" s="273" t="s">
        <v>240</v>
      </c>
      <c r="G442" s="273">
        <v>3</v>
      </c>
      <c r="H442" s="247"/>
    </row>
    <row r="443" spans="1:8">
      <c r="A443" s="268">
        <v>46086</v>
      </c>
      <c r="B443" s="246" t="s">
        <v>10</v>
      </c>
      <c r="C443" s="270">
        <v>2</v>
      </c>
      <c r="D443" s="273" t="str">
        <f>IFERROR(VLOOKUP(B443,SUPPLY2,3,0),"-")</f>
        <v>Ream</v>
      </c>
      <c r="E443" s="273">
        <f t="shared" si="37"/>
        <v>2276</v>
      </c>
      <c r="F443" s="273" t="s">
        <v>177</v>
      </c>
      <c r="G443" s="273">
        <v>3</v>
      </c>
      <c r="H443" s="247"/>
    </row>
    <row r="444" spans="1:8">
      <c r="A444" s="268">
        <v>46087</v>
      </c>
      <c r="B444" s="246" t="s">
        <v>246</v>
      </c>
      <c r="C444" s="270">
        <v>25</v>
      </c>
      <c r="D444" s="273" t="s">
        <v>106</v>
      </c>
      <c r="E444" s="273" t="str">
        <f t="shared" si="37"/>
        <v>-</v>
      </c>
      <c r="F444" s="273" t="s">
        <v>235</v>
      </c>
      <c r="G444" s="273">
        <v>3</v>
      </c>
      <c r="H444" s="247"/>
    </row>
    <row r="445" spans="1:8">
      <c r="A445" s="268">
        <v>46087</v>
      </c>
      <c r="B445" s="246" t="s">
        <v>38</v>
      </c>
      <c r="C445" s="270">
        <v>300</v>
      </c>
      <c r="D445" s="273" t="s">
        <v>106</v>
      </c>
      <c r="E445" s="273">
        <f t="shared" si="37"/>
        <v>2521</v>
      </c>
      <c r="F445" s="273" t="s">
        <v>235</v>
      </c>
      <c r="G445" s="273">
        <v>3</v>
      </c>
      <c r="H445" s="247"/>
    </row>
    <row r="446" spans="1:8">
      <c r="A446" s="268">
        <v>46090</v>
      </c>
      <c r="B446" s="246" t="s">
        <v>33</v>
      </c>
      <c r="C446" s="270">
        <v>200</v>
      </c>
      <c r="D446" s="273" t="s">
        <v>106</v>
      </c>
      <c r="E446" s="273">
        <f t="shared" si="37"/>
        <v>0</v>
      </c>
      <c r="F446" s="273" t="s">
        <v>235</v>
      </c>
      <c r="G446" s="273">
        <v>3</v>
      </c>
      <c r="H446" s="247"/>
    </row>
    <row r="447" spans="1:8">
      <c r="A447" s="268">
        <v>46090</v>
      </c>
      <c r="B447" s="246" t="s">
        <v>10</v>
      </c>
      <c r="C447" s="270">
        <v>1</v>
      </c>
      <c r="D447" s="273" t="str">
        <f>IFERROR(VLOOKUP(B447,SUPPLY2,3,0),"-")</f>
        <v>Ream</v>
      </c>
      <c r="E447" s="273">
        <f t="shared" si="37"/>
        <v>2276</v>
      </c>
      <c r="F447" s="273" t="s">
        <v>235</v>
      </c>
      <c r="G447" s="273">
        <v>3</v>
      </c>
      <c r="H447" s="247"/>
    </row>
    <row r="448" spans="1:8">
      <c r="A448" s="268">
        <v>46090</v>
      </c>
      <c r="B448" s="246" t="s">
        <v>18</v>
      </c>
      <c r="C448" s="270">
        <v>2</v>
      </c>
      <c r="D448" s="273" t="str">
        <f>IFERROR(VLOOKUP(B448,SUPPLY2,3,0),"-")</f>
        <v>Piece</v>
      </c>
      <c r="E448" s="273">
        <f t="shared" si="37"/>
        <v>337</v>
      </c>
      <c r="F448" s="273" t="s">
        <v>177</v>
      </c>
      <c r="G448" s="273">
        <v>3</v>
      </c>
      <c r="H448" s="247"/>
    </row>
    <row r="449" spans="1:8">
      <c r="A449" s="268">
        <v>46091</v>
      </c>
      <c r="B449" s="246" t="s">
        <v>63</v>
      </c>
      <c r="C449" s="270">
        <v>2</v>
      </c>
      <c r="D449" s="273" t="str">
        <f>IFERROR(VLOOKUP(B449,SUPPLY2,3,0),"-")</f>
        <v>Bottle</v>
      </c>
      <c r="E449" s="273">
        <f t="shared" si="37"/>
        <v>2618</v>
      </c>
      <c r="F449" s="273" t="s">
        <v>177</v>
      </c>
      <c r="G449" s="273">
        <v>3</v>
      </c>
      <c r="H449" s="247"/>
    </row>
    <row r="450" spans="1:8">
      <c r="A450" s="268">
        <v>46091</v>
      </c>
      <c r="B450" s="246" t="s">
        <v>12</v>
      </c>
      <c r="C450" s="270">
        <v>1</v>
      </c>
      <c r="D450" s="273" t="str">
        <f>IFERROR(VLOOKUP(B450,SUPPLY2,3,0),"-")</f>
        <v>Ream</v>
      </c>
      <c r="E450" s="273">
        <f t="shared" si="37"/>
        <v>2067</v>
      </c>
      <c r="F450" s="273" t="s">
        <v>177</v>
      </c>
      <c r="G450" s="273">
        <v>3</v>
      </c>
      <c r="H450" s="247"/>
    </row>
    <row r="451" spans="1:8">
      <c r="A451" s="268">
        <v>46092</v>
      </c>
      <c r="B451" s="246" t="s">
        <v>34</v>
      </c>
      <c r="C451" s="270">
        <v>100</v>
      </c>
      <c r="D451" s="273" t="s">
        <v>106</v>
      </c>
      <c r="E451" s="273">
        <f t="shared" si="37"/>
        <v>0</v>
      </c>
      <c r="F451" s="273" t="s">
        <v>235</v>
      </c>
      <c r="G451" s="273">
        <v>3</v>
      </c>
      <c r="H451" s="247"/>
    </row>
    <row r="452" spans="1:8">
      <c r="A452" s="268">
        <v>46093</v>
      </c>
      <c r="B452" s="246" t="s">
        <v>10</v>
      </c>
      <c r="C452" s="270">
        <v>1</v>
      </c>
      <c r="D452" s="273" t="str">
        <f t="shared" ref="D452:D483" si="38">IFERROR(VLOOKUP(B452,SUPPLY2,3,0),"-")</f>
        <v>Ream</v>
      </c>
      <c r="E452" s="273">
        <f t="shared" si="37"/>
        <v>2276</v>
      </c>
      <c r="F452" s="273" t="s">
        <v>177</v>
      </c>
      <c r="G452" s="273">
        <v>3</v>
      </c>
      <c r="H452" s="247"/>
    </row>
    <row r="453" spans="1:8">
      <c r="A453" s="268">
        <v>46094</v>
      </c>
      <c r="B453" s="246" t="s">
        <v>38</v>
      </c>
      <c r="C453" s="270">
        <v>200</v>
      </c>
      <c r="D453" s="273" t="str">
        <f t="shared" si="38"/>
        <v>Ream</v>
      </c>
      <c r="E453" s="273">
        <f t="shared" si="37"/>
        <v>2521</v>
      </c>
      <c r="F453" s="273" t="s">
        <v>235</v>
      </c>
      <c r="G453" s="273">
        <v>3</v>
      </c>
      <c r="H453" s="247"/>
    </row>
    <row r="454" spans="1:8">
      <c r="A454" s="268">
        <v>46094</v>
      </c>
      <c r="B454" s="246" t="s">
        <v>39</v>
      </c>
      <c r="C454" s="270">
        <v>100</v>
      </c>
      <c r="D454" s="273" t="str">
        <f t="shared" si="38"/>
        <v>Ream</v>
      </c>
      <c r="E454" s="273">
        <f t="shared" si="37"/>
        <v>2576</v>
      </c>
      <c r="F454" s="273" t="s">
        <v>235</v>
      </c>
      <c r="G454" s="273">
        <v>3</v>
      </c>
      <c r="H454" s="247"/>
    </row>
    <row r="455" spans="1:8">
      <c r="A455" s="268">
        <v>46094</v>
      </c>
      <c r="B455" s="246" t="s">
        <v>63</v>
      </c>
      <c r="C455" s="270">
        <v>1</v>
      </c>
      <c r="D455" s="273" t="str">
        <f t="shared" si="38"/>
        <v>Bottle</v>
      </c>
      <c r="E455" s="273">
        <f t="shared" si="37"/>
        <v>2618</v>
      </c>
      <c r="F455" s="273" t="s">
        <v>195</v>
      </c>
      <c r="G455" s="273">
        <v>3</v>
      </c>
      <c r="H455" s="247"/>
    </row>
    <row r="456" spans="1:8">
      <c r="A456" s="268">
        <v>46094</v>
      </c>
      <c r="B456" s="246" t="s">
        <v>10</v>
      </c>
      <c r="C456" s="270">
        <v>1</v>
      </c>
      <c r="D456" s="273" t="str">
        <f t="shared" si="38"/>
        <v>Ream</v>
      </c>
      <c r="E456" s="273">
        <f t="shared" si="37"/>
        <v>2276</v>
      </c>
      <c r="F456" s="273" t="s">
        <v>177</v>
      </c>
      <c r="G456" s="273">
        <v>3</v>
      </c>
      <c r="H456" s="247"/>
    </row>
    <row r="457" spans="1:8">
      <c r="A457" s="268">
        <v>46094</v>
      </c>
      <c r="B457" s="246" t="s">
        <v>14</v>
      </c>
      <c r="C457" s="270">
        <v>12</v>
      </c>
      <c r="D457" s="273" t="str">
        <f t="shared" si="38"/>
        <v>C</v>
      </c>
      <c r="E457" s="273">
        <f t="shared" si="37"/>
        <v>46</v>
      </c>
      <c r="F457" s="273" t="s">
        <v>196</v>
      </c>
      <c r="G457" s="273">
        <f t="shared" ref="G457:G488" si="39">IFERROR(VLOOKUP(A457,YEAR2023,2,0),"-")</f>
        <v>0</v>
      </c>
      <c r="H457" s="247"/>
    </row>
    <row r="458" spans="1:8">
      <c r="A458" s="268">
        <v>46097</v>
      </c>
      <c r="B458" s="246" t="s">
        <v>10</v>
      </c>
      <c r="C458" s="270">
        <v>1</v>
      </c>
      <c r="D458" s="273" t="str">
        <f t="shared" si="38"/>
        <v>Ream</v>
      </c>
      <c r="E458" s="273">
        <f t="shared" si="37"/>
        <v>2276</v>
      </c>
      <c r="F458" s="273" t="s">
        <v>177</v>
      </c>
      <c r="G458" s="273">
        <f t="shared" si="39"/>
        <v>0</v>
      </c>
      <c r="H458" s="247"/>
    </row>
    <row r="459" spans="1:8">
      <c r="A459" s="268">
        <v>46097</v>
      </c>
      <c r="B459" s="246" t="s">
        <v>15</v>
      </c>
      <c r="C459" s="270">
        <v>1</v>
      </c>
      <c r="D459" s="273" t="str">
        <f t="shared" si="38"/>
        <v>Roll</v>
      </c>
      <c r="E459" s="273">
        <f t="shared" si="37"/>
        <v>301</v>
      </c>
      <c r="F459" s="273" t="s">
        <v>177</v>
      </c>
      <c r="G459" s="273">
        <f t="shared" si="39"/>
        <v>0</v>
      </c>
      <c r="H459" s="247"/>
    </row>
    <row r="460" spans="1:8">
      <c r="A460" s="268">
        <v>46098</v>
      </c>
      <c r="B460" s="246" t="s">
        <v>22</v>
      </c>
      <c r="C460" s="270">
        <v>4</v>
      </c>
      <c r="D460" s="273" t="str">
        <f t="shared" si="38"/>
        <v>Roll</v>
      </c>
      <c r="E460" s="273">
        <f t="shared" si="37"/>
        <v>281</v>
      </c>
      <c r="F460" s="273" t="s">
        <v>177</v>
      </c>
      <c r="G460" s="273">
        <f t="shared" si="39"/>
        <v>0</v>
      </c>
      <c r="H460" s="247"/>
    </row>
    <row r="461" spans="1:8">
      <c r="A461" s="268">
        <v>46098</v>
      </c>
      <c r="B461" s="246" t="s">
        <v>38</v>
      </c>
      <c r="C461" s="270">
        <v>200</v>
      </c>
      <c r="D461" s="273" t="str">
        <f t="shared" si="38"/>
        <v>Ream</v>
      </c>
      <c r="E461" s="273">
        <f t="shared" si="37"/>
        <v>2521</v>
      </c>
      <c r="F461" s="273" t="s">
        <v>235</v>
      </c>
      <c r="G461" s="273">
        <f t="shared" si="39"/>
        <v>0</v>
      </c>
      <c r="H461" s="247"/>
    </row>
    <row r="462" spans="1:8">
      <c r="A462" s="268">
        <v>46098</v>
      </c>
      <c r="B462" s="246" t="s">
        <v>39</v>
      </c>
      <c r="C462" s="270">
        <v>100</v>
      </c>
      <c r="D462" s="273" t="str">
        <f t="shared" si="38"/>
        <v>Ream</v>
      </c>
      <c r="E462" s="273">
        <f t="shared" si="37"/>
        <v>2576</v>
      </c>
      <c r="F462" s="273" t="s">
        <v>235</v>
      </c>
      <c r="G462" s="273">
        <f t="shared" si="39"/>
        <v>0</v>
      </c>
      <c r="H462" s="247"/>
    </row>
    <row r="463" spans="1:8">
      <c r="A463" s="268">
        <v>46098</v>
      </c>
      <c r="B463" s="246" t="s">
        <v>33</v>
      </c>
      <c r="C463" s="270">
        <v>200</v>
      </c>
      <c r="D463" s="273" t="str">
        <f t="shared" si="38"/>
        <v>Ream</v>
      </c>
      <c r="E463" s="273">
        <f t="shared" si="37"/>
        <v>0</v>
      </c>
      <c r="F463" s="273" t="s">
        <v>235</v>
      </c>
      <c r="G463" s="273">
        <f t="shared" si="39"/>
        <v>0</v>
      </c>
      <c r="H463" s="247"/>
    </row>
    <row r="464" spans="1:8">
      <c r="A464" s="268">
        <v>46099</v>
      </c>
      <c r="B464" s="246" t="s">
        <v>10</v>
      </c>
      <c r="C464" s="270">
        <v>1</v>
      </c>
      <c r="D464" s="273" t="str">
        <f t="shared" si="38"/>
        <v>Ream</v>
      </c>
      <c r="E464" s="273">
        <f t="shared" si="37"/>
        <v>2276</v>
      </c>
      <c r="F464" s="273" t="s">
        <v>177</v>
      </c>
      <c r="G464" s="273">
        <f t="shared" si="39"/>
        <v>0</v>
      </c>
      <c r="H464" s="247"/>
    </row>
    <row r="465" spans="1:8">
      <c r="A465" s="268">
        <v>46099</v>
      </c>
      <c r="B465" s="246" t="s">
        <v>12</v>
      </c>
      <c r="C465" s="270">
        <v>1</v>
      </c>
      <c r="D465" s="273" t="str">
        <f t="shared" si="38"/>
        <v>Ream</v>
      </c>
      <c r="E465" s="273">
        <f t="shared" si="37"/>
        <v>2067</v>
      </c>
      <c r="F465" s="273" t="s">
        <v>177</v>
      </c>
      <c r="G465" s="273">
        <f t="shared" si="39"/>
        <v>0</v>
      </c>
      <c r="H465" s="247"/>
    </row>
    <row r="466" spans="1:8">
      <c r="A466" s="268">
        <v>46099</v>
      </c>
      <c r="B466" s="246" t="s">
        <v>38</v>
      </c>
      <c r="C466" s="270">
        <v>200</v>
      </c>
      <c r="D466" s="273" t="str">
        <f t="shared" si="38"/>
        <v>Ream</v>
      </c>
      <c r="E466" s="273">
        <f t="shared" si="37"/>
        <v>2521</v>
      </c>
      <c r="F466" s="273" t="s">
        <v>235</v>
      </c>
      <c r="G466" s="273">
        <f t="shared" si="39"/>
        <v>0</v>
      </c>
      <c r="H466" s="247"/>
    </row>
    <row r="467" spans="1:8">
      <c r="A467" s="268">
        <v>46100</v>
      </c>
      <c r="B467" s="246" t="s">
        <v>10</v>
      </c>
      <c r="C467" s="270">
        <v>1</v>
      </c>
      <c r="D467" s="273" t="str">
        <f t="shared" si="38"/>
        <v>Ream</v>
      </c>
      <c r="E467" s="273">
        <f t="shared" si="37"/>
        <v>2276</v>
      </c>
      <c r="F467" s="273" t="s">
        <v>177</v>
      </c>
      <c r="G467" s="273">
        <f t="shared" si="39"/>
        <v>0</v>
      </c>
      <c r="H467" s="247"/>
    </row>
    <row r="468" spans="1:8">
      <c r="A468" s="268">
        <v>46100</v>
      </c>
      <c r="B468" s="246" t="s">
        <v>10</v>
      </c>
      <c r="C468" s="270">
        <v>1</v>
      </c>
      <c r="D468" s="273" t="str">
        <f t="shared" si="38"/>
        <v>Ream</v>
      </c>
      <c r="E468" s="273">
        <f t="shared" si="37"/>
        <v>2276</v>
      </c>
      <c r="F468" s="273" t="s">
        <v>177</v>
      </c>
      <c r="G468" s="273">
        <f t="shared" si="39"/>
        <v>0</v>
      </c>
      <c r="H468" s="247"/>
    </row>
    <row r="469" spans="1:8">
      <c r="A469" s="268">
        <v>46104</v>
      </c>
      <c r="B469" s="246" t="s">
        <v>70</v>
      </c>
      <c r="C469" s="270">
        <v>1</v>
      </c>
      <c r="D469" s="273" t="str">
        <f t="shared" si="38"/>
        <v>Roll</v>
      </c>
      <c r="E469" s="273">
        <f t="shared" si="37"/>
        <v>2629</v>
      </c>
      <c r="F469" s="273" t="s">
        <v>235</v>
      </c>
      <c r="G469" s="273">
        <f t="shared" si="39"/>
        <v>0</v>
      </c>
      <c r="H469" s="247"/>
    </row>
    <row r="470" spans="1:8">
      <c r="A470" s="268">
        <v>46104</v>
      </c>
      <c r="B470" s="246" t="s">
        <v>70</v>
      </c>
      <c r="C470" s="270">
        <v>1</v>
      </c>
      <c r="D470" s="273" t="str">
        <f t="shared" si="38"/>
        <v>Roll</v>
      </c>
      <c r="E470" s="273">
        <f t="shared" si="37"/>
        <v>2629</v>
      </c>
      <c r="F470" s="273" t="s">
        <v>235</v>
      </c>
      <c r="G470" s="273">
        <f t="shared" si="39"/>
        <v>0</v>
      </c>
      <c r="H470" s="247"/>
    </row>
    <row r="471" spans="1:8">
      <c r="A471" s="268">
        <v>46104</v>
      </c>
      <c r="B471" s="246" t="s">
        <v>70</v>
      </c>
      <c r="C471" s="270">
        <v>1</v>
      </c>
      <c r="D471" s="273" t="str">
        <f t="shared" si="38"/>
        <v>Roll</v>
      </c>
      <c r="E471" s="273">
        <f t="shared" si="37"/>
        <v>2629</v>
      </c>
      <c r="F471" s="273" t="s">
        <v>235</v>
      </c>
      <c r="G471" s="273">
        <f t="shared" si="39"/>
        <v>0</v>
      </c>
      <c r="H471" s="247"/>
    </row>
    <row r="472" spans="1:8">
      <c r="A472" s="268">
        <v>46104</v>
      </c>
      <c r="B472" s="246" t="s">
        <v>70</v>
      </c>
      <c r="C472" s="270">
        <v>1</v>
      </c>
      <c r="D472" s="273" t="str">
        <f t="shared" si="38"/>
        <v>Roll</v>
      </c>
      <c r="E472" s="273">
        <f t="shared" ref="E472:E503" si="40">IFERROR(VLOOKUP(B472,SUPPLY2,4,0),"-")</f>
        <v>2629</v>
      </c>
      <c r="F472" s="273" t="s">
        <v>235</v>
      </c>
      <c r="G472" s="273">
        <f t="shared" si="39"/>
        <v>0</v>
      </c>
      <c r="H472" s="247"/>
    </row>
    <row r="473" spans="1:8">
      <c r="A473" s="268">
        <v>46104</v>
      </c>
      <c r="B473" s="246" t="s">
        <v>70</v>
      </c>
      <c r="C473" s="270">
        <v>1</v>
      </c>
      <c r="D473" s="273" t="str">
        <f t="shared" si="38"/>
        <v>Roll</v>
      </c>
      <c r="E473" s="273">
        <f t="shared" si="40"/>
        <v>2629</v>
      </c>
      <c r="F473" s="273" t="s">
        <v>235</v>
      </c>
      <c r="G473" s="273">
        <f t="shared" si="39"/>
        <v>0</v>
      </c>
      <c r="H473" s="247"/>
    </row>
    <row r="474" spans="1:8">
      <c r="A474" s="268">
        <v>46104</v>
      </c>
      <c r="B474" s="246" t="s">
        <v>10</v>
      </c>
      <c r="C474" s="270">
        <v>1</v>
      </c>
      <c r="D474" s="273" t="str">
        <f t="shared" si="38"/>
        <v>Ream</v>
      </c>
      <c r="E474" s="273">
        <f t="shared" si="40"/>
        <v>2276</v>
      </c>
      <c r="F474" s="273" t="s">
        <v>177</v>
      </c>
      <c r="G474" s="273">
        <f t="shared" si="39"/>
        <v>0</v>
      </c>
      <c r="H474" s="247"/>
    </row>
    <row r="475" spans="1:8">
      <c r="A475" s="268">
        <v>46104</v>
      </c>
      <c r="B475" s="246" t="s">
        <v>38</v>
      </c>
      <c r="C475" s="270">
        <v>300</v>
      </c>
      <c r="D475" s="273" t="str">
        <f t="shared" si="38"/>
        <v>Ream</v>
      </c>
      <c r="E475" s="273">
        <f t="shared" si="40"/>
        <v>2521</v>
      </c>
      <c r="F475" s="273" t="s">
        <v>235</v>
      </c>
      <c r="G475" s="273">
        <f t="shared" si="39"/>
        <v>0</v>
      </c>
      <c r="H475" s="247"/>
    </row>
    <row r="476" spans="1:8">
      <c r="A476" s="268">
        <v>46104</v>
      </c>
      <c r="B476" s="246" t="s">
        <v>33</v>
      </c>
      <c r="C476" s="270">
        <v>100</v>
      </c>
      <c r="D476" s="273" t="str">
        <f t="shared" si="38"/>
        <v>Ream</v>
      </c>
      <c r="E476" s="273">
        <f t="shared" si="40"/>
        <v>0</v>
      </c>
      <c r="F476" s="273" t="s">
        <v>235</v>
      </c>
      <c r="G476" s="273">
        <f t="shared" si="39"/>
        <v>0</v>
      </c>
      <c r="H476" s="247"/>
    </row>
    <row r="477" spans="1:8">
      <c r="A477" s="268">
        <v>46105</v>
      </c>
      <c r="B477" s="246" t="s">
        <v>63</v>
      </c>
      <c r="C477" s="270">
        <v>2</v>
      </c>
      <c r="D477" s="273" t="str">
        <f t="shared" si="38"/>
        <v>Bottle</v>
      </c>
      <c r="E477" s="273">
        <f t="shared" si="40"/>
        <v>2618</v>
      </c>
      <c r="F477" s="273" t="s">
        <v>235</v>
      </c>
      <c r="G477" s="273">
        <f t="shared" si="39"/>
        <v>0</v>
      </c>
      <c r="H477" s="247"/>
    </row>
    <row r="478" spans="1:8">
      <c r="A478" s="268">
        <v>46105</v>
      </c>
      <c r="B478" s="246" t="s">
        <v>10</v>
      </c>
      <c r="C478" s="270">
        <v>1</v>
      </c>
      <c r="D478" s="273" t="str">
        <f t="shared" si="38"/>
        <v>Ream</v>
      </c>
      <c r="E478" s="273">
        <f t="shared" si="40"/>
        <v>2276</v>
      </c>
      <c r="F478" s="273" t="s">
        <v>177</v>
      </c>
      <c r="G478" s="273">
        <f t="shared" si="39"/>
        <v>0</v>
      </c>
      <c r="H478" s="247"/>
    </row>
    <row r="479" spans="1:8">
      <c r="A479" s="268">
        <v>46107</v>
      </c>
      <c r="B479" s="246" t="s">
        <v>13</v>
      </c>
      <c r="C479" s="270">
        <v>12</v>
      </c>
      <c r="D479" s="273" t="str">
        <f t="shared" si="38"/>
        <v>C</v>
      </c>
      <c r="E479" s="273">
        <f t="shared" si="40"/>
        <v>330</v>
      </c>
      <c r="F479" s="273" t="s">
        <v>178</v>
      </c>
      <c r="G479" s="273">
        <f t="shared" si="39"/>
        <v>0</v>
      </c>
      <c r="H479" s="247"/>
    </row>
    <row r="480" spans="1:8">
      <c r="A480" s="268">
        <v>46111</v>
      </c>
      <c r="B480" s="246" t="s">
        <v>10</v>
      </c>
      <c r="C480" s="270">
        <v>1</v>
      </c>
      <c r="D480" s="273" t="str">
        <f t="shared" si="38"/>
        <v>Ream</v>
      </c>
      <c r="E480" s="273">
        <f t="shared" si="40"/>
        <v>2276</v>
      </c>
      <c r="F480" s="273" t="s">
        <v>177</v>
      </c>
      <c r="G480" s="273">
        <f t="shared" si="39"/>
        <v>0</v>
      </c>
      <c r="H480" s="247"/>
    </row>
    <row r="481" spans="1:8">
      <c r="A481" s="268">
        <v>46111</v>
      </c>
      <c r="B481" s="246" t="s">
        <v>70</v>
      </c>
      <c r="D481" s="273" t="str">
        <f t="shared" si="38"/>
        <v>Roll</v>
      </c>
      <c r="E481" s="273">
        <f t="shared" si="40"/>
        <v>2629</v>
      </c>
      <c r="F481" s="273" t="s">
        <v>235</v>
      </c>
      <c r="G481" s="273">
        <f t="shared" si="39"/>
        <v>0</v>
      </c>
      <c r="H481" s="247"/>
    </row>
    <row r="482" spans="1:8">
      <c r="A482" s="268">
        <v>46111</v>
      </c>
      <c r="B482" s="246" t="s">
        <v>70</v>
      </c>
      <c r="D482" s="273" t="str">
        <f t="shared" si="38"/>
        <v>Roll</v>
      </c>
      <c r="E482" s="273">
        <f t="shared" si="40"/>
        <v>2629</v>
      </c>
      <c r="F482" s="273" t="s">
        <v>235</v>
      </c>
      <c r="G482" s="273">
        <f t="shared" si="39"/>
        <v>0</v>
      </c>
      <c r="H482" s="247"/>
    </row>
    <row r="483" spans="1:8">
      <c r="A483" s="268">
        <v>46111</v>
      </c>
      <c r="B483" s="246" t="s">
        <v>70</v>
      </c>
      <c r="D483" s="273" t="str">
        <f t="shared" si="38"/>
        <v>Roll</v>
      </c>
      <c r="E483" s="273">
        <f t="shared" si="40"/>
        <v>2629</v>
      </c>
      <c r="F483" s="273" t="s">
        <v>235</v>
      </c>
      <c r="G483" s="273">
        <f t="shared" si="39"/>
        <v>0</v>
      </c>
      <c r="H483" s="247"/>
    </row>
    <row r="484" spans="1:8">
      <c r="A484" s="268">
        <v>46111</v>
      </c>
      <c r="B484" s="246" t="s">
        <v>70</v>
      </c>
      <c r="D484" s="273" t="str">
        <f t="shared" ref="D484:D515" si="41">IFERROR(VLOOKUP(B484,SUPPLY2,3,0),"-")</f>
        <v>Roll</v>
      </c>
      <c r="E484" s="273">
        <f t="shared" si="40"/>
        <v>2629</v>
      </c>
      <c r="F484" s="273" t="s">
        <v>235</v>
      </c>
      <c r="G484" s="273">
        <f t="shared" si="39"/>
        <v>0</v>
      </c>
      <c r="H484" s="247"/>
    </row>
    <row r="485" spans="1:8">
      <c r="A485" s="268">
        <v>46118</v>
      </c>
      <c r="B485" s="246" t="s">
        <v>38</v>
      </c>
      <c r="D485" s="273" t="str">
        <f t="shared" si="41"/>
        <v>Ream</v>
      </c>
      <c r="E485" s="273">
        <f t="shared" si="40"/>
        <v>2521</v>
      </c>
      <c r="F485" s="273" t="s">
        <v>235</v>
      </c>
      <c r="G485" s="273">
        <f t="shared" si="39"/>
        <v>0</v>
      </c>
      <c r="H485" s="247"/>
    </row>
    <row r="486" spans="1:8">
      <c r="A486" s="268">
        <v>46118</v>
      </c>
      <c r="B486" s="246" t="s">
        <v>38</v>
      </c>
      <c r="D486" s="273" t="str">
        <f t="shared" si="41"/>
        <v>Ream</v>
      </c>
      <c r="E486" s="273">
        <f t="shared" si="40"/>
        <v>2521</v>
      </c>
      <c r="F486" s="273" t="s">
        <v>235</v>
      </c>
      <c r="G486" s="273">
        <f t="shared" si="39"/>
        <v>0</v>
      </c>
      <c r="H486" s="247"/>
    </row>
    <row r="487" spans="1:8">
      <c r="A487" s="268">
        <v>46118</v>
      </c>
      <c r="B487" s="246" t="s">
        <v>33</v>
      </c>
      <c r="C487" s="270">
        <v>200</v>
      </c>
      <c r="D487" s="273" t="str">
        <f t="shared" si="41"/>
        <v>Ream</v>
      </c>
      <c r="E487" s="273">
        <f t="shared" si="40"/>
        <v>0</v>
      </c>
      <c r="F487" s="273" t="s">
        <v>235</v>
      </c>
      <c r="G487" s="273">
        <f t="shared" si="39"/>
        <v>0</v>
      </c>
      <c r="H487" s="247"/>
    </row>
    <row r="488" spans="1:8">
      <c r="A488" s="268">
        <v>46118</v>
      </c>
      <c r="B488" s="246" t="s">
        <v>14</v>
      </c>
      <c r="C488" s="270">
        <v>3</v>
      </c>
      <c r="D488" s="273" t="str">
        <f t="shared" si="41"/>
        <v>C</v>
      </c>
      <c r="E488" s="273">
        <f t="shared" si="40"/>
        <v>46</v>
      </c>
      <c r="F488" s="273" t="s">
        <v>196</v>
      </c>
      <c r="G488" s="273">
        <f t="shared" si="39"/>
        <v>0</v>
      </c>
      <c r="H488" s="247"/>
    </row>
    <row r="489" spans="1:8">
      <c r="A489" s="268">
        <v>46119</v>
      </c>
      <c r="B489" s="246" t="s">
        <v>33</v>
      </c>
      <c r="D489" s="273" t="str">
        <f t="shared" si="41"/>
        <v>Ream</v>
      </c>
      <c r="E489" s="273">
        <f t="shared" si="40"/>
        <v>0</v>
      </c>
      <c r="F489" s="273" t="s">
        <v>235</v>
      </c>
      <c r="G489" s="273">
        <f t="shared" ref="G489:G520" si="42">IFERROR(VLOOKUP(A489,YEAR2023,2,0),"-")</f>
        <v>0</v>
      </c>
      <c r="H489" s="247"/>
    </row>
    <row r="490" spans="1:8">
      <c r="A490" s="268">
        <v>46119</v>
      </c>
      <c r="B490" s="246" t="s">
        <v>38</v>
      </c>
      <c r="C490" s="270">
        <v>200</v>
      </c>
      <c r="D490" s="273" t="str">
        <f t="shared" si="41"/>
        <v>Ream</v>
      </c>
      <c r="E490" s="273">
        <f t="shared" si="40"/>
        <v>2521</v>
      </c>
      <c r="F490" s="273" t="s">
        <v>235</v>
      </c>
      <c r="G490" s="273">
        <f t="shared" si="42"/>
        <v>0</v>
      </c>
      <c r="H490" s="247"/>
    </row>
    <row r="491" spans="1:8">
      <c r="A491" s="268">
        <v>46119</v>
      </c>
      <c r="B491" s="246" t="s">
        <v>39</v>
      </c>
      <c r="C491" s="270">
        <v>100</v>
      </c>
      <c r="D491" s="273" t="str">
        <f t="shared" si="41"/>
        <v>Ream</v>
      </c>
      <c r="E491" s="273">
        <f t="shared" si="40"/>
        <v>2576</v>
      </c>
      <c r="F491" s="273" t="s">
        <v>235</v>
      </c>
      <c r="G491" s="273">
        <f t="shared" si="42"/>
        <v>0</v>
      </c>
      <c r="H491" s="247"/>
    </row>
    <row r="492" spans="1:8">
      <c r="A492" s="268">
        <v>46119</v>
      </c>
      <c r="B492" s="246" t="s">
        <v>63</v>
      </c>
      <c r="C492" s="270">
        <v>1</v>
      </c>
      <c r="D492" s="273" t="str">
        <f t="shared" si="41"/>
        <v>Bottle</v>
      </c>
      <c r="E492" s="273">
        <f t="shared" si="40"/>
        <v>2618</v>
      </c>
      <c r="F492" s="273" t="s">
        <v>235</v>
      </c>
      <c r="G492" s="273">
        <f t="shared" si="42"/>
        <v>0</v>
      </c>
      <c r="H492" s="247"/>
    </row>
    <row r="493" spans="1:8">
      <c r="A493" s="268">
        <v>46119</v>
      </c>
      <c r="B493" s="246" t="s">
        <v>13</v>
      </c>
      <c r="C493" s="270">
        <v>10</v>
      </c>
      <c r="D493" s="273" t="str">
        <f t="shared" si="41"/>
        <v>C</v>
      </c>
      <c r="E493" s="273">
        <f t="shared" si="40"/>
        <v>330</v>
      </c>
      <c r="F493" s="273" t="s">
        <v>229</v>
      </c>
      <c r="G493" s="273">
        <f t="shared" si="42"/>
        <v>0</v>
      </c>
      <c r="H493" s="247"/>
    </row>
    <row r="494" spans="1:8">
      <c r="A494" s="268">
        <v>46120</v>
      </c>
      <c r="B494" s="246" t="s">
        <v>33</v>
      </c>
      <c r="C494" s="270">
        <v>200</v>
      </c>
      <c r="D494" s="273" t="str">
        <f t="shared" si="41"/>
        <v>Ream</v>
      </c>
      <c r="E494" s="273">
        <f t="shared" si="40"/>
        <v>0</v>
      </c>
      <c r="F494" s="273" t="s">
        <v>235</v>
      </c>
      <c r="G494" s="273">
        <f t="shared" si="42"/>
        <v>0</v>
      </c>
      <c r="H494" s="247"/>
    </row>
    <row r="495" spans="1:8">
      <c r="A495" s="268">
        <v>46120</v>
      </c>
      <c r="B495" s="246" t="s">
        <v>38</v>
      </c>
      <c r="C495" s="270">
        <v>200</v>
      </c>
      <c r="D495" s="273" t="str">
        <f t="shared" si="41"/>
        <v>Ream</v>
      </c>
      <c r="E495" s="273">
        <f t="shared" si="40"/>
        <v>2521</v>
      </c>
      <c r="F495" s="273" t="s">
        <v>235</v>
      </c>
      <c r="G495" s="273">
        <f t="shared" si="42"/>
        <v>0</v>
      </c>
      <c r="H495" s="247"/>
    </row>
    <row r="496" spans="1:8">
      <c r="A496" s="268">
        <v>46120</v>
      </c>
      <c r="B496" s="246" t="s">
        <v>39</v>
      </c>
      <c r="C496" s="270">
        <v>100</v>
      </c>
      <c r="D496" s="273" t="str">
        <f t="shared" si="41"/>
        <v>Ream</v>
      </c>
      <c r="E496" s="273">
        <f t="shared" si="40"/>
        <v>2576</v>
      </c>
      <c r="F496" s="273" t="s">
        <v>235</v>
      </c>
      <c r="G496" s="273">
        <f t="shared" si="42"/>
        <v>0</v>
      </c>
      <c r="H496" s="247"/>
    </row>
    <row r="497" spans="1:8">
      <c r="A497" s="268">
        <v>46120</v>
      </c>
      <c r="B497" s="246" t="s">
        <v>63</v>
      </c>
      <c r="C497" s="270">
        <v>1</v>
      </c>
      <c r="D497" s="273" t="str">
        <f t="shared" si="41"/>
        <v>Bottle</v>
      </c>
      <c r="E497" s="273">
        <f t="shared" si="40"/>
        <v>2618</v>
      </c>
      <c r="G497" s="273">
        <f t="shared" si="42"/>
        <v>0</v>
      </c>
      <c r="H497" s="247"/>
    </row>
    <row r="498" spans="1:8">
      <c r="A498" s="268">
        <v>46120</v>
      </c>
      <c r="B498" s="246" t="s">
        <v>22</v>
      </c>
      <c r="C498" s="270">
        <v>1</v>
      </c>
      <c r="D498" s="273" t="str">
        <f t="shared" si="41"/>
        <v>Roll</v>
      </c>
      <c r="E498" s="273">
        <f t="shared" si="40"/>
        <v>281</v>
      </c>
      <c r="G498" s="273">
        <f t="shared" si="42"/>
        <v>0</v>
      </c>
      <c r="H498" s="247"/>
    </row>
    <row r="499" spans="1:8">
      <c r="A499" s="268">
        <v>46120</v>
      </c>
      <c r="B499" s="246" t="s">
        <v>247</v>
      </c>
      <c r="C499" s="270">
        <v>4</v>
      </c>
      <c r="D499" s="273" t="str">
        <f t="shared" si="41"/>
        <v>-</v>
      </c>
      <c r="E499" s="273" t="str">
        <f t="shared" si="40"/>
        <v>-</v>
      </c>
      <c r="G499" s="273">
        <f t="shared" si="42"/>
        <v>0</v>
      </c>
      <c r="H499" s="247"/>
    </row>
    <row r="500" spans="1:8">
      <c r="A500" s="268">
        <v>46120</v>
      </c>
      <c r="B500" s="246" t="s">
        <v>38</v>
      </c>
      <c r="D500" s="273" t="str">
        <f t="shared" si="41"/>
        <v>Ream</v>
      </c>
      <c r="E500" s="273">
        <f t="shared" si="40"/>
        <v>2521</v>
      </c>
      <c r="F500" s="273" t="s">
        <v>235</v>
      </c>
      <c r="G500" s="273">
        <f t="shared" si="42"/>
        <v>0</v>
      </c>
      <c r="H500" s="247"/>
    </row>
    <row r="501" spans="1:8">
      <c r="A501" s="268">
        <v>46120</v>
      </c>
      <c r="B501" s="246" t="s">
        <v>38</v>
      </c>
      <c r="D501" s="273" t="str">
        <f t="shared" si="41"/>
        <v>Ream</v>
      </c>
      <c r="E501" s="273">
        <f t="shared" si="40"/>
        <v>2521</v>
      </c>
      <c r="F501" s="273" t="s">
        <v>235</v>
      </c>
      <c r="G501" s="273">
        <f t="shared" si="42"/>
        <v>0</v>
      </c>
      <c r="H501" s="247"/>
    </row>
    <row r="502" spans="1:8">
      <c r="A502" s="268">
        <v>46120</v>
      </c>
      <c r="B502" s="246" t="s">
        <v>10</v>
      </c>
      <c r="C502" s="270">
        <v>1</v>
      </c>
      <c r="D502" s="273" t="str">
        <f t="shared" si="41"/>
        <v>Ream</v>
      </c>
      <c r="E502" s="273">
        <f t="shared" si="40"/>
        <v>2276</v>
      </c>
      <c r="F502" s="273" t="s">
        <v>177</v>
      </c>
      <c r="G502" s="273">
        <f t="shared" si="42"/>
        <v>0</v>
      </c>
      <c r="H502" s="247"/>
    </row>
    <row r="503" spans="1:8">
      <c r="A503" s="268">
        <v>46120</v>
      </c>
      <c r="B503" s="246" t="s">
        <v>12</v>
      </c>
      <c r="C503" s="270">
        <v>1</v>
      </c>
      <c r="D503" s="273" t="str">
        <f t="shared" si="41"/>
        <v>Ream</v>
      </c>
      <c r="E503" s="273">
        <f t="shared" si="40"/>
        <v>2067</v>
      </c>
      <c r="F503" s="273" t="s">
        <v>177</v>
      </c>
      <c r="G503" s="273">
        <f t="shared" si="42"/>
        <v>0</v>
      </c>
      <c r="H503" s="247"/>
    </row>
    <row r="504" spans="1:8">
      <c r="A504" s="268">
        <v>46125</v>
      </c>
      <c r="B504" s="246" t="s">
        <v>38</v>
      </c>
      <c r="D504" s="273" t="str">
        <f t="shared" si="41"/>
        <v>Ream</v>
      </c>
      <c r="E504" s="273">
        <f t="shared" ref="E504:E535" si="43">IFERROR(VLOOKUP(B504,SUPPLY2,4,0),"-")</f>
        <v>2521</v>
      </c>
      <c r="F504" s="273" t="s">
        <v>235</v>
      </c>
      <c r="G504" s="273">
        <f t="shared" si="42"/>
        <v>0</v>
      </c>
      <c r="H504" s="247"/>
    </row>
    <row r="505" spans="1:8">
      <c r="A505" s="268">
        <v>46125</v>
      </c>
      <c r="B505" s="246" t="s">
        <v>38</v>
      </c>
      <c r="D505" s="273" t="str">
        <f t="shared" si="41"/>
        <v>Ream</v>
      </c>
      <c r="E505" s="273">
        <f t="shared" si="43"/>
        <v>2521</v>
      </c>
      <c r="F505" s="273" t="s">
        <v>235</v>
      </c>
      <c r="G505" s="273">
        <f t="shared" si="42"/>
        <v>0</v>
      </c>
      <c r="H505" s="247"/>
    </row>
    <row r="506" spans="1:8">
      <c r="A506" s="268">
        <v>46125</v>
      </c>
      <c r="B506" s="246" t="s">
        <v>38</v>
      </c>
      <c r="D506" s="273" t="str">
        <f t="shared" si="41"/>
        <v>Ream</v>
      </c>
      <c r="E506" s="273">
        <f t="shared" si="43"/>
        <v>2521</v>
      </c>
      <c r="F506" s="273" t="s">
        <v>235</v>
      </c>
      <c r="G506" s="273">
        <f t="shared" si="42"/>
        <v>0</v>
      </c>
      <c r="H506" s="247"/>
    </row>
    <row r="507" spans="1:8">
      <c r="A507" s="268">
        <v>46125</v>
      </c>
      <c r="B507" s="246" t="s">
        <v>10</v>
      </c>
      <c r="C507" s="270">
        <v>1</v>
      </c>
      <c r="D507" s="273" t="str">
        <f t="shared" si="41"/>
        <v>Ream</v>
      </c>
      <c r="E507" s="273">
        <f t="shared" si="43"/>
        <v>2276</v>
      </c>
      <c r="F507" s="273" t="s">
        <v>177</v>
      </c>
      <c r="G507" s="273">
        <f t="shared" si="42"/>
        <v>0</v>
      </c>
      <c r="H507" s="247"/>
    </row>
    <row r="508" spans="1:8">
      <c r="A508" s="268">
        <v>46126</v>
      </c>
      <c r="B508" s="246" t="s">
        <v>10</v>
      </c>
      <c r="C508" s="270">
        <v>3</v>
      </c>
      <c r="D508" s="273" t="str">
        <f t="shared" si="41"/>
        <v>Ream</v>
      </c>
      <c r="E508" s="273">
        <f t="shared" si="43"/>
        <v>2276</v>
      </c>
      <c r="F508" s="273" t="s">
        <v>177</v>
      </c>
      <c r="G508" s="273">
        <f t="shared" si="42"/>
        <v>0</v>
      </c>
      <c r="H508" s="247"/>
    </row>
    <row r="509" spans="1:8">
      <c r="A509" s="268">
        <v>46126</v>
      </c>
      <c r="B509" s="246" t="s">
        <v>33</v>
      </c>
      <c r="C509" s="270">
        <v>200</v>
      </c>
      <c r="D509" s="273" t="str">
        <f t="shared" si="41"/>
        <v>Ream</v>
      </c>
      <c r="E509" s="273">
        <f t="shared" si="43"/>
        <v>0</v>
      </c>
      <c r="F509" s="273" t="s">
        <v>235</v>
      </c>
      <c r="G509" s="273">
        <f t="shared" si="42"/>
        <v>0</v>
      </c>
      <c r="H509" s="247"/>
    </row>
    <row r="510" spans="1:8">
      <c r="A510" s="268">
        <v>46126</v>
      </c>
      <c r="B510" s="246" t="s">
        <v>10</v>
      </c>
      <c r="C510" s="270">
        <v>1</v>
      </c>
      <c r="D510" s="273" t="str">
        <f t="shared" si="41"/>
        <v>Ream</v>
      </c>
      <c r="E510" s="273">
        <f t="shared" si="43"/>
        <v>2276</v>
      </c>
      <c r="F510" s="273" t="s">
        <v>177</v>
      </c>
      <c r="G510" s="273">
        <f t="shared" si="42"/>
        <v>0</v>
      </c>
      <c r="H510" s="247"/>
    </row>
    <row r="511" spans="1:8">
      <c r="A511" s="268">
        <v>46127</v>
      </c>
      <c r="B511" s="246" t="s">
        <v>248</v>
      </c>
      <c r="C511" s="270">
        <v>4</v>
      </c>
      <c r="D511" s="273" t="str">
        <f t="shared" si="41"/>
        <v>-</v>
      </c>
      <c r="E511" s="273" t="str">
        <f t="shared" si="43"/>
        <v>-</v>
      </c>
      <c r="G511" s="273">
        <f t="shared" si="42"/>
        <v>0</v>
      </c>
      <c r="H511" s="247"/>
    </row>
    <row r="512" spans="1:8">
      <c r="A512" s="268">
        <v>46127</v>
      </c>
      <c r="B512" s="246" t="s">
        <v>10</v>
      </c>
      <c r="C512" s="270">
        <v>2</v>
      </c>
      <c r="D512" s="273" t="str">
        <f t="shared" si="41"/>
        <v>Ream</v>
      </c>
      <c r="E512" s="273">
        <f t="shared" si="43"/>
        <v>2276</v>
      </c>
      <c r="F512" s="273" t="s">
        <v>177</v>
      </c>
      <c r="G512" s="273">
        <f t="shared" si="42"/>
        <v>0</v>
      </c>
      <c r="H512" s="247"/>
    </row>
    <row r="513" spans="1:8">
      <c r="A513" s="268">
        <v>46127</v>
      </c>
      <c r="B513" s="246" t="s">
        <v>63</v>
      </c>
      <c r="C513" s="270">
        <v>2</v>
      </c>
      <c r="D513" s="273" t="str">
        <f t="shared" si="41"/>
        <v>Bottle</v>
      </c>
      <c r="E513" s="273">
        <f t="shared" si="43"/>
        <v>2618</v>
      </c>
      <c r="G513" s="273">
        <f t="shared" si="42"/>
        <v>0</v>
      </c>
      <c r="H513" s="247"/>
    </row>
    <row r="514" spans="1:8">
      <c r="A514" s="268">
        <v>46127</v>
      </c>
      <c r="B514" s="246" t="s">
        <v>63</v>
      </c>
      <c r="C514" s="270">
        <v>1</v>
      </c>
      <c r="D514" s="273" t="str">
        <f t="shared" si="41"/>
        <v>Bottle</v>
      </c>
      <c r="E514" s="273">
        <f t="shared" si="43"/>
        <v>2618</v>
      </c>
      <c r="G514" s="273">
        <f t="shared" si="42"/>
        <v>0</v>
      </c>
      <c r="H514" s="247"/>
    </row>
    <row r="515" spans="1:8">
      <c r="A515" s="268">
        <v>46128</v>
      </c>
      <c r="B515" s="246" t="s">
        <v>248</v>
      </c>
      <c r="D515" s="273" t="str">
        <f t="shared" si="41"/>
        <v>-</v>
      </c>
      <c r="E515" s="273" t="str">
        <f t="shared" si="43"/>
        <v>-</v>
      </c>
      <c r="G515" s="273">
        <f t="shared" si="42"/>
        <v>0</v>
      </c>
      <c r="H515" s="247"/>
    </row>
    <row r="516" spans="1:8">
      <c r="A516" s="268">
        <v>46128</v>
      </c>
      <c r="B516" s="246" t="s">
        <v>33</v>
      </c>
      <c r="D516" s="273" t="str">
        <f t="shared" ref="D516:D547" si="44">IFERROR(VLOOKUP(B516,SUPPLY2,3,0),"-")</f>
        <v>Ream</v>
      </c>
      <c r="E516" s="273">
        <f t="shared" si="43"/>
        <v>0</v>
      </c>
      <c r="G516" s="273">
        <f t="shared" si="42"/>
        <v>0</v>
      </c>
      <c r="H516" s="247"/>
    </row>
    <row r="517" spans="1:8">
      <c r="A517" s="268">
        <v>46128</v>
      </c>
      <c r="B517" s="246" t="s">
        <v>38</v>
      </c>
      <c r="D517" s="273" t="str">
        <f t="shared" si="44"/>
        <v>Ream</v>
      </c>
      <c r="E517" s="273">
        <f t="shared" si="43"/>
        <v>2521</v>
      </c>
      <c r="G517" s="273">
        <f t="shared" si="42"/>
        <v>0</v>
      </c>
      <c r="H517" s="247"/>
    </row>
    <row r="518" spans="1:8">
      <c r="A518" s="268">
        <v>46128</v>
      </c>
      <c r="B518" s="246" t="s">
        <v>34</v>
      </c>
      <c r="D518" s="273" t="str">
        <f t="shared" si="44"/>
        <v>Ream</v>
      </c>
      <c r="E518" s="273">
        <f t="shared" si="43"/>
        <v>0</v>
      </c>
      <c r="G518" s="273">
        <f t="shared" si="42"/>
        <v>0</v>
      </c>
      <c r="H518" s="247"/>
    </row>
    <row r="519" spans="1:8">
      <c r="A519" s="268">
        <v>46128</v>
      </c>
      <c r="B519" s="246" t="s">
        <v>249</v>
      </c>
      <c r="D519" s="273" t="str">
        <f t="shared" si="44"/>
        <v>Set</v>
      </c>
      <c r="E519" s="273">
        <f t="shared" si="43"/>
        <v>331</v>
      </c>
      <c r="G519" s="273">
        <f t="shared" si="42"/>
        <v>0</v>
      </c>
      <c r="H519" s="247"/>
    </row>
    <row r="520" spans="1:8">
      <c r="A520" s="268">
        <v>46129</v>
      </c>
      <c r="B520" s="246" t="s">
        <v>36</v>
      </c>
      <c r="C520" s="270">
        <v>100</v>
      </c>
      <c r="D520" s="273" t="str">
        <f t="shared" si="44"/>
        <v>Ream</v>
      </c>
      <c r="E520" s="273">
        <f t="shared" si="43"/>
        <v>0</v>
      </c>
      <c r="G520" s="273">
        <f t="shared" si="42"/>
        <v>0</v>
      </c>
      <c r="H520" s="247"/>
    </row>
    <row r="521" spans="1:8">
      <c r="A521" s="268">
        <v>46129</v>
      </c>
      <c r="B521" s="246" t="s">
        <v>10</v>
      </c>
      <c r="C521" s="270">
        <v>2</v>
      </c>
      <c r="D521" s="273" t="str">
        <f t="shared" si="44"/>
        <v>Ream</v>
      </c>
      <c r="E521" s="273">
        <f t="shared" si="43"/>
        <v>2276</v>
      </c>
      <c r="F521" s="273" t="s">
        <v>177</v>
      </c>
      <c r="G521" s="273">
        <f t="shared" ref="G521:G552" si="45">IFERROR(VLOOKUP(A521,YEAR2023,2,0),"-")</f>
        <v>0</v>
      </c>
      <c r="H521" s="247"/>
    </row>
    <row r="522" spans="1:8">
      <c r="A522" s="268">
        <v>46132</v>
      </c>
      <c r="B522" s="246" t="s">
        <v>33</v>
      </c>
      <c r="D522" s="273" t="str">
        <f t="shared" si="44"/>
        <v>Ream</v>
      </c>
      <c r="E522" s="273">
        <f t="shared" si="43"/>
        <v>0</v>
      </c>
      <c r="G522" s="273">
        <f t="shared" si="45"/>
        <v>0</v>
      </c>
      <c r="H522" s="247"/>
    </row>
    <row r="523" spans="1:8">
      <c r="A523" s="268">
        <v>46132</v>
      </c>
      <c r="B523" s="246" t="s">
        <v>34</v>
      </c>
      <c r="D523" s="273" t="str">
        <f t="shared" si="44"/>
        <v>Ream</v>
      </c>
      <c r="E523" s="273">
        <f t="shared" si="43"/>
        <v>0</v>
      </c>
      <c r="G523" s="273">
        <f t="shared" si="45"/>
        <v>0</v>
      </c>
      <c r="H523" s="247"/>
    </row>
    <row r="524" spans="1:8">
      <c r="A524" s="268">
        <v>46132</v>
      </c>
      <c r="B524" s="246" t="s">
        <v>36</v>
      </c>
      <c r="D524" s="273" t="str">
        <f t="shared" si="44"/>
        <v>Ream</v>
      </c>
      <c r="E524" s="273">
        <f t="shared" si="43"/>
        <v>0</v>
      </c>
      <c r="G524" s="273">
        <f t="shared" si="45"/>
        <v>0</v>
      </c>
      <c r="H524" s="247"/>
    </row>
    <row r="525" spans="1:8">
      <c r="A525" s="268">
        <v>46132</v>
      </c>
      <c r="B525" s="246" t="s">
        <v>10</v>
      </c>
      <c r="C525" s="270">
        <v>1</v>
      </c>
      <c r="D525" s="273" t="str">
        <f t="shared" si="44"/>
        <v>Ream</v>
      </c>
      <c r="E525" s="273">
        <f t="shared" si="43"/>
        <v>2276</v>
      </c>
      <c r="G525" s="273">
        <f t="shared" si="45"/>
        <v>0</v>
      </c>
      <c r="H525" s="247"/>
    </row>
    <row r="526" spans="1:8">
      <c r="A526" s="268">
        <v>46132</v>
      </c>
      <c r="B526" s="246" t="s">
        <v>63</v>
      </c>
      <c r="C526" s="270">
        <v>2</v>
      </c>
      <c r="D526" s="273" t="str">
        <f t="shared" si="44"/>
        <v>Bottle</v>
      </c>
      <c r="E526" s="273">
        <f t="shared" si="43"/>
        <v>2618</v>
      </c>
      <c r="G526" s="273">
        <f t="shared" si="45"/>
        <v>0</v>
      </c>
      <c r="H526" s="247"/>
    </row>
    <row r="527" spans="1:8">
      <c r="A527" s="268">
        <v>46132</v>
      </c>
      <c r="B527" s="246" t="s">
        <v>33</v>
      </c>
      <c r="C527" s="270">
        <v>200</v>
      </c>
      <c r="D527" s="273" t="str">
        <f t="shared" si="44"/>
        <v>Ream</v>
      </c>
      <c r="E527" s="273">
        <f t="shared" si="43"/>
        <v>0</v>
      </c>
      <c r="F527" s="273" t="s">
        <v>235</v>
      </c>
      <c r="G527" s="273">
        <f t="shared" si="45"/>
        <v>0</v>
      </c>
      <c r="H527" s="247"/>
    </row>
    <row r="528" spans="1:8">
      <c r="A528" s="268">
        <v>46133</v>
      </c>
      <c r="B528" s="246" t="s">
        <v>38</v>
      </c>
      <c r="C528" s="270">
        <v>200</v>
      </c>
      <c r="D528" s="273" t="str">
        <f t="shared" si="44"/>
        <v>Ream</v>
      </c>
      <c r="E528" s="273">
        <f t="shared" si="43"/>
        <v>2521</v>
      </c>
      <c r="F528" s="273" t="s">
        <v>235</v>
      </c>
      <c r="G528" s="273">
        <f t="shared" si="45"/>
        <v>0</v>
      </c>
      <c r="H528" s="247"/>
    </row>
    <row r="529" spans="1:8">
      <c r="A529" s="268">
        <v>46133</v>
      </c>
      <c r="B529" s="246" t="s">
        <v>33</v>
      </c>
      <c r="C529" s="270">
        <v>100</v>
      </c>
      <c r="D529" s="273" t="str">
        <f t="shared" si="44"/>
        <v>Ream</v>
      </c>
      <c r="E529" s="273">
        <f t="shared" si="43"/>
        <v>0</v>
      </c>
      <c r="F529" s="273" t="s">
        <v>235</v>
      </c>
      <c r="G529" s="273">
        <f t="shared" si="45"/>
        <v>0</v>
      </c>
      <c r="H529" s="247"/>
    </row>
    <row r="530" spans="1:8">
      <c r="A530" s="268">
        <v>46133</v>
      </c>
      <c r="B530" s="246" t="s">
        <v>63</v>
      </c>
      <c r="C530" s="270">
        <v>1</v>
      </c>
      <c r="D530" s="273" t="str">
        <f t="shared" si="44"/>
        <v>Bottle</v>
      </c>
      <c r="E530" s="273">
        <f t="shared" si="43"/>
        <v>2618</v>
      </c>
      <c r="F530" s="273" t="s">
        <v>195</v>
      </c>
      <c r="G530" s="273">
        <f t="shared" si="45"/>
        <v>0</v>
      </c>
      <c r="H530" s="247"/>
    </row>
    <row r="531" spans="1:8">
      <c r="A531" s="268">
        <v>46133</v>
      </c>
      <c r="B531" s="246" t="s">
        <v>63</v>
      </c>
      <c r="C531" s="270">
        <v>1</v>
      </c>
      <c r="D531" s="273" t="str">
        <f t="shared" si="44"/>
        <v>Bottle</v>
      </c>
      <c r="E531" s="273">
        <f t="shared" si="43"/>
        <v>2618</v>
      </c>
      <c r="F531" s="273" t="s">
        <v>177</v>
      </c>
      <c r="G531" s="273">
        <f t="shared" si="45"/>
        <v>0</v>
      </c>
      <c r="H531" s="247"/>
    </row>
    <row r="532" spans="1:8">
      <c r="A532" s="268">
        <v>46133</v>
      </c>
      <c r="B532" s="246" t="s">
        <v>250</v>
      </c>
      <c r="C532" s="270">
        <v>100</v>
      </c>
      <c r="D532" s="273" t="str">
        <f t="shared" si="44"/>
        <v>-</v>
      </c>
      <c r="E532" s="273" t="str">
        <f t="shared" si="43"/>
        <v>-</v>
      </c>
      <c r="F532" s="273" t="s">
        <v>235</v>
      </c>
      <c r="G532" s="273">
        <f t="shared" si="45"/>
        <v>0</v>
      </c>
      <c r="H532" s="247"/>
    </row>
    <row r="533" spans="1:8">
      <c r="A533" s="268">
        <v>46133</v>
      </c>
      <c r="B533" s="246" t="s">
        <v>70</v>
      </c>
      <c r="C533" s="270">
        <v>8</v>
      </c>
      <c r="D533" s="273" t="str">
        <f t="shared" si="44"/>
        <v>Roll</v>
      </c>
      <c r="E533" s="273">
        <f t="shared" si="43"/>
        <v>2629</v>
      </c>
      <c r="G533" s="273">
        <f t="shared" si="45"/>
        <v>0</v>
      </c>
      <c r="H533" s="247"/>
    </row>
    <row r="534" spans="1:8">
      <c r="A534" s="268">
        <v>46134</v>
      </c>
      <c r="B534" s="246" t="s">
        <v>63</v>
      </c>
      <c r="C534" s="270">
        <v>1</v>
      </c>
      <c r="D534" s="273" t="str">
        <f t="shared" si="44"/>
        <v>Bottle</v>
      </c>
      <c r="E534" s="273">
        <f t="shared" si="43"/>
        <v>2618</v>
      </c>
      <c r="G534" s="273">
        <f t="shared" si="45"/>
        <v>0</v>
      </c>
      <c r="H534" s="247"/>
    </row>
    <row r="535" spans="1:8">
      <c r="A535" s="268">
        <v>46134</v>
      </c>
      <c r="B535" s="246" t="s">
        <v>33</v>
      </c>
      <c r="C535" s="270">
        <v>100</v>
      </c>
      <c r="D535" s="273" t="str">
        <f t="shared" si="44"/>
        <v>Ream</v>
      </c>
      <c r="E535" s="273">
        <f t="shared" si="43"/>
        <v>0</v>
      </c>
      <c r="G535" s="273">
        <f t="shared" si="45"/>
        <v>0</v>
      </c>
      <c r="H535" s="247"/>
    </row>
    <row r="536" spans="1:8">
      <c r="A536" s="268">
        <v>46134</v>
      </c>
      <c r="B536" s="246" t="s">
        <v>10</v>
      </c>
      <c r="C536" s="270">
        <v>3</v>
      </c>
      <c r="D536" s="273" t="str">
        <f t="shared" si="44"/>
        <v>Ream</v>
      </c>
      <c r="E536" s="273">
        <f t="shared" ref="E536:E567" si="46">IFERROR(VLOOKUP(B536,SUPPLY2,4,0),"-")</f>
        <v>2276</v>
      </c>
      <c r="G536" s="273">
        <f t="shared" si="45"/>
        <v>0</v>
      </c>
      <c r="H536" s="247"/>
    </row>
    <row r="537" spans="1:8">
      <c r="A537" s="268">
        <v>46134</v>
      </c>
      <c r="B537" s="246" t="s">
        <v>251</v>
      </c>
      <c r="C537" s="270">
        <v>4</v>
      </c>
      <c r="D537" s="273" t="str">
        <f t="shared" si="44"/>
        <v>Piece</v>
      </c>
      <c r="E537" s="273">
        <f t="shared" si="46"/>
        <v>59</v>
      </c>
      <c r="G537" s="273">
        <f t="shared" si="45"/>
        <v>0</v>
      </c>
      <c r="H537" s="247"/>
    </row>
    <row r="538" spans="1:8">
      <c r="A538" s="268">
        <v>46134</v>
      </c>
      <c r="B538" s="246" t="s">
        <v>13</v>
      </c>
      <c r="C538" s="270">
        <v>4</v>
      </c>
      <c r="D538" s="273" t="str">
        <f t="shared" si="44"/>
        <v>C</v>
      </c>
      <c r="E538" s="273">
        <f t="shared" si="46"/>
        <v>330</v>
      </c>
      <c r="G538" s="273">
        <f t="shared" si="45"/>
        <v>0</v>
      </c>
      <c r="H538" s="247"/>
    </row>
    <row r="539" spans="1:8">
      <c r="A539" s="268">
        <v>46134</v>
      </c>
      <c r="B539" s="246" t="s">
        <v>37</v>
      </c>
      <c r="C539" s="270">
        <v>100</v>
      </c>
      <c r="D539" s="273" t="str">
        <f t="shared" si="44"/>
        <v>Piece</v>
      </c>
      <c r="E539" s="273">
        <f t="shared" si="46"/>
        <v>0</v>
      </c>
      <c r="G539" s="273">
        <f t="shared" si="45"/>
        <v>0</v>
      </c>
      <c r="H539" s="247"/>
    </row>
    <row r="540" spans="1:8">
      <c r="A540" s="268">
        <v>46134</v>
      </c>
      <c r="B540" s="246" t="s">
        <v>34</v>
      </c>
      <c r="C540" s="270">
        <v>100</v>
      </c>
      <c r="D540" s="273" t="str">
        <f t="shared" si="44"/>
        <v>Ream</v>
      </c>
      <c r="E540" s="273">
        <f t="shared" si="46"/>
        <v>0</v>
      </c>
      <c r="G540" s="273">
        <f t="shared" si="45"/>
        <v>0</v>
      </c>
      <c r="H540" s="247"/>
    </row>
    <row r="541" spans="1:8">
      <c r="A541" s="268">
        <v>46134</v>
      </c>
      <c r="B541" s="246" t="s">
        <v>38</v>
      </c>
      <c r="C541" s="270">
        <v>100</v>
      </c>
      <c r="D541" s="273" t="str">
        <f t="shared" si="44"/>
        <v>Ream</v>
      </c>
      <c r="E541" s="273">
        <f t="shared" si="46"/>
        <v>2521</v>
      </c>
      <c r="G541" s="273">
        <f t="shared" si="45"/>
        <v>0</v>
      </c>
      <c r="H541" s="247"/>
    </row>
    <row r="542" spans="1:8">
      <c r="A542" s="268">
        <v>46135</v>
      </c>
      <c r="B542" s="246" t="s">
        <v>70</v>
      </c>
      <c r="C542" s="270">
        <v>20</v>
      </c>
      <c r="D542" s="273" t="str">
        <f t="shared" si="44"/>
        <v>Roll</v>
      </c>
      <c r="E542" s="273">
        <f t="shared" si="46"/>
        <v>2629</v>
      </c>
      <c r="G542" s="273">
        <f t="shared" si="45"/>
        <v>0</v>
      </c>
      <c r="H542" s="247"/>
    </row>
    <row r="543" spans="1:8">
      <c r="A543" s="268">
        <v>46135</v>
      </c>
      <c r="B543" s="246" t="s">
        <v>63</v>
      </c>
      <c r="C543" s="270">
        <v>4</v>
      </c>
      <c r="D543" s="273" t="str">
        <f t="shared" si="44"/>
        <v>Bottle</v>
      </c>
      <c r="E543" s="273">
        <f t="shared" si="46"/>
        <v>2618</v>
      </c>
      <c r="F543" s="273" t="s">
        <v>180</v>
      </c>
      <c r="G543" s="273">
        <f t="shared" si="45"/>
        <v>0</v>
      </c>
      <c r="H543" s="247"/>
    </row>
    <row r="544" spans="1:8">
      <c r="A544" s="268">
        <v>46135</v>
      </c>
      <c r="B544" s="246" t="s">
        <v>33</v>
      </c>
      <c r="C544" s="270">
        <v>200</v>
      </c>
      <c r="D544" s="273" t="str">
        <f t="shared" si="44"/>
        <v>Ream</v>
      </c>
      <c r="E544" s="273">
        <f t="shared" si="46"/>
        <v>0</v>
      </c>
      <c r="F544" s="273" t="s">
        <v>180</v>
      </c>
      <c r="G544" s="273">
        <f t="shared" si="45"/>
        <v>0</v>
      </c>
      <c r="H544" s="247"/>
    </row>
    <row r="545" spans="1:8">
      <c r="A545" s="268">
        <v>46135</v>
      </c>
      <c r="B545" s="246" t="s">
        <v>37</v>
      </c>
      <c r="C545" s="270">
        <v>100</v>
      </c>
      <c r="D545" s="273" t="str">
        <f t="shared" si="44"/>
        <v>Piece</v>
      </c>
      <c r="E545" s="273">
        <f t="shared" si="46"/>
        <v>0</v>
      </c>
      <c r="F545" s="273" t="s">
        <v>180</v>
      </c>
      <c r="G545" s="273">
        <f t="shared" si="45"/>
        <v>0</v>
      </c>
      <c r="H545" s="247"/>
    </row>
    <row r="546" spans="1:8">
      <c r="A546" s="268">
        <v>46135</v>
      </c>
      <c r="B546" s="246" t="s">
        <v>34</v>
      </c>
      <c r="C546" s="270">
        <v>100</v>
      </c>
      <c r="D546" s="273" t="str">
        <f t="shared" si="44"/>
        <v>Ream</v>
      </c>
      <c r="E546" s="273">
        <f t="shared" si="46"/>
        <v>0</v>
      </c>
      <c r="F546" s="273" t="s">
        <v>180</v>
      </c>
      <c r="G546" s="273">
        <f t="shared" si="45"/>
        <v>0</v>
      </c>
      <c r="H546" s="247"/>
    </row>
    <row r="547" spans="1:8">
      <c r="A547" s="268">
        <v>46135</v>
      </c>
      <c r="B547" s="246" t="s">
        <v>252</v>
      </c>
      <c r="C547" s="270">
        <v>100</v>
      </c>
      <c r="D547" s="273" t="str">
        <f t="shared" si="44"/>
        <v>Piece</v>
      </c>
      <c r="E547" s="273">
        <f t="shared" si="46"/>
        <v>0</v>
      </c>
      <c r="F547" s="273" t="s">
        <v>180</v>
      </c>
      <c r="G547" s="273">
        <f t="shared" si="45"/>
        <v>0</v>
      </c>
      <c r="H547" s="247"/>
    </row>
    <row r="548" spans="1:8">
      <c r="A548" s="268">
        <v>46135</v>
      </c>
      <c r="B548" s="246" t="s">
        <v>252</v>
      </c>
      <c r="C548" s="270">
        <v>100</v>
      </c>
      <c r="D548" s="273" t="str">
        <f t="shared" ref="D548:D559" si="47">IFERROR(VLOOKUP(B548,SUPPLY2,3,0),"-")</f>
        <v>Piece</v>
      </c>
      <c r="E548" s="273">
        <f t="shared" si="46"/>
        <v>0</v>
      </c>
      <c r="F548" s="273" t="s">
        <v>180</v>
      </c>
      <c r="G548" s="273">
        <f t="shared" si="45"/>
        <v>0</v>
      </c>
      <c r="H548" s="247"/>
    </row>
    <row r="549" spans="1:8">
      <c r="A549" s="268">
        <v>46135</v>
      </c>
      <c r="B549" s="246" t="s">
        <v>253</v>
      </c>
      <c r="C549" s="270">
        <v>100</v>
      </c>
      <c r="D549" s="273" t="str">
        <f t="shared" si="47"/>
        <v>-</v>
      </c>
      <c r="E549" s="273" t="str">
        <f t="shared" si="46"/>
        <v>-</v>
      </c>
      <c r="F549" s="273" t="s">
        <v>180</v>
      </c>
      <c r="G549" s="273">
        <f t="shared" si="45"/>
        <v>0</v>
      </c>
      <c r="H549" s="247"/>
    </row>
    <row r="550" spans="1:8">
      <c r="A550" s="268">
        <v>46135</v>
      </c>
      <c r="B550" s="246" t="s">
        <v>22</v>
      </c>
      <c r="C550" s="270">
        <v>1</v>
      </c>
      <c r="D550" s="273" t="str">
        <f t="shared" si="47"/>
        <v>Roll</v>
      </c>
      <c r="E550" s="273">
        <f t="shared" si="46"/>
        <v>281</v>
      </c>
      <c r="F550" s="273" t="s">
        <v>180</v>
      </c>
      <c r="G550" s="273">
        <f t="shared" si="45"/>
        <v>0</v>
      </c>
      <c r="H550" s="247"/>
    </row>
    <row r="551" spans="1:8">
      <c r="A551" s="268">
        <v>46135</v>
      </c>
      <c r="B551" s="246" t="s">
        <v>10</v>
      </c>
      <c r="C551" s="270">
        <v>3</v>
      </c>
      <c r="D551" s="273" t="str">
        <f t="shared" si="47"/>
        <v>Ream</v>
      </c>
      <c r="E551" s="273">
        <f t="shared" si="46"/>
        <v>2276</v>
      </c>
      <c r="F551" s="273" t="s">
        <v>177</v>
      </c>
      <c r="G551" s="273">
        <f t="shared" si="45"/>
        <v>0</v>
      </c>
      <c r="H551" s="247"/>
    </row>
    <row r="552" spans="1:8">
      <c r="A552" s="268">
        <v>46135</v>
      </c>
      <c r="B552" s="246" t="s">
        <v>19</v>
      </c>
      <c r="C552" s="270">
        <v>1</v>
      </c>
      <c r="D552" s="273" t="str">
        <f t="shared" si="47"/>
        <v>Roll</v>
      </c>
      <c r="E552" s="273">
        <f t="shared" si="46"/>
        <v>300</v>
      </c>
      <c r="F552" s="273" t="s">
        <v>177</v>
      </c>
      <c r="G552" s="273">
        <f t="shared" si="45"/>
        <v>0</v>
      </c>
      <c r="H552" s="247"/>
    </row>
    <row r="553" spans="1:8">
      <c r="A553" s="268">
        <v>46139</v>
      </c>
      <c r="B553" s="246" t="s">
        <v>22</v>
      </c>
      <c r="C553" s="270">
        <v>2</v>
      </c>
      <c r="D553" s="273" t="str">
        <f t="shared" si="47"/>
        <v>Roll</v>
      </c>
      <c r="E553" s="273">
        <f t="shared" si="46"/>
        <v>281</v>
      </c>
      <c r="G553" s="273">
        <f t="shared" ref="G553:G584" si="48">IFERROR(VLOOKUP(A553,YEAR2023,2,0),"-")</f>
        <v>0</v>
      </c>
      <c r="H553" s="247"/>
    </row>
    <row r="554" spans="1:8">
      <c r="A554" s="268">
        <v>46139</v>
      </c>
      <c r="B554" s="246" t="s">
        <v>63</v>
      </c>
      <c r="C554" s="270">
        <v>3</v>
      </c>
      <c r="D554" s="273" t="str">
        <f t="shared" si="47"/>
        <v>Bottle</v>
      </c>
      <c r="E554" s="273">
        <f t="shared" si="46"/>
        <v>2618</v>
      </c>
      <c r="G554" s="273">
        <f t="shared" si="48"/>
        <v>0</v>
      </c>
      <c r="H554" s="247"/>
    </row>
    <row r="555" spans="1:8">
      <c r="A555" s="268">
        <v>46139</v>
      </c>
      <c r="D555" s="273" t="str">
        <f t="shared" si="47"/>
        <v>-</v>
      </c>
      <c r="E555" s="273" t="str">
        <f t="shared" si="46"/>
        <v>-</v>
      </c>
      <c r="G555" s="273">
        <f t="shared" si="48"/>
        <v>0</v>
      </c>
      <c r="H555" s="247"/>
    </row>
    <row r="556" spans="1:8">
      <c r="A556" s="268">
        <v>46141</v>
      </c>
      <c r="B556" s="246" t="s">
        <v>63</v>
      </c>
      <c r="C556" s="270">
        <v>1</v>
      </c>
      <c r="D556" s="273" t="str">
        <f t="shared" si="47"/>
        <v>Bottle</v>
      </c>
      <c r="E556" s="273">
        <f t="shared" si="46"/>
        <v>2618</v>
      </c>
      <c r="F556" s="273" t="s">
        <v>195</v>
      </c>
      <c r="G556" s="273">
        <f t="shared" si="48"/>
        <v>0</v>
      </c>
      <c r="H556" s="247"/>
    </row>
    <row r="557" spans="1:8">
      <c r="A557" s="268" t="s">
        <v>254</v>
      </c>
      <c r="B557" s="246" t="s">
        <v>10</v>
      </c>
      <c r="C557" s="270">
        <v>1</v>
      </c>
      <c r="D557" s="273" t="str">
        <f t="shared" si="47"/>
        <v>Ream</v>
      </c>
      <c r="E557" s="273">
        <f t="shared" si="46"/>
        <v>2276</v>
      </c>
      <c r="F557" s="273" t="s">
        <v>177</v>
      </c>
      <c r="G557" s="273" t="str">
        <f t="shared" si="48"/>
        <v>-</v>
      </c>
      <c r="H557" s="247"/>
    </row>
    <row r="558" spans="1:8">
      <c r="A558" s="268">
        <v>46146</v>
      </c>
      <c r="B558" s="246" t="s">
        <v>10</v>
      </c>
      <c r="D558" s="273" t="str">
        <f t="shared" si="47"/>
        <v>Ream</v>
      </c>
      <c r="E558" s="273">
        <f t="shared" si="46"/>
        <v>2276</v>
      </c>
      <c r="F558" s="273" t="s">
        <v>177</v>
      </c>
      <c r="G558" s="273">
        <f t="shared" si="48"/>
        <v>0</v>
      </c>
      <c r="H558" s="247"/>
    </row>
    <row r="559" spans="1:8">
      <c r="A559" s="268">
        <v>46146</v>
      </c>
      <c r="B559" s="246" t="s">
        <v>70</v>
      </c>
      <c r="C559" s="270">
        <v>4</v>
      </c>
      <c r="D559" s="273" t="str">
        <f t="shared" si="47"/>
        <v>Roll</v>
      </c>
      <c r="E559" s="273">
        <f t="shared" si="46"/>
        <v>2629</v>
      </c>
      <c r="F559" s="273" t="s">
        <v>235</v>
      </c>
      <c r="G559" s="273">
        <f t="shared" si="48"/>
        <v>0</v>
      </c>
      <c r="H559" s="247"/>
    </row>
    <row r="560" spans="1:8">
      <c r="A560" s="268">
        <v>46147</v>
      </c>
      <c r="B560" s="246" t="s">
        <v>70</v>
      </c>
      <c r="C560" s="270">
        <v>4</v>
      </c>
      <c r="E560" s="273">
        <f t="shared" si="46"/>
        <v>2629</v>
      </c>
      <c r="F560" s="273" t="s">
        <v>235</v>
      </c>
      <c r="G560" s="273">
        <f t="shared" si="48"/>
        <v>0</v>
      </c>
      <c r="H560" s="247"/>
    </row>
    <row r="561" spans="1:8">
      <c r="A561" s="268">
        <v>46153</v>
      </c>
      <c r="B561" s="246" t="s">
        <v>10</v>
      </c>
      <c r="D561" s="273" t="str">
        <f t="shared" ref="D561:D592" si="49">IFERROR(VLOOKUP(B561,SUPPLY2,3,0),"-")</f>
        <v>Ream</v>
      </c>
      <c r="E561" s="273">
        <f t="shared" si="46"/>
        <v>2276</v>
      </c>
      <c r="F561" s="273" t="s">
        <v>177</v>
      </c>
      <c r="G561" s="273">
        <f t="shared" si="48"/>
        <v>0</v>
      </c>
      <c r="H561" s="247"/>
    </row>
    <row r="562" spans="1:8">
      <c r="A562" s="268">
        <v>46153</v>
      </c>
      <c r="B562" s="246" t="s">
        <v>33</v>
      </c>
      <c r="C562" s="270">
        <v>200</v>
      </c>
      <c r="D562" s="273" t="str">
        <f t="shared" si="49"/>
        <v>Ream</v>
      </c>
      <c r="E562" s="273">
        <f t="shared" si="46"/>
        <v>0</v>
      </c>
      <c r="F562" s="273" t="s">
        <v>235</v>
      </c>
      <c r="G562" s="273">
        <f t="shared" si="48"/>
        <v>0</v>
      </c>
      <c r="H562" s="247"/>
    </row>
    <row r="563" spans="1:8">
      <c r="A563" s="268">
        <v>46153</v>
      </c>
      <c r="B563" s="246" t="s">
        <v>38</v>
      </c>
      <c r="C563" s="270">
        <v>200</v>
      </c>
      <c r="D563" s="273" t="str">
        <f t="shared" si="49"/>
        <v>Ream</v>
      </c>
      <c r="E563" s="273">
        <f t="shared" si="46"/>
        <v>2521</v>
      </c>
      <c r="F563" s="273" t="s">
        <v>235</v>
      </c>
      <c r="G563" s="273">
        <f t="shared" si="48"/>
        <v>0</v>
      </c>
      <c r="H563" s="247"/>
    </row>
    <row r="564" spans="1:8">
      <c r="A564" s="268">
        <v>46154</v>
      </c>
      <c r="B564" s="246" t="s">
        <v>10</v>
      </c>
      <c r="C564" s="270">
        <v>1</v>
      </c>
      <c r="D564" s="273" t="str">
        <f t="shared" si="49"/>
        <v>Ream</v>
      </c>
      <c r="E564" s="273">
        <f t="shared" si="46"/>
        <v>2276</v>
      </c>
      <c r="F564" s="273" t="s">
        <v>202</v>
      </c>
      <c r="G564" s="273">
        <f t="shared" si="48"/>
        <v>0</v>
      </c>
      <c r="H564" s="247"/>
    </row>
    <row r="565" spans="1:8">
      <c r="A565" s="268">
        <v>46154</v>
      </c>
      <c r="B565" s="246" t="s">
        <v>33</v>
      </c>
      <c r="D565" s="273" t="str">
        <f t="shared" si="49"/>
        <v>Ream</v>
      </c>
      <c r="E565" s="273">
        <f t="shared" si="46"/>
        <v>0</v>
      </c>
      <c r="F565" s="273" t="s">
        <v>235</v>
      </c>
      <c r="G565" s="273">
        <f t="shared" si="48"/>
        <v>0</v>
      </c>
      <c r="H565" s="247"/>
    </row>
    <row r="566" spans="1:8">
      <c r="A566" s="268">
        <v>46160</v>
      </c>
      <c r="B566" s="246" t="s">
        <v>12</v>
      </c>
      <c r="D566" s="273" t="str">
        <f t="shared" si="49"/>
        <v>Ream</v>
      </c>
      <c r="E566" s="273">
        <f t="shared" si="46"/>
        <v>2067</v>
      </c>
      <c r="F566" s="273" t="s">
        <v>177</v>
      </c>
      <c r="G566" s="273">
        <f t="shared" si="48"/>
        <v>0</v>
      </c>
      <c r="H566" s="247"/>
    </row>
    <row r="567" spans="1:8">
      <c r="A567" s="268">
        <v>46161</v>
      </c>
      <c r="B567" s="246" t="s">
        <v>255</v>
      </c>
      <c r="C567" s="270">
        <v>4</v>
      </c>
      <c r="D567" s="273" t="str">
        <f t="shared" si="49"/>
        <v>-</v>
      </c>
      <c r="E567" s="273" t="str">
        <f t="shared" si="46"/>
        <v>-</v>
      </c>
      <c r="G567" s="273">
        <f t="shared" si="48"/>
        <v>0</v>
      </c>
      <c r="H567" s="247"/>
    </row>
    <row r="568" spans="1:8">
      <c r="A568" s="268">
        <v>46161</v>
      </c>
      <c r="B568" s="246" t="s">
        <v>33</v>
      </c>
      <c r="C568" s="270">
        <v>100</v>
      </c>
      <c r="D568" s="273" t="str">
        <f t="shared" si="49"/>
        <v>Ream</v>
      </c>
      <c r="E568" s="273">
        <f t="shared" ref="E568:E599" si="50">IFERROR(VLOOKUP(B568,SUPPLY2,4,0),"-")</f>
        <v>0</v>
      </c>
      <c r="F568" s="273" t="s">
        <v>235</v>
      </c>
      <c r="G568" s="273">
        <f t="shared" si="48"/>
        <v>0</v>
      </c>
      <c r="H568" s="247"/>
    </row>
    <row r="569" spans="1:8">
      <c r="A569" s="268">
        <v>46161</v>
      </c>
      <c r="B569" s="246" t="s">
        <v>15</v>
      </c>
      <c r="C569" s="270">
        <v>2</v>
      </c>
      <c r="D569" s="273" t="str">
        <f t="shared" si="49"/>
        <v>Roll</v>
      </c>
      <c r="E569" s="273">
        <f t="shared" si="50"/>
        <v>301</v>
      </c>
      <c r="F569" s="273" t="s">
        <v>200</v>
      </c>
      <c r="G569" s="273">
        <f t="shared" si="48"/>
        <v>0</v>
      </c>
      <c r="H569" s="247"/>
    </row>
    <row r="570" spans="1:8">
      <c r="A570" s="268">
        <v>46161</v>
      </c>
      <c r="B570" s="246" t="s">
        <v>34</v>
      </c>
      <c r="C570" s="270">
        <v>200</v>
      </c>
      <c r="D570" s="273" t="str">
        <f t="shared" si="49"/>
        <v>Ream</v>
      </c>
      <c r="E570" s="273">
        <f t="shared" si="50"/>
        <v>0</v>
      </c>
      <c r="F570" s="273" t="s">
        <v>235</v>
      </c>
      <c r="G570" s="273">
        <f t="shared" si="48"/>
        <v>0</v>
      </c>
      <c r="H570" s="247"/>
    </row>
    <row r="571" spans="1:8">
      <c r="A571" s="268">
        <v>46163</v>
      </c>
      <c r="B571" s="246" t="s">
        <v>12</v>
      </c>
      <c r="C571" s="270">
        <v>4</v>
      </c>
      <c r="D571" s="273" t="str">
        <f t="shared" si="49"/>
        <v>Ream</v>
      </c>
      <c r="E571" s="273">
        <f t="shared" si="50"/>
        <v>2067</v>
      </c>
      <c r="F571" s="273" t="s">
        <v>180</v>
      </c>
      <c r="G571" s="273">
        <f t="shared" si="48"/>
        <v>0</v>
      </c>
      <c r="H571" s="247"/>
    </row>
    <row r="572" spans="1:8">
      <c r="A572" s="268">
        <v>46163</v>
      </c>
      <c r="B572" s="246" t="s">
        <v>33</v>
      </c>
      <c r="C572" s="270">
        <v>1</v>
      </c>
      <c r="D572" s="273" t="str">
        <f t="shared" si="49"/>
        <v>Ream</v>
      </c>
      <c r="E572" s="273">
        <f t="shared" si="50"/>
        <v>0</v>
      </c>
      <c r="F572" s="273" t="s">
        <v>180</v>
      </c>
      <c r="G572" s="273">
        <f t="shared" si="48"/>
        <v>0</v>
      </c>
      <c r="H572" s="247"/>
    </row>
    <row r="573" spans="1:8">
      <c r="A573" s="268">
        <v>46163</v>
      </c>
      <c r="B573" s="246" t="s">
        <v>34</v>
      </c>
      <c r="C573" s="270">
        <v>1</v>
      </c>
      <c r="D573" s="273" t="str">
        <f t="shared" si="49"/>
        <v>Ream</v>
      </c>
      <c r="E573" s="273">
        <f t="shared" si="50"/>
        <v>0</v>
      </c>
      <c r="F573" s="273" t="s">
        <v>180</v>
      </c>
      <c r="G573" s="273">
        <f t="shared" si="48"/>
        <v>0</v>
      </c>
      <c r="H573" s="247"/>
    </row>
    <row r="574" spans="1:8">
      <c r="A574" s="268">
        <v>46163</v>
      </c>
      <c r="B574" s="246" t="s">
        <v>36</v>
      </c>
      <c r="C574" s="270">
        <v>1</v>
      </c>
      <c r="D574" s="273" t="str">
        <f t="shared" si="49"/>
        <v>Ream</v>
      </c>
      <c r="E574" s="273">
        <f t="shared" si="50"/>
        <v>0</v>
      </c>
      <c r="F574" s="273" t="s">
        <v>180</v>
      </c>
      <c r="G574" s="273">
        <f t="shared" si="48"/>
        <v>0</v>
      </c>
      <c r="H574" s="247"/>
    </row>
    <row r="575" spans="1:8">
      <c r="A575" s="268">
        <v>46163</v>
      </c>
      <c r="B575" s="246" t="s">
        <v>35</v>
      </c>
      <c r="C575" s="270">
        <v>1</v>
      </c>
      <c r="D575" s="273" t="str">
        <f t="shared" si="49"/>
        <v>Ream</v>
      </c>
      <c r="E575" s="273">
        <f t="shared" si="50"/>
        <v>0</v>
      </c>
      <c r="F575" s="273" t="s">
        <v>180</v>
      </c>
      <c r="G575" s="273">
        <f t="shared" si="48"/>
        <v>0</v>
      </c>
      <c r="H575" s="247"/>
    </row>
    <row r="576" spans="1:8">
      <c r="A576" s="268">
        <v>46164</v>
      </c>
      <c r="B576" s="246" t="s">
        <v>12</v>
      </c>
      <c r="C576" s="270">
        <v>2</v>
      </c>
      <c r="D576" s="273" t="str">
        <f t="shared" si="49"/>
        <v>Ream</v>
      </c>
      <c r="E576" s="273">
        <f t="shared" si="50"/>
        <v>2067</v>
      </c>
      <c r="F576" s="273" t="s">
        <v>177</v>
      </c>
      <c r="G576" s="273">
        <f t="shared" si="48"/>
        <v>0</v>
      </c>
      <c r="H576" s="247"/>
    </row>
    <row r="577" spans="1:8">
      <c r="A577" s="268">
        <v>46167</v>
      </c>
      <c r="B577" s="246" t="s">
        <v>70</v>
      </c>
      <c r="C577" s="270">
        <v>4</v>
      </c>
      <c r="D577" s="273" t="str">
        <f t="shared" si="49"/>
        <v>Roll</v>
      </c>
      <c r="E577" s="273">
        <f t="shared" si="50"/>
        <v>2629</v>
      </c>
      <c r="F577" s="273" t="s">
        <v>235</v>
      </c>
      <c r="G577" s="273">
        <f t="shared" si="48"/>
        <v>0</v>
      </c>
      <c r="H577" s="247"/>
    </row>
    <row r="578" spans="1:8">
      <c r="A578" s="268">
        <v>46167</v>
      </c>
      <c r="B578" s="246" t="s">
        <v>10</v>
      </c>
      <c r="C578" s="270">
        <v>1</v>
      </c>
      <c r="D578" s="273" t="str">
        <f t="shared" si="49"/>
        <v>Ream</v>
      </c>
      <c r="E578" s="273">
        <f t="shared" si="50"/>
        <v>2276</v>
      </c>
      <c r="F578" s="273" t="s">
        <v>177</v>
      </c>
      <c r="G578" s="273">
        <f t="shared" si="48"/>
        <v>0</v>
      </c>
      <c r="H578" s="247"/>
    </row>
    <row r="579" spans="1:8">
      <c r="A579" s="268">
        <v>46170</v>
      </c>
      <c r="B579" s="246" t="s">
        <v>12</v>
      </c>
      <c r="C579" s="270">
        <v>4</v>
      </c>
      <c r="D579" s="273" t="str">
        <f t="shared" si="49"/>
        <v>Ream</v>
      </c>
      <c r="E579" s="273">
        <f t="shared" si="50"/>
        <v>2067</v>
      </c>
      <c r="F579" s="273" t="s">
        <v>177</v>
      </c>
      <c r="G579" s="273">
        <f t="shared" si="48"/>
        <v>0</v>
      </c>
      <c r="H579" s="247"/>
    </row>
    <row r="580" spans="1:8">
      <c r="A580" s="268">
        <v>46170</v>
      </c>
      <c r="B580" s="246" t="s">
        <v>10</v>
      </c>
      <c r="C580" s="270">
        <v>4</v>
      </c>
      <c r="D580" s="273" t="str">
        <f t="shared" si="49"/>
        <v>Ream</v>
      </c>
      <c r="E580" s="273">
        <f t="shared" si="50"/>
        <v>2276</v>
      </c>
      <c r="F580" s="273" t="s">
        <v>177</v>
      </c>
      <c r="G580" s="273">
        <f t="shared" si="48"/>
        <v>0</v>
      </c>
      <c r="H580" s="247"/>
    </row>
    <row r="581" spans="1:8">
      <c r="A581" s="268">
        <v>46170</v>
      </c>
      <c r="B581" s="246" t="s">
        <v>70</v>
      </c>
      <c r="C581" s="270">
        <v>4</v>
      </c>
      <c r="D581" s="273" t="str">
        <f t="shared" si="49"/>
        <v>Roll</v>
      </c>
      <c r="E581" s="273">
        <f t="shared" si="50"/>
        <v>2629</v>
      </c>
      <c r="F581" s="273" t="s">
        <v>177</v>
      </c>
      <c r="G581" s="273">
        <f t="shared" si="48"/>
        <v>0</v>
      </c>
      <c r="H581" s="247"/>
    </row>
    <row r="582" spans="1:8">
      <c r="A582" s="268">
        <v>46177</v>
      </c>
      <c r="B582" s="246" t="s">
        <v>10</v>
      </c>
      <c r="C582" s="270">
        <v>5</v>
      </c>
      <c r="D582" s="273" t="str">
        <f t="shared" si="49"/>
        <v>Ream</v>
      </c>
      <c r="E582" s="273">
        <f t="shared" si="50"/>
        <v>2276</v>
      </c>
      <c r="F582" s="273" t="s">
        <v>177</v>
      </c>
      <c r="G582" s="273">
        <f t="shared" si="48"/>
        <v>0</v>
      </c>
      <c r="H582" s="247"/>
    </row>
    <row r="583" spans="1:8">
      <c r="A583" s="268">
        <v>46177</v>
      </c>
      <c r="B583" s="246" t="s">
        <v>12</v>
      </c>
      <c r="C583" s="270">
        <v>5</v>
      </c>
      <c r="D583" s="273" t="str">
        <f t="shared" si="49"/>
        <v>Ream</v>
      </c>
      <c r="E583" s="273">
        <f t="shared" si="50"/>
        <v>2067</v>
      </c>
      <c r="F583" s="273" t="s">
        <v>177</v>
      </c>
      <c r="G583" s="273">
        <f t="shared" si="48"/>
        <v>0</v>
      </c>
      <c r="H583" s="247"/>
    </row>
    <row r="584" spans="1:8">
      <c r="A584" s="268">
        <v>46177</v>
      </c>
      <c r="B584" s="246" t="s">
        <v>70</v>
      </c>
      <c r="C584" s="270">
        <v>4</v>
      </c>
      <c r="D584" s="273" t="str">
        <f t="shared" si="49"/>
        <v>Roll</v>
      </c>
      <c r="E584" s="273">
        <f t="shared" si="50"/>
        <v>2629</v>
      </c>
      <c r="F584" s="273" t="s">
        <v>177</v>
      </c>
      <c r="G584" s="273">
        <f t="shared" si="48"/>
        <v>0</v>
      </c>
      <c r="H584" s="247"/>
    </row>
    <row r="585" spans="1:8">
      <c r="A585" s="268">
        <v>46177</v>
      </c>
      <c r="B585" s="246" t="s">
        <v>15</v>
      </c>
      <c r="C585" s="270">
        <v>2</v>
      </c>
      <c r="D585" s="273" t="str">
        <f t="shared" si="49"/>
        <v>Roll</v>
      </c>
      <c r="E585" s="273">
        <f t="shared" si="50"/>
        <v>301</v>
      </c>
      <c r="F585" s="273" t="s">
        <v>177</v>
      </c>
      <c r="G585" s="273">
        <f t="shared" ref="G585:G616" si="51">IFERROR(VLOOKUP(A585,YEAR2023,2,0),"-")</f>
        <v>0</v>
      </c>
      <c r="H585" s="247"/>
    </row>
    <row r="586" spans="1:8">
      <c r="A586" s="268">
        <v>46177</v>
      </c>
      <c r="B586" s="246" t="s">
        <v>33</v>
      </c>
      <c r="C586" s="270">
        <v>2</v>
      </c>
      <c r="D586" s="273" t="str">
        <f t="shared" si="49"/>
        <v>Ream</v>
      </c>
      <c r="E586" s="273">
        <f t="shared" si="50"/>
        <v>0</v>
      </c>
      <c r="F586" s="273" t="s">
        <v>177</v>
      </c>
      <c r="G586" s="273">
        <f t="shared" si="51"/>
        <v>0</v>
      </c>
      <c r="H586" s="247"/>
    </row>
    <row r="587" spans="1:8">
      <c r="A587" s="268">
        <v>46177</v>
      </c>
      <c r="B587" s="246" t="s">
        <v>38</v>
      </c>
      <c r="C587" s="270">
        <v>2</v>
      </c>
      <c r="D587" s="273" t="str">
        <f t="shared" si="49"/>
        <v>Ream</v>
      </c>
      <c r="E587" s="273">
        <f t="shared" si="50"/>
        <v>2521</v>
      </c>
      <c r="F587" s="273" t="s">
        <v>177</v>
      </c>
      <c r="G587" s="273">
        <f t="shared" si="51"/>
        <v>0</v>
      </c>
      <c r="H587" s="247"/>
    </row>
    <row r="588" spans="1:8">
      <c r="A588" s="268">
        <v>46177</v>
      </c>
      <c r="B588" s="246" t="s">
        <v>34</v>
      </c>
      <c r="C588" s="270">
        <v>1</v>
      </c>
      <c r="D588" s="273" t="str">
        <f t="shared" si="49"/>
        <v>Ream</v>
      </c>
      <c r="E588" s="273">
        <f t="shared" si="50"/>
        <v>0</v>
      </c>
      <c r="F588" s="273" t="s">
        <v>177</v>
      </c>
      <c r="G588" s="273">
        <f t="shared" si="51"/>
        <v>0</v>
      </c>
      <c r="H588" s="247"/>
    </row>
    <row r="589" spans="1:8">
      <c r="A589" s="268">
        <v>46177</v>
      </c>
      <c r="B589" s="246" t="s">
        <v>35</v>
      </c>
      <c r="C589" s="270">
        <v>1</v>
      </c>
      <c r="D589" s="273" t="str">
        <f t="shared" si="49"/>
        <v>Ream</v>
      </c>
      <c r="E589" s="273">
        <f t="shared" si="50"/>
        <v>0</v>
      </c>
      <c r="F589" s="273" t="s">
        <v>177</v>
      </c>
      <c r="G589" s="273">
        <f t="shared" si="51"/>
        <v>0</v>
      </c>
      <c r="H589" s="247"/>
    </row>
    <row r="590" spans="1:8">
      <c r="A590" s="268">
        <v>46178</v>
      </c>
      <c r="B590" s="246" t="s">
        <v>10</v>
      </c>
      <c r="C590" s="270">
        <v>2</v>
      </c>
      <c r="D590" s="273" t="str">
        <f t="shared" si="49"/>
        <v>Ream</v>
      </c>
      <c r="E590" s="273">
        <f t="shared" si="50"/>
        <v>2276</v>
      </c>
      <c r="F590" s="273" t="s">
        <v>177</v>
      </c>
      <c r="G590" s="273">
        <f t="shared" si="51"/>
        <v>0</v>
      </c>
      <c r="H590" s="247"/>
    </row>
    <row r="591" spans="1:8">
      <c r="A591" s="268">
        <v>46178</v>
      </c>
      <c r="B591" s="246" t="s">
        <v>12</v>
      </c>
      <c r="C591" s="270">
        <v>3</v>
      </c>
      <c r="D591" s="273" t="str">
        <f t="shared" si="49"/>
        <v>Ream</v>
      </c>
      <c r="E591" s="273">
        <f t="shared" si="50"/>
        <v>2067</v>
      </c>
      <c r="F591" s="273" t="s">
        <v>177</v>
      </c>
      <c r="G591" s="273">
        <f t="shared" si="51"/>
        <v>0</v>
      </c>
      <c r="H591" s="247"/>
    </row>
    <row r="592" spans="1:8">
      <c r="A592" s="268">
        <v>46181</v>
      </c>
      <c r="B592" s="246" t="s">
        <v>12</v>
      </c>
      <c r="C592" s="270">
        <v>2</v>
      </c>
      <c r="D592" s="273" t="str">
        <f t="shared" si="49"/>
        <v>Ream</v>
      </c>
      <c r="E592" s="273">
        <f t="shared" si="50"/>
        <v>2067</v>
      </c>
      <c r="F592" s="273" t="s">
        <v>177</v>
      </c>
      <c r="G592" s="273">
        <f t="shared" si="51"/>
        <v>0</v>
      </c>
      <c r="H592" s="247"/>
    </row>
    <row r="593" spans="1:8">
      <c r="A593" s="268">
        <v>46182</v>
      </c>
      <c r="B593" s="246" t="s">
        <v>12</v>
      </c>
      <c r="C593" s="270">
        <v>2</v>
      </c>
      <c r="D593" s="273" t="str">
        <f t="shared" ref="D593:D624" si="52">IFERROR(VLOOKUP(B593,SUPPLY2,3,0),"-")</f>
        <v>Ream</v>
      </c>
      <c r="E593" s="273">
        <f t="shared" si="50"/>
        <v>2067</v>
      </c>
      <c r="F593" s="273" t="s">
        <v>177</v>
      </c>
      <c r="G593" s="273">
        <f t="shared" si="51"/>
        <v>0</v>
      </c>
      <c r="H593" s="247"/>
    </row>
    <row r="594" spans="1:8">
      <c r="A594" s="268">
        <v>46182</v>
      </c>
      <c r="B594" s="246" t="s">
        <v>15</v>
      </c>
      <c r="C594" s="270">
        <v>2</v>
      </c>
      <c r="D594" s="273" t="str">
        <f t="shared" si="52"/>
        <v>Roll</v>
      </c>
      <c r="E594" s="273">
        <f t="shared" si="50"/>
        <v>301</v>
      </c>
      <c r="F594" s="273" t="s">
        <v>200</v>
      </c>
      <c r="G594" s="273">
        <f t="shared" si="51"/>
        <v>0</v>
      </c>
      <c r="H594" s="247"/>
    </row>
    <row r="595" spans="1:8">
      <c r="A595" s="268">
        <v>46182</v>
      </c>
      <c r="B595" s="246" t="s">
        <v>70</v>
      </c>
      <c r="C595" s="270">
        <v>8</v>
      </c>
      <c r="D595" s="273" t="str">
        <f t="shared" si="52"/>
        <v>Roll</v>
      </c>
      <c r="E595" s="273">
        <f t="shared" si="50"/>
        <v>2629</v>
      </c>
      <c r="F595" s="273" t="s">
        <v>177</v>
      </c>
      <c r="G595" s="273">
        <f t="shared" si="51"/>
        <v>0</v>
      </c>
      <c r="H595" s="247"/>
    </row>
    <row r="596" spans="1:8">
      <c r="A596" s="268">
        <v>46182</v>
      </c>
      <c r="B596" s="246" t="s">
        <v>34</v>
      </c>
      <c r="C596" s="270">
        <v>1</v>
      </c>
      <c r="D596" s="273" t="str">
        <f t="shared" si="52"/>
        <v>Ream</v>
      </c>
      <c r="E596" s="273">
        <f t="shared" si="50"/>
        <v>0</v>
      </c>
      <c r="F596" s="273" t="s">
        <v>177</v>
      </c>
      <c r="G596" s="273">
        <f t="shared" si="51"/>
        <v>0</v>
      </c>
      <c r="H596" s="247"/>
    </row>
    <row r="597" spans="1:8">
      <c r="A597" s="268">
        <v>46182</v>
      </c>
      <c r="B597" s="246" t="s">
        <v>38</v>
      </c>
      <c r="C597" s="270">
        <v>1</v>
      </c>
      <c r="D597" s="273" t="str">
        <f t="shared" si="52"/>
        <v>Ream</v>
      </c>
      <c r="E597" s="273">
        <f t="shared" si="50"/>
        <v>2521</v>
      </c>
      <c r="F597" s="273" t="s">
        <v>177</v>
      </c>
      <c r="G597" s="273">
        <f t="shared" si="51"/>
        <v>0</v>
      </c>
      <c r="H597" s="247"/>
    </row>
    <row r="598" spans="1:8">
      <c r="A598" s="268">
        <v>46184</v>
      </c>
      <c r="B598" s="246" t="s">
        <v>12</v>
      </c>
      <c r="C598" s="270">
        <v>2</v>
      </c>
      <c r="D598" s="273" t="str">
        <f t="shared" si="52"/>
        <v>Ream</v>
      </c>
      <c r="E598" s="273">
        <f t="shared" si="50"/>
        <v>2067</v>
      </c>
      <c r="F598" s="273" t="s">
        <v>177</v>
      </c>
      <c r="G598" s="273">
        <f t="shared" si="51"/>
        <v>0</v>
      </c>
      <c r="H598" s="247"/>
    </row>
    <row r="599" spans="1:8">
      <c r="A599" s="268">
        <v>46188</v>
      </c>
      <c r="B599" s="246" t="s">
        <v>12</v>
      </c>
      <c r="C599" s="270">
        <v>1</v>
      </c>
      <c r="D599" s="273" t="str">
        <f t="shared" si="52"/>
        <v>Ream</v>
      </c>
      <c r="E599" s="273">
        <f t="shared" si="50"/>
        <v>2067</v>
      </c>
      <c r="F599" s="273" t="s">
        <v>177</v>
      </c>
      <c r="G599" s="273">
        <f t="shared" si="51"/>
        <v>0</v>
      </c>
      <c r="H599" s="247"/>
    </row>
    <row r="600" spans="1:8">
      <c r="A600" s="268">
        <v>46188</v>
      </c>
      <c r="B600" s="246" t="s">
        <v>70</v>
      </c>
      <c r="C600" s="270">
        <v>4</v>
      </c>
      <c r="D600" s="273" t="str">
        <f t="shared" si="52"/>
        <v>Roll</v>
      </c>
      <c r="E600" s="273">
        <f t="shared" ref="E600:E630" si="53">IFERROR(VLOOKUP(B600,SUPPLY2,4,0),"-")</f>
        <v>2629</v>
      </c>
      <c r="F600" s="273" t="s">
        <v>177</v>
      </c>
      <c r="G600" s="273">
        <f t="shared" si="51"/>
        <v>0</v>
      </c>
      <c r="H600" s="247"/>
    </row>
    <row r="601" spans="1:8">
      <c r="A601" s="268">
        <v>46191</v>
      </c>
      <c r="B601" s="246" t="s">
        <v>12</v>
      </c>
      <c r="C601" s="270">
        <v>4</v>
      </c>
      <c r="D601" s="273" t="str">
        <f t="shared" si="52"/>
        <v>Ream</v>
      </c>
      <c r="E601" s="273">
        <f t="shared" si="53"/>
        <v>2067</v>
      </c>
      <c r="F601" s="273" t="s">
        <v>177</v>
      </c>
      <c r="G601" s="273">
        <f t="shared" si="51"/>
        <v>0</v>
      </c>
      <c r="H601" s="247"/>
    </row>
    <row r="602" spans="1:8">
      <c r="A602" s="268">
        <v>46191</v>
      </c>
      <c r="B602" s="246" t="s">
        <v>15</v>
      </c>
      <c r="C602" s="270">
        <v>2</v>
      </c>
      <c r="D602" s="273" t="str">
        <f t="shared" si="52"/>
        <v>Roll</v>
      </c>
      <c r="E602" s="273">
        <f t="shared" si="53"/>
        <v>301</v>
      </c>
      <c r="F602" s="273" t="s">
        <v>178</v>
      </c>
      <c r="G602" s="273">
        <f t="shared" si="51"/>
        <v>0</v>
      </c>
      <c r="H602" s="247"/>
    </row>
    <row r="603" spans="1:8">
      <c r="A603" s="268">
        <v>46192</v>
      </c>
      <c r="B603" s="246" t="s">
        <v>12</v>
      </c>
      <c r="C603" s="270">
        <v>2</v>
      </c>
      <c r="D603" s="273" t="str">
        <f t="shared" si="52"/>
        <v>Ream</v>
      </c>
      <c r="E603" s="273">
        <f t="shared" si="53"/>
        <v>2067</v>
      </c>
      <c r="F603" s="273" t="s">
        <v>177</v>
      </c>
      <c r="G603" s="273">
        <f t="shared" si="51"/>
        <v>0</v>
      </c>
      <c r="H603" s="247"/>
    </row>
    <row r="604" spans="1:8">
      <c r="A604" s="268">
        <v>46196</v>
      </c>
      <c r="B604" s="246" t="s">
        <v>12</v>
      </c>
      <c r="C604" s="270">
        <v>2</v>
      </c>
      <c r="D604" s="273" t="str">
        <f t="shared" si="52"/>
        <v>Ream</v>
      </c>
      <c r="E604" s="273">
        <f t="shared" si="53"/>
        <v>2067</v>
      </c>
      <c r="F604" s="273" t="s">
        <v>177</v>
      </c>
      <c r="G604" s="273">
        <f t="shared" si="51"/>
        <v>0</v>
      </c>
      <c r="H604" s="247"/>
    </row>
    <row r="605" spans="1:8">
      <c r="A605" s="268">
        <v>46197</v>
      </c>
      <c r="B605" s="246" t="s">
        <v>70</v>
      </c>
      <c r="C605" s="270">
        <v>5</v>
      </c>
      <c r="D605" s="273" t="str">
        <f t="shared" si="52"/>
        <v>Roll</v>
      </c>
      <c r="E605" s="273">
        <f t="shared" si="53"/>
        <v>2629</v>
      </c>
      <c r="F605" s="273" t="s">
        <v>177</v>
      </c>
      <c r="G605" s="273">
        <f t="shared" si="51"/>
        <v>0</v>
      </c>
      <c r="H605" s="247"/>
    </row>
    <row r="606" spans="1:8">
      <c r="A606" s="268">
        <v>46199</v>
      </c>
      <c r="B606" s="246" t="s">
        <v>12</v>
      </c>
      <c r="C606" s="270">
        <v>2</v>
      </c>
      <c r="D606" s="273" t="str">
        <f t="shared" si="52"/>
        <v>Ream</v>
      </c>
      <c r="E606" s="273">
        <f t="shared" si="53"/>
        <v>2067</v>
      </c>
      <c r="F606" s="273" t="s">
        <v>177</v>
      </c>
      <c r="G606" s="273">
        <f t="shared" si="51"/>
        <v>0</v>
      </c>
      <c r="H606" s="247"/>
    </row>
    <row r="607" spans="1:8">
      <c r="A607" s="268">
        <v>46202</v>
      </c>
      <c r="B607" s="246" t="s">
        <v>12</v>
      </c>
      <c r="C607" s="270">
        <v>2</v>
      </c>
      <c r="D607" s="273" t="str">
        <f t="shared" si="52"/>
        <v>Ream</v>
      </c>
      <c r="E607" s="273">
        <f t="shared" si="53"/>
        <v>2067</v>
      </c>
      <c r="F607" s="273" t="s">
        <v>177</v>
      </c>
      <c r="G607" s="273">
        <f t="shared" si="51"/>
        <v>0</v>
      </c>
      <c r="H607" s="247"/>
    </row>
    <row r="608" spans="1:8">
      <c r="A608" s="268">
        <v>46205</v>
      </c>
      <c r="B608" s="246" t="s">
        <v>30</v>
      </c>
      <c r="C608" s="270">
        <v>2</v>
      </c>
      <c r="D608" s="273" t="str">
        <f t="shared" si="52"/>
        <v>Box</v>
      </c>
      <c r="E608" s="273">
        <f t="shared" si="53"/>
        <v>310</v>
      </c>
      <c r="F608" s="273" t="s">
        <v>196</v>
      </c>
      <c r="G608" s="273">
        <f t="shared" si="51"/>
        <v>0</v>
      </c>
      <c r="H608" s="247"/>
    </row>
    <row r="609" spans="1:8">
      <c r="A609" s="268">
        <v>46205</v>
      </c>
      <c r="B609" s="246" t="s">
        <v>53</v>
      </c>
      <c r="C609" s="270">
        <v>1</v>
      </c>
      <c r="D609" s="273" t="str">
        <f t="shared" si="52"/>
        <v>Piece</v>
      </c>
      <c r="E609" s="273">
        <f t="shared" si="53"/>
        <v>137</v>
      </c>
      <c r="F609" s="273" t="s">
        <v>196</v>
      </c>
      <c r="G609" s="273">
        <f t="shared" si="51"/>
        <v>0</v>
      </c>
      <c r="H609" s="247"/>
    </row>
    <row r="610" spans="1:8">
      <c r="A610" s="268">
        <v>46205</v>
      </c>
      <c r="B610" s="246" t="s">
        <v>256</v>
      </c>
      <c r="C610" s="270">
        <v>1</v>
      </c>
      <c r="D610" s="273" t="str">
        <f t="shared" si="52"/>
        <v>Unit</v>
      </c>
      <c r="E610" s="273">
        <f t="shared" si="53"/>
        <v>2388</v>
      </c>
      <c r="F610" s="273" t="s">
        <v>196</v>
      </c>
      <c r="G610" s="273">
        <f t="shared" si="51"/>
        <v>0</v>
      </c>
      <c r="H610" s="247"/>
    </row>
    <row r="611" spans="1:8">
      <c r="A611" s="268">
        <v>46209</v>
      </c>
      <c r="B611" s="246" t="s">
        <v>12</v>
      </c>
      <c r="C611" s="270">
        <v>6</v>
      </c>
      <c r="D611" s="273" t="str">
        <f t="shared" si="52"/>
        <v>Ream</v>
      </c>
      <c r="E611" s="273">
        <f t="shared" si="53"/>
        <v>2067</v>
      </c>
      <c r="F611" s="273" t="s">
        <v>202</v>
      </c>
      <c r="G611" s="273">
        <f t="shared" si="51"/>
        <v>0</v>
      </c>
      <c r="H611" s="247"/>
    </row>
    <row r="612" spans="1:8">
      <c r="A612" s="268">
        <v>46209</v>
      </c>
      <c r="B612" s="246" t="s">
        <v>70</v>
      </c>
      <c r="C612" s="270">
        <v>4</v>
      </c>
      <c r="D612" s="273" t="str">
        <f t="shared" si="52"/>
        <v>Roll</v>
      </c>
      <c r="E612" s="273">
        <f t="shared" si="53"/>
        <v>2629</v>
      </c>
      <c r="F612" s="273" t="s">
        <v>177</v>
      </c>
      <c r="G612" s="273">
        <f t="shared" si="51"/>
        <v>0</v>
      </c>
      <c r="H612" s="247"/>
    </row>
    <row r="613" spans="1:8">
      <c r="A613" s="268">
        <v>46209</v>
      </c>
      <c r="B613" s="246" t="s">
        <v>15</v>
      </c>
      <c r="C613" s="270">
        <v>2</v>
      </c>
      <c r="D613" s="273" t="str">
        <f t="shared" si="52"/>
        <v>Roll</v>
      </c>
      <c r="E613" s="273">
        <f t="shared" si="53"/>
        <v>301</v>
      </c>
      <c r="F613" s="273" t="s">
        <v>200</v>
      </c>
      <c r="G613" s="273">
        <f t="shared" si="51"/>
        <v>0</v>
      </c>
      <c r="H613" s="247"/>
    </row>
    <row r="614" spans="1:8">
      <c r="A614" s="268">
        <v>46212</v>
      </c>
      <c r="B614" s="246" t="s">
        <v>30</v>
      </c>
      <c r="C614" s="270">
        <v>1</v>
      </c>
      <c r="D614" s="273" t="str">
        <f t="shared" si="52"/>
        <v>Box</v>
      </c>
      <c r="E614" s="273">
        <f t="shared" si="53"/>
        <v>310</v>
      </c>
      <c r="F614" s="273" t="s">
        <v>200</v>
      </c>
      <c r="G614" s="273">
        <f t="shared" si="51"/>
        <v>0</v>
      </c>
      <c r="H614" s="247"/>
    </row>
    <row r="615" spans="1:8">
      <c r="A615" s="268">
        <v>46213</v>
      </c>
      <c r="B615" s="246" t="s">
        <v>70</v>
      </c>
      <c r="C615" s="270">
        <v>4</v>
      </c>
      <c r="D615" s="273" t="str">
        <f t="shared" si="52"/>
        <v>Roll</v>
      </c>
      <c r="E615" s="273">
        <f t="shared" si="53"/>
        <v>2629</v>
      </c>
      <c r="F615" s="273" t="s">
        <v>177</v>
      </c>
      <c r="G615" s="273">
        <f t="shared" si="51"/>
        <v>0</v>
      </c>
      <c r="H615" s="247"/>
    </row>
    <row r="616" spans="1:8">
      <c r="A616" s="268">
        <v>46213</v>
      </c>
      <c r="B616" s="246" t="s">
        <v>12</v>
      </c>
      <c r="C616" s="270">
        <v>2</v>
      </c>
      <c r="D616" s="273" t="str">
        <f t="shared" si="52"/>
        <v>Ream</v>
      </c>
      <c r="E616" s="273">
        <f t="shared" si="53"/>
        <v>2067</v>
      </c>
      <c r="F616" s="273" t="s">
        <v>177</v>
      </c>
      <c r="G616" s="273">
        <f t="shared" si="51"/>
        <v>0</v>
      </c>
      <c r="H616" s="247"/>
    </row>
    <row r="617" spans="1:8">
      <c r="A617" s="268">
        <v>46216</v>
      </c>
      <c r="B617" s="246" t="s">
        <v>12</v>
      </c>
      <c r="C617" s="270">
        <v>2</v>
      </c>
      <c r="D617" s="273" t="str">
        <f t="shared" si="52"/>
        <v>Ream</v>
      </c>
      <c r="E617" s="273">
        <f t="shared" si="53"/>
        <v>2067</v>
      </c>
      <c r="F617" s="273" t="s">
        <v>177</v>
      </c>
      <c r="G617" s="273">
        <f t="shared" ref="G617:G630" si="54">IFERROR(VLOOKUP(A617,YEAR2023,2,0),"-")</f>
        <v>0</v>
      </c>
      <c r="H617" s="247"/>
    </row>
    <row r="618" spans="1:8">
      <c r="A618" s="268">
        <v>46216</v>
      </c>
      <c r="B618" s="246" t="s">
        <v>15</v>
      </c>
      <c r="C618" s="270">
        <v>1</v>
      </c>
      <c r="D618" s="273" t="str">
        <f t="shared" si="52"/>
        <v>Roll</v>
      </c>
      <c r="E618" s="273">
        <f t="shared" si="53"/>
        <v>301</v>
      </c>
      <c r="F618" s="273" t="s">
        <v>177</v>
      </c>
      <c r="G618" s="273">
        <f t="shared" si="54"/>
        <v>0</v>
      </c>
      <c r="H618" s="247"/>
    </row>
    <row r="619" spans="1:8">
      <c r="A619" s="268">
        <v>46216</v>
      </c>
      <c r="B619" s="246" t="s">
        <v>33</v>
      </c>
      <c r="C619" s="270">
        <v>1</v>
      </c>
      <c r="D619" s="273" t="str">
        <f t="shared" si="52"/>
        <v>Ream</v>
      </c>
      <c r="E619" s="273">
        <f t="shared" si="53"/>
        <v>0</v>
      </c>
      <c r="F619" s="273" t="s">
        <v>177</v>
      </c>
      <c r="G619" s="273">
        <f t="shared" si="54"/>
        <v>0</v>
      </c>
      <c r="H619" s="247"/>
    </row>
    <row r="620" spans="1:8">
      <c r="A620" s="268">
        <v>46216</v>
      </c>
      <c r="B620" s="246" t="s">
        <v>38</v>
      </c>
      <c r="C620" s="270">
        <v>1</v>
      </c>
      <c r="D620" s="273" t="str">
        <f t="shared" si="52"/>
        <v>Ream</v>
      </c>
      <c r="E620" s="273">
        <f t="shared" si="53"/>
        <v>2521</v>
      </c>
      <c r="F620" s="273" t="s">
        <v>177</v>
      </c>
      <c r="G620" s="273">
        <f t="shared" si="54"/>
        <v>0</v>
      </c>
      <c r="H620" s="247"/>
    </row>
    <row r="621" spans="1:8">
      <c r="A621" s="268">
        <v>46216</v>
      </c>
      <c r="B621" s="246" t="s">
        <v>18</v>
      </c>
      <c r="C621" s="270">
        <v>30</v>
      </c>
      <c r="D621" s="273" t="str">
        <f t="shared" si="52"/>
        <v>Piece</v>
      </c>
      <c r="E621" s="273">
        <f t="shared" si="53"/>
        <v>337</v>
      </c>
      <c r="F621" s="273" t="s">
        <v>177</v>
      </c>
      <c r="G621" s="273">
        <f t="shared" si="54"/>
        <v>0</v>
      </c>
      <c r="H621" s="247"/>
    </row>
    <row r="622" spans="1:8">
      <c r="A622" s="268">
        <v>46217</v>
      </c>
      <c r="B622" s="246" t="s">
        <v>13</v>
      </c>
      <c r="C622" s="270">
        <v>5</v>
      </c>
      <c r="D622" s="273" t="str">
        <f t="shared" si="52"/>
        <v>C</v>
      </c>
      <c r="E622" s="273">
        <f t="shared" si="53"/>
        <v>330</v>
      </c>
      <c r="G622" s="273">
        <f t="shared" si="54"/>
        <v>0</v>
      </c>
      <c r="H622" s="247"/>
    </row>
    <row r="623" spans="1:8">
      <c r="D623" s="273" t="str">
        <f t="shared" si="52"/>
        <v>-</v>
      </c>
      <c r="E623" s="273" t="str">
        <f t="shared" si="53"/>
        <v>-</v>
      </c>
      <c r="G623" s="273" t="str">
        <f t="shared" si="54"/>
        <v>-</v>
      </c>
      <c r="H623" s="247"/>
    </row>
    <row r="624" spans="1:8">
      <c r="D624" s="273" t="str">
        <f t="shared" si="52"/>
        <v>-</v>
      </c>
      <c r="E624" s="273" t="str">
        <f t="shared" si="53"/>
        <v>-</v>
      </c>
      <c r="G624" s="273" t="str">
        <f t="shared" si="54"/>
        <v>-</v>
      </c>
      <c r="H624" s="247"/>
    </row>
    <row r="625" spans="4:8">
      <c r="D625" s="273" t="str">
        <f t="shared" ref="D625:D630" si="55">IFERROR(VLOOKUP(B625,SUPPLY2,3,0),"-")</f>
        <v>-</v>
      </c>
      <c r="E625" s="273" t="str">
        <f t="shared" si="53"/>
        <v>-</v>
      </c>
      <c r="G625" s="273" t="str">
        <f t="shared" si="54"/>
        <v>-</v>
      </c>
      <c r="H625" s="247"/>
    </row>
    <row r="626" spans="4:8">
      <c r="D626" s="273" t="str">
        <f t="shared" si="55"/>
        <v>-</v>
      </c>
      <c r="E626" s="273" t="str">
        <f t="shared" si="53"/>
        <v>-</v>
      </c>
      <c r="G626" s="273" t="str">
        <f t="shared" si="54"/>
        <v>-</v>
      </c>
      <c r="H626" s="247"/>
    </row>
    <row r="627" spans="4:8">
      <c r="D627" s="273" t="str">
        <f t="shared" si="55"/>
        <v>-</v>
      </c>
      <c r="E627" s="273" t="str">
        <f t="shared" si="53"/>
        <v>-</v>
      </c>
      <c r="G627" s="273" t="str">
        <f t="shared" si="54"/>
        <v>-</v>
      </c>
      <c r="H627" s="247"/>
    </row>
    <row r="628" spans="4:8">
      <c r="D628" s="273" t="str">
        <f t="shared" si="55"/>
        <v>-</v>
      </c>
      <c r="E628" s="273" t="str">
        <f t="shared" si="53"/>
        <v>-</v>
      </c>
      <c r="G628" s="273" t="str">
        <f t="shared" si="54"/>
        <v>-</v>
      </c>
      <c r="H628" s="247"/>
    </row>
    <row r="629" spans="4:8">
      <c r="D629" s="273" t="str">
        <f t="shared" si="55"/>
        <v>-</v>
      </c>
      <c r="E629" s="273" t="str">
        <f t="shared" si="53"/>
        <v>-</v>
      </c>
      <c r="G629" s="273" t="str">
        <f t="shared" si="54"/>
        <v>-</v>
      </c>
      <c r="H629" s="247"/>
    </row>
    <row r="630" spans="4:8">
      <c r="D630" s="273" t="str">
        <f t="shared" si="55"/>
        <v>-</v>
      </c>
      <c r="E630" s="273" t="str">
        <f t="shared" si="53"/>
        <v>-</v>
      </c>
      <c r="G630" s="273" t="str">
        <f t="shared" si="54"/>
        <v>-</v>
      </c>
      <c r="H630" s="247"/>
    </row>
  </sheetData>
  <dataConsolidate/>
  <dataValidations count="2">
    <dataValidation type="list" allowBlank="1" showInputMessage="1" showErrorMessage="1" sqref="A2 B2:B64719" xr:uid="{2ACB4D76-94C1-4121-853F-E0DBF486E615}">
      <formula1>SUPPLY</formula1>
    </dataValidation>
    <dataValidation type="list" allowBlank="1" showInputMessage="1" showErrorMessage="1" sqref="F2:F630" xr:uid="{C07FB370-F4AC-419F-B85C-5618D65F8CB6}">
      <formula1>SECTION</formula1>
    </dataValidation>
  </dataValidations>
  <pageMargins left="0.7" right="0.7" top="0.75" bottom="0.75" header="0.3" footer="0.3"/>
  <pageSetup scale="4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D926-C3D9-4171-8C6B-04BB12C42812}">
  <sheetPr>
    <tabColor theme="8"/>
  </sheetPr>
  <dimension ref="A1:AG86"/>
  <sheetViews>
    <sheetView zoomScaleNormal="100" zoomScaleSheetLayoutView="130" workbookViewId="0">
      <pane ySplit="1" topLeftCell="A73" activePane="bottomLeft" state="frozen"/>
      <selection activeCell="A23" sqref="A23:A37"/>
      <selection pane="bottomLeft" activeCell="H17" sqref="H17"/>
    </sheetView>
  </sheetViews>
  <sheetFormatPr defaultColWidth="8.88671875" defaultRowHeight="15" customHeight="1"/>
  <cols>
    <col min="1" max="1" width="12.109375" style="269" customWidth="1"/>
    <col min="2" max="2" width="55.88671875" style="246" customWidth="1"/>
    <col min="3" max="3" width="16.33203125" style="247" customWidth="1"/>
    <col min="4" max="4" width="18.6640625" style="138" customWidth="1"/>
    <col min="5" max="6" width="17.33203125" style="138" customWidth="1"/>
    <col min="7" max="7" width="7.33203125" style="247" bestFit="1" customWidth="1"/>
    <col min="8" max="8" width="13" style="247" customWidth="1"/>
    <col min="9" max="9" width="9.33203125" style="247" hidden="1" customWidth="1"/>
    <col min="10" max="10" width="7.33203125" style="246" bestFit="1" customWidth="1"/>
    <col min="11" max="11" width="9.109375" style="246" bestFit="1" customWidth="1"/>
    <col min="12" max="12" width="9.109375" style="246" hidden="1" customWidth="1"/>
    <col min="13" max="14" width="8.88671875" style="246"/>
    <col min="15" max="21" width="9.109375" style="246" bestFit="1" customWidth="1"/>
    <col min="22" max="16366" width="8.88671875" style="246"/>
    <col min="16367" max="16377" width="9.109375" style="246" bestFit="1" customWidth="1"/>
    <col min="16378" max="16383" width="9.109375" style="246" customWidth="1"/>
    <col min="16384" max="16384" width="9.109375" style="246"/>
  </cols>
  <sheetData>
    <row r="1" spans="1:12" s="242" customFormat="1" ht="38.4" customHeight="1">
      <c r="A1" s="313" t="s">
        <v>257</v>
      </c>
      <c r="B1" s="258" t="s">
        <v>4</v>
      </c>
      <c r="C1" s="263" t="s">
        <v>258</v>
      </c>
      <c r="D1" s="259" t="s">
        <v>259</v>
      </c>
      <c r="E1" s="259" t="s">
        <v>260</v>
      </c>
      <c r="F1" s="275" t="s">
        <v>261</v>
      </c>
      <c r="G1" s="258" t="s">
        <v>6</v>
      </c>
      <c r="H1" s="258" t="s">
        <v>7</v>
      </c>
      <c r="I1" s="258" t="s">
        <v>8</v>
      </c>
      <c r="L1" s="310" t="s">
        <v>262</v>
      </c>
    </row>
    <row r="2" spans="1:12" ht="14.4">
      <c r="A2" s="269">
        <f ca="1">TODAY()</f>
        <v>46223</v>
      </c>
      <c r="B2" s="314" t="s">
        <v>10</v>
      </c>
      <c r="C2" s="247">
        <v>9</v>
      </c>
      <c r="D2" s="138">
        <f>SUMIFS('DATA ENTRY - RECEIVED'!F:F,'DATA ENTRY - RECEIVED'!E:E,"=Bond copy paper, A4 size,70gsm 500shts/rm")</f>
        <v>295</v>
      </c>
      <c r="E2" s="138">
        <f>SUMIFS('DATA ENTRY - RELEASED'!C:C,'DATA ENTRY - RELEASED'!B:B,"=Bond copy paper, A4 size,70gsm 500shts/rm")</f>
        <v>212</v>
      </c>
      <c r="F2" s="293">
        <f>Table26[[#This Row],[BEG BALANCE (QTY)]]+Table26[[#This Row],[TOTAL STOCKS RECEIVED (QTY)]]-Table26[[#This Row],[TOTAL STOCKS RELEASED (QTY)]]</f>
        <v>92</v>
      </c>
      <c r="G2" s="247" t="str">
        <f t="shared" ref="G2:G9" si="0">IFERROR(VLOOKUP(B2,SUPPLY2,3,0),"-")</f>
        <v>Ream</v>
      </c>
      <c r="H2" s="247">
        <f t="shared" ref="H2:H9" si="1">IFERROR(VLOOKUP(B2,SUPPLY2,4,0),"-")</f>
        <v>2276</v>
      </c>
      <c r="I2" s="247">
        <f t="shared" ref="I2:I34" ca="1" si="2">IFERROR(VLOOKUP(A2,YEAR2023,2,0),"-")</f>
        <v>0</v>
      </c>
      <c r="L2" s="246">
        <v>97</v>
      </c>
    </row>
    <row r="3" spans="1:12" ht="14.4">
      <c r="A3" s="269">
        <f t="shared" ref="A3:A67" ca="1" si="3">TODAY()</f>
        <v>46223</v>
      </c>
      <c r="B3" s="314" t="s">
        <v>12</v>
      </c>
      <c r="C3" s="247">
        <v>241</v>
      </c>
      <c r="D3" s="138">
        <f>SUMIFS('DATA ENTRY - RECEIVED'!F:F,'DATA ENTRY - RECEIVED'!E:E,"=Bond prem,LEGAL SIZE, 216x330mm,70gsm 500shts/rm")</f>
        <v>151</v>
      </c>
      <c r="E3" s="138">
        <f>SUMIFS('DATA ENTRY - RELEASED'!C:C,'DATA ENTRY - RELEASED'!B:B,"=Bond prem,LEGAL SIZE, 216x330mm,70gsm 500shts/rm")</f>
        <v>90</v>
      </c>
      <c r="F3" s="293">
        <f>Table26[[#This Row],[BEG BALANCE (QTY)]]+Table26[[#This Row],[TOTAL STOCKS RECEIVED (QTY)]]-Table26[[#This Row],[TOTAL STOCKS RELEASED (QTY)]]</f>
        <v>302</v>
      </c>
      <c r="G3" s="247" t="str">
        <f t="shared" si="0"/>
        <v>Ream</v>
      </c>
      <c r="H3" s="247">
        <f t="shared" si="1"/>
        <v>2067</v>
      </c>
      <c r="I3" s="247">
        <f t="shared" ca="1" si="2"/>
        <v>0</v>
      </c>
      <c r="L3" s="246">
        <v>302</v>
      </c>
    </row>
    <row r="4" spans="1:12" ht="14.4">
      <c r="A4" s="269">
        <f t="shared" ca="1" si="3"/>
        <v>46223</v>
      </c>
      <c r="B4" s="246" t="s">
        <v>263</v>
      </c>
      <c r="C4" s="247">
        <v>51</v>
      </c>
      <c r="D4" s="138">
        <f>SUMIFS('DATA ENTRY - RECEIVED'!F:F,'DATA ENTRY - RECEIVED'!E:E,"=Carbon film, legal")</f>
        <v>0</v>
      </c>
      <c r="E4" s="138">
        <f>SUMIFS('DATA ENTRY - RELEASED'!C:C,'DATA ENTRY - RELEASED'!B:B,"=Carbon film, legal")</f>
        <v>0</v>
      </c>
      <c r="F4" s="138">
        <f>Table26[[#This Row],[BEG BALANCE (QTY)]]+Table26[[#This Row],[TOTAL STOCKS RECEIVED (QTY)]]-Table26[[#This Row],[TOTAL STOCKS RELEASED (QTY)]]</f>
        <v>51</v>
      </c>
      <c r="G4" s="247" t="str">
        <f t="shared" si="0"/>
        <v>Box</v>
      </c>
      <c r="H4" s="247">
        <f t="shared" si="1"/>
        <v>2634</v>
      </c>
      <c r="I4" s="247">
        <f t="shared" ca="1" si="2"/>
        <v>0</v>
      </c>
      <c r="L4" s="246">
        <v>51</v>
      </c>
    </row>
    <row r="5" spans="1:12" ht="14.4">
      <c r="A5" s="269">
        <f t="shared" ca="1" si="3"/>
        <v>46223</v>
      </c>
      <c r="B5" s="246" t="s">
        <v>264</v>
      </c>
      <c r="D5" s="138">
        <f>SUMIFS('DATA ENTRY - RECEIVED'!F:F,'DATA ENTRY - RECEIVED'!E:E,"=Cartolina - white, 22-1/2 x 28-1/2")</f>
        <v>0</v>
      </c>
      <c r="E5" s="138">
        <f>SUMIFS('DATA ENTRY - RELEASED'!C:C,'DATA ENTRY - RELEASED'!B:B,"=Cartolina - white, 22-1/2 x 28-1/2")</f>
        <v>0</v>
      </c>
      <c r="F5" s="138">
        <f>Table26[[#This Row],[BEG BALANCE (QTY)]]+Table26[[#This Row],[TOTAL STOCKS RECEIVED (QTY)]]-Table26[[#This Row],[TOTAL STOCKS RELEASED (QTY)]]</f>
        <v>0</v>
      </c>
      <c r="G5" s="247" t="str">
        <f t="shared" si="0"/>
        <v>Piece</v>
      </c>
      <c r="H5" s="247">
        <f t="shared" si="1"/>
        <v>5</v>
      </c>
      <c r="I5" s="247">
        <f t="shared" ca="1" si="2"/>
        <v>0</v>
      </c>
    </row>
    <row r="6" spans="1:12" ht="14.4">
      <c r="A6" s="269">
        <f t="shared" ca="1" si="3"/>
        <v>46223</v>
      </c>
      <c r="B6" s="246" t="s">
        <v>14</v>
      </c>
      <c r="C6" s="247">
        <v>0</v>
      </c>
      <c r="D6" s="138">
        <f>SUMIFS('DATA ENTRY - RECEIVED'!F:F,'DATA ENTRY - RECEIVED'!E:E,"=Envelope - document, 10 x 15")</f>
        <v>132</v>
      </c>
      <c r="E6" s="138">
        <f>SUMIFS('DATA ENTRY - RELEASED'!C:C,'DATA ENTRY - RELEASED'!B:B,"=Envelope - document, 10 x 15")*(0.01)</f>
        <v>1.52</v>
      </c>
      <c r="F6" s="138">
        <f>Table26[[#This Row],[BEG BALANCE (QTY)]]+Table26[[#This Row],[TOTAL STOCKS RECEIVED (QTY)]]-Table26[[#This Row],[TOTAL STOCKS RELEASED (QTY)]]</f>
        <v>130.47999999999999</v>
      </c>
      <c r="G6" s="247" t="str">
        <f t="shared" si="0"/>
        <v>C</v>
      </c>
      <c r="H6" s="247">
        <f t="shared" si="1"/>
        <v>46</v>
      </c>
      <c r="I6" s="247">
        <f t="shared" ca="1" si="2"/>
        <v>0</v>
      </c>
      <c r="L6" s="246">
        <v>1</v>
      </c>
    </row>
    <row r="7" spans="1:12" ht="14.4">
      <c r="A7" s="269">
        <f t="shared" ca="1" si="3"/>
        <v>46223</v>
      </c>
      <c r="B7" s="246" t="s">
        <v>251</v>
      </c>
      <c r="D7" s="138">
        <f>SUMIFS('DATA ENTRY - RECEIVED'!F:F,'DATA ENTRY - RECEIVED'!E:E,"=Envelope - expanding 11x15x 2 w/out flap")</f>
        <v>0</v>
      </c>
      <c r="E7" s="138">
        <f>SUMIFS('DATA ENTRY - RELEASED'!C:C,'DATA ENTRY - RELEASED'!B:B,"=Envelope - expanding 11x15x 2 w/out flap")</f>
        <v>4</v>
      </c>
      <c r="F7" s="138">
        <f>Table26[[#This Row],[BEG BALANCE (QTY)]]+Table26[[#This Row],[TOTAL STOCKS RECEIVED (QTY)]]-Table26[[#This Row],[TOTAL STOCKS RELEASED (QTY)]]</f>
        <v>-4</v>
      </c>
      <c r="G7" s="247" t="str">
        <f t="shared" si="0"/>
        <v>Piece</v>
      </c>
      <c r="H7" s="247">
        <f t="shared" si="1"/>
        <v>59</v>
      </c>
      <c r="I7" s="247">
        <f t="shared" ca="1" si="2"/>
        <v>0</v>
      </c>
    </row>
    <row r="8" spans="1:12" ht="14.4">
      <c r="A8" s="269">
        <f t="shared" ca="1" si="3"/>
        <v>46223</v>
      </c>
      <c r="B8" s="246" t="s">
        <v>265</v>
      </c>
      <c r="D8" s="138">
        <f>SUMIFS('DATA ENTRY - RECEIVED'!F:F,'DATA ENTRY - RECEIVED'!E:E,"=Envelope - window reg mailing only white (500 pcs/box)")</f>
        <v>0</v>
      </c>
      <c r="E8" s="138">
        <f>SUMIFS('DATA ENTRY - RELEASED'!C:C,'DATA ENTRY - RELEASED'!B:B,"=Envelope - window reg mailing only white (500 pcs/box)")</f>
        <v>0</v>
      </c>
      <c r="F8" s="138">
        <f>Table26[[#This Row],[BEG BALANCE (QTY)]]+Table26[[#This Row],[TOTAL STOCKS RECEIVED (QTY)]]-Table26[[#This Row],[TOTAL STOCKS RELEASED (QTY)]]</f>
        <v>0</v>
      </c>
      <c r="G8" s="247" t="str">
        <f t="shared" si="0"/>
        <v>Box</v>
      </c>
      <c r="H8" s="247">
        <f t="shared" si="1"/>
        <v>40</v>
      </c>
      <c r="I8" s="247">
        <f t="shared" ca="1" si="2"/>
        <v>0</v>
      </c>
    </row>
    <row r="9" spans="1:12" ht="14.4">
      <c r="A9" s="269">
        <f t="shared" ca="1" si="3"/>
        <v>46223</v>
      </c>
      <c r="B9" s="246" t="s">
        <v>266</v>
      </c>
      <c r="D9" s="138">
        <f>SUMIFS('DATA ENTRY - RECEIVED'!F:F,'DATA ENTRY - RECEIVED'!E:E,"=Envelope-wdw reg no add white for brnchs (500 pcs/box)")</f>
        <v>0</v>
      </c>
      <c r="E9" s="138">
        <f>SUMIFS('DATA ENTRY - RELEASED'!C:C,'DATA ENTRY - RELEASED'!B:B,"=Envelope-wdw reg no add white for brnchs (500 pcs/box)")</f>
        <v>0</v>
      </c>
      <c r="F9" s="138">
        <f>Table26[[#This Row],[BEG BALANCE (QTY)]]+Table26[[#This Row],[TOTAL STOCKS RECEIVED (QTY)]]-Table26[[#This Row],[TOTAL STOCKS RELEASED (QTY)]]</f>
        <v>0</v>
      </c>
      <c r="G9" s="247" t="str">
        <f t="shared" si="0"/>
        <v>Box</v>
      </c>
      <c r="H9" s="247">
        <f t="shared" si="1"/>
        <v>1695</v>
      </c>
      <c r="I9" s="247">
        <f t="shared" ca="1" si="2"/>
        <v>0</v>
      </c>
    </row>
    <row r="10" spans="1:12" ht="14.4">
      <c r="A10" s="269">
        <f t="shared" ca="1" si="3"/>
        <v>46223</v>
      </c>
      <c r="B10" s="246" t="s">
        <v>241</v>
      </c>
      <c r="D10" s="138">
        <f>SUMIFS('DATA ENTRY - RECEIVED'!F:F,'DATA ENTRY - RECEIVED'!E:E,"=Envelope, expanding kraftboard for legal docs.")</f>
        <v>0</v>
      </c>
      <c r="E10" s="138">
        <f>SUMIFS('DATA ENTRY - RELEASED'!C:C,'DATA ENTRY - RELEASED'!B:B,"=Envelope, expanding kraftboard for legal docs.")</f>
        <v>6</v>
      </c>
      <c r="F10" s="138">
        <f>Table26[[#This Row],[BEG BALANCE (QTY)]]+Table26[[#This Row],[TOTAL STOCKS RECEIVED (QTY)]]-Table26[[#This Row],[TOTAL STOCKS RELEASED (QTY)]]</f>
        <v>-6</v>
      </c>
      <c r="G10" s="247" t="str">
        <f t="shared" ref="G10:G74" si="4">IFERROR(VLOOKUP(B10,SUPPLY2,3,0),"-")</f>
        <v>Piece</v>
      </c>
      <c r="H10" s="247">
        <f t="shared" ref="H10:H74" si="5">IFERROR(VLOOKUP(B10,SUPPLY2,4,0),"-")</f>
        <v>2366</v>
      </c>
      <c r="I10" s="247">
        <f t="shared" ca="1" si="2"/>
        <v>0</v>
      </c>
    </row>
    <row r="11" spans="1:12" ht="14.4">
      <c r="A11" s="269">
        <f t="shared" ca="1" si="3"/>
        <v>46223</v>
      </c>
      <c r="B11" s="246" t="s">
        <v>249</v>
      </c>
      <c r="D11" s="138">
        <f>SUMIFS('DATA ENTRY - RECEIVED'!F:F,'DATA ENTRY - RECEIVED'!E:E,"=Folder - cardboard loose lift 8-1/2x14")</f>
        <v>0</v>
      </c>
      <c r="E11" s="138">
        <f>SUMIFS('DATA ENTRY - RELEASED'!C:C,'DATA ENTRY - RELEASED'!B:B,"=Folder - cardboard loose lift 8-1/2x14")</f>
        <v>0</v>
      </c>
      <c r="F11" s="138">
        <f>Table26[[#This Row],[BEG BALANCE (QTY)]]+Table26[[#This Row],[TOTAL STOCKS RECEIVED (QTY)]]-Table26[[#This Row],[TOTAL STOCKS RELEASED (QTY)]]</f>
        <v>0</v>
      </c>
      <c r="G11" s="247" t="str">
        <f t="shared" si="4"/>
        <v>Set</v>
      </c>
      <c r="H11" s="247">
        <f t="shared" si="5"/>
        <v>331</v>
      </c>
      <c r="I11" s="247">
        <f t="shared" ca="1" si="2"/>
        <v>0</v>
      </c>
    </row>
    <row r="12" spans="1:12" ht="14.4">
      <c r="A12" s="269">
        <f t="shared" ca="1" si="3"/>
        <v>46223</v>
      </c>
      <c r="B12" s="246" t="s">
        <v>13</v>
      </c>
      <c r="C12" s="247">
        <v>2</v>
      </c>
      <c r="D12" s="138">
        <f>SUMIFS('DATA ENTRY - RECEIVED'!F:F,'DATA ENTRY - RECEIVED'!E:E,"=Folder - legal size, 36mm thick (14pts)")</f>
        <v>143</v>
      </c>
      <c r="E12" s="138">
        <f>SUMIFS('DATA ENTRY - RELEASED'!C:C,'DATA ENTRY - RELEASED'!B:B,"=Folder - legal size, 36mm thick (14pts)")</f>
        <v>315</v>
      </c>
      <c r="F12" s="138">
        <f>Table26[[#This Row],[BEG BALANCE (QTY)]]+Table26[[#This Row],[TOTAL STOCKS RECEIVED (QTY)]]-Table26[[#This Row],[TOTAL STOCKS RELEASED (QTY)]]</f>
        <v>-170</v>
      </c>
      <c r="G12" s="247" t="str">
        <f t="shared" si="4"/>
        <v>C</v>
      </c>
      <c r="H12" s="247">
        <f t="shared" si="5"/>
        <v>330</v>
      </c>
      <c r="I12" s="247">
        <f t="shared" ca="1" si="2"/>
        <v>0</v>
      </c>
      <c r="L12" s="246">
        <v>1</v>
      </c>
    </row>
    <row r="13" spans="1:12" ht="14.4">
      <c r="A13" s="269">
        <f t="shared" ca="1" si="3"/>
        <v>46223</v>
      </c>
      <c r="B13" s="246" t="s">
        <v>267</v>
      </c>
      <c r="D13" s="138">
        <f>SUMIFS('DATA ENTRY - RECEIVED'!F:F,'DATA ENTRY - RECEIVED'!E:E,"=Folder - marble green, 11 x 14-7/8")</f>
        <v>0</v>
      </c>
      <c r="E13" s="138">
        <f>SUMIFS('DATA ENTRY - RELEASED'!C:C,'DATA ENTRY - RELEASED'!B:B,"=Folder - marble green, 11 x 14-7/8")</f>
        <v>0</v>
      </c>
      <c r="F13" s="138">
        <f>Table26[[#This Row],[BEG BALANCE (QTY)]]+Table26[[#This Row],[TOTAL STOCKS RECEIVED (QTY)]]-Table26[[#This Row],[TOTAL STOCKS RELEASED (QTY)]]</f>
        <v>0</v>
      </c>
      <c r="G13" s="247" t="str">
        <f t="shared" si="4"/>
        <v>Set</v>
      </c>
      <c r="H13" s="247">
        <f t="shared" si="5"/>
        <v>65</v>
      </c>
      <c r="I13" s="247">
        <f t="shared" ca="1" si="2"/>
        <v>0</v>
      </c>
    </row>
    <row r="14" spans="1:12" ht="14.4">
      <c r="A14" s="269">
        <f t="shared" ca="1" si="3"/>
        <v>46223</v>
      </c>
      <c r="B14" s="246" t="s">
        <v>268</v>
      </c>
      <c r="D14" s="138">
        <f>SUMIFS('DATA ENTRY - RECEIVED'!F:F,'DATA ENTRY - RECEIVED'!E:E,"=Paper - adding machine tape, 2-1/4")</f>
        <v>0</v>
      </c>
      <c r="E14" s="138">
        <f>SUMIFS('DATA ENTRY - RELEASED'!C:C,'DATA ENTRY - RELEASED'!B:B,"=Paper - adding machine tape, 2-1/4")</f>
        <v>0</v>
      </c>
      <c r="F14" s="138">
        <f>Table26[[#This Row],[BEG BALANCE (QTY)]]+Table26[[#This Row],[TOTAL STOCKS RECEIVED (QTY)]]-Table26[[#This Row],[TOTAL STOCKS RELEASED (QTY)]]</f>
        <v>0</v>
      </c>
      <c r="G14" s="247" t="str">
        <f t="shared" si="4"/>
        <v>Piece</v>
      </c>
      <c r="H14" s="247">
        <f t="shared" si="5"/>
        <v>70</v>
      </c>
      <c r="I14" s="247">
        <f t="shared" ca="1" si="2"/>
        <v>0</v>
      </c>
    </row>
    <row r="15" spans="1:12" ht="14.4">
      <c r="A15" s="269">
        <f t="shared" ca="1" si="3"/>
        <v>46223</v>
      </c>
      <c r="B15" s="246" t="s">
        <v>269</v>
      </c>
      <c r="D15" s="138">
        <f>SUMIFS('DATA ENTRY - RECEIVED'!F:F,'DATA ENTRY - RECEIVED'!E:E,"=Paper-bond w/letterhead, a4 size 70gsm")</f>
        <v>0</v>
      </c>
      <c r="E15" s="138">
        <f>SUMIFS('DATA ENTRY - RELEASED'!C:C,'DATA ENTRY - RELEASED'!B:B,"=Paper-bond w/letterhead, a4 size 70gsm")</f>
        <v>0</v>
      </c>
      <c r="F15" s="138">
        <f>Table26[[#This Row],[BEG BALANCE (QTY)]]+Table26[[#This Row],[TOTAL STOCKS RECEIVED (QTY)]]-Table26[[#This Row],[TOTAL STOCKS RELEASED (QTY)]]</f>
        <v>0</v>
      </c>
      <c r="G15" s="247" t="str">
        <f t="shared" si="4"/>
        <v>Ream</v>
      </c>
      <c r="H15" s="247">
        <f t="shared" si="5"/>
        <v>1823</v>
      </c>
      <c r="I15" s="247">
        <f t="shared" ca="1" si="2"/>
        <v>0</v>
      </c>
    </row>
    <row r="16" spans="1:12" ht="14.4">
      <c r="A16" s="269">
        <f t="shared" ca="1" si="3"/>
        <v>46223</v>
      </c>
      <c r="B16" s="246" t="s">
        <v>201</v>
      </c>
      <c r="C16" s="247">
        <v>450</v>
      </c>
      <c r="D16" s="138">
        <f>SUMIFS('DATA ENTRY - RECEIVED'!F:F,'DATA ENTRY - RECEIVED'!E:E,"=UBP QUICK CARDS - PENSION LOAN")</f>
        <v>0</v>
      </c>
      <c r="E16" s="138">
        <f>SUMIFS('DATA ENTRY - RELEASED'!C:C,'DATA ENTRY - RELEASED'!B:B,"=UBP QUICK CARDS - PENSION LOAN")</f>
        <v>450</v>
      </c>
      <c r="F16" s="138">
        <f>Table26[[#This Row],[BEG BALANCE (QTY)]]+Table26[[#This Row],[TOTAL STOCKS RECEIVED (QTY)]]-Table26[[#This Row],[TOTAL STOCKS RELEASED (QTY)]]</f>
        <v>0</v>
      </c>
      <c r="G16" s="247" t="str">
        <f t="shared" si="4"/>
        <v>pc</v>
      </c>
      <c r="H16" s="247" t="str">
        <f t="shared" si="5"/>
        <v>UBP</v>
      </c>
      <c r="I16" s="247">
        <f t="shared" ca="1" si="2"/>
        <v>0</v>
      </c>
    </row>
    <row r="17" spans="1:33" s="245" customFormat="1" ht="14.4">
      <c r="A17" s="269">
        <f t="shared" ca="1" si="3"/>
        <v>46223</v>
      </c>
      <c r="B17" s="61" t="s">
        <v>270</v>
      </c>
      <c r="C17" s="247">
        <v>1</v>
      </c>
      <c r="D17" s="138">
        <f>SUMIFS('DATA ENTRY - RECEIVED'!F:F,'DATA ENTRY - RECEIVED'!E:E,"=ACOP-PENSIONERS REPLY P1&amp;2")</f>
        <v>0</v>
      </c>
      <c r="E17" s="138">
        <f>SUMIFS('DATA ENTRY - RELEASED'!C:C,'DATA ENTRY - RELEASED'!B:B,"=ACOP-PENSIONERS REPLY P1&amp;2")</f>
        <v>0</v>
      </c>
      <c r="F17" s="138">
        <f>Table26[[#This Row],[BEG BALANCE (QTY)]]+Table26[[#This Row],[TOTAL STOCKS RECEIVED (QTY)]]-Table26[[#This Row],[TOTAL STOCKS RELEASED (QTY)]]</f>
        <v>1</v>
      </c>
      <c r="G17" s="247" t="str">
        <f t="shared" si="4"/>
        <v>-</v>
      </c>
      <c r="H17" s="247" t="str">
        <f t="shared" si="5"/>
        <v>-</v>
      </c>
      <c r="I17" s="247">
        <f t="shared" ca="1" si="2"/>
        <v>0</v>
      </c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</row>
    <row r="18" spans="1:33" s="245" customFormat="1" ht="14.4">
      <c r="A18" s="269">
        <f t="shared" ca="1" si="3"/>
        <v>46223</v>
      </c>
      <c r="B18" t="s">
        <v>271</v>
      </c>
      <c r="C18" s="247"/>
      <c r="D18" s="138">
        <f>SUMIFS('DATA ENTRY - RECEIVED'!F:F,'DATA ENTRY - RECEIVED'!E:E,"=DEATH CLAIM APPLICATION PAGE 1")</f>
        <v>0</v>
      </c>
      <c r="E18" s="138">
        <f>SUMIFS('DATA ENTRY - RELEASED'!C:C,'DATA ENTRY - RELEASED'!B:B,"=DEATH CLAIM APPLICATION PAGE 1")</f>
        <v>0</v>
      </c>
      <c r="F18" s="138">
        <f>Table26[[#This Row],[BEG BALANCE (QTY)]]+Table26[[#This Row],[TOTAL STOCKS RECEIVED (QTY)]]-Table26[[#This Row],[TOTAL STOCKS RELEASED (QTY)]]</f>
        <v>0</v>
      </c>
      <c r="G18" s="247" t="str">
        <f t="shared" si="4"/>
        <v>-</v>
      </c>
      <c r="H18" s="247" t="str">
        <f t="shared" si="5"/>
        <v>-</v>
      </c>
      <c r="I18" s="247">
        <f t="shared" ca="1" si="2"/>
        <v>0</v>
      </c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</row>
    <row r="19" spans="1:33" s="245" customFormat="1" ht="14.4">
      <c r="A19" s="269">
        <f t="shared" ca="1" si="3"/>
        <v>46223</v>
      </c>
      <c r="B19" t="s">
        <v>272</v>
      </c>
      <c r="C19" s="247"/>
      <c r="D19" s="138">
        <f>SUMIFS('DATA ENTRY - RECEIVED'!F:F,'DATA ENTRY - RECEIVED'!E:E,"=DEATH CLAIM APPLICATION PAGE 2")</f>
        <v>0</v>
      </c>
      <c r="E19" s="138">
        <f>SUMIFS('DATA ENTRY - RELEASED'!C:C,'DATA ENTRY - RELEASED'!B:B,"=DEATH CLAIM APPLICATION PAGE 2")</f>
        <v>0</v>
      </c>
      <c r="F19" s="138">
        <f>Table26[[#This Row],[BEG BALANCE (QTY)]]+Table26[[#This Row],[TOTAL STOCKS RECEIVED (QTY)]]-Table26[[#This Row],[TOTAL STOCKS RELEASED (QTY)]]</f>
        <v>0</v>
      </c>
      <c r="G19" s="247" t="str">
        <f t="shared" si="4"/>
        <v>-</v>
      </c>
      <c r="H19" s="247" t="str">
        <f t="shared" si="5"/>
        <v>-</v>
      </c>
      <c r="I19" s="247">
        <f t="shared" ca="1" si="2"/>
        <v>0</v>
      </c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</row>
    <row r="20" spans="1:33" s="245" customFormat="1" ht="14.4">
      <c r="A20" s="269">
        <f t="shared" ca="1" si="3"/>
        <v>46223</v>
      </c>
      <c r="B20" s="123" t="s">
        <v>33</v>
      </c>
      <c r="C20" s="247">
        <v>185</v>
      </c>
      <c r="D20" s="138">
        <f>SUMIFS('DATA ENTRY - RECEIVED'!F:F,'DATA ENTRY - RECEIVED'!E:E,"=MEMBER DATA CHANGE REQUEST PAGE 1&amp;2")</f>
        <v>25</v>
      </c>
      <c r="E20" s="138">
        <f>SUMIFS('DATA ENTRY - RELEASED'!C:C,'DATA ENTRY - RELEASED'!B:B,"=MEMBER DATA CHANGE REQUEST PAGE 1&amp;2")</f>
        <v>8808</v>
      </c>
      <c r="F20" s="138">
        <f>Table26[[#This Row],[BEG BALANCE (QTY)]]+Table26[[#This Row],[TOTAL STOCKS RECEIVED (QTY)]]-Table26[[#This Row],[TOTAL STOCKS RELEASED (QTY)]]</f>
        <v>-8598</v>
      </c>
      <c r="G20" s="247"/>
      <c r="H20" s="247"/>
      <c r="I20" s="247">
        <f ca="1">IFERROR(VLOOKUP(A20,YEAR2023,2,0),"-")</f>
        <v>0</v>
      </c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</row>
    <row r="21" spans="1:33" s="245" customFormat="1" ht="14.4">
      <c r="A21" s="269">
        <f t="shared" ca="1" si="3"/>
        <v>46223</v>
      </c>
      <c r="B21" t="s">
        <v>207</v>
      </c>
      <c r="C21" s="247">
        <v>50</v>
      </c>
      <c r="D21" s="138">
        <f>SUMIFS('DATA ENTRY - RECEIVED'!F:F,'DATA ENTRY - RECEIVED'!E:E,"=E4-PAGE 1-MEMBER DATA CHANGE PAGE 1")</f>
        <v>0</v>
      </c>
      <c r="E21" s="138">
        <f>SUMIFS('DATA ENTRY - RELEASED'!C:C,'DATA ENTRY - RELEASED'!B:B,"=E4-PAGE 1-MEMBER DATA CHANGE PAGE 1")</f>
        <v>140</v>
      </c>
      <c r="F21" s="138">
        <f>Table26[[#This Row],[BEG BALANCE (QTY)]]+Table26[[#This Row],[TOTAL STOCKS RECEIVED (QTY)]]-Table26[[#This Row],[TOTAL STOCKS RELEASED (QTY)]]</f>
        <v>-90</v>
      </c>
      <c r="G21" s="247" t="str">
        <f t="shared" si="4"/>
        <v>-</v>
      </c>
      <c r="H21" s="247" t="str">
        <f t="shared" si="5"/>
        <v>-</v>
      </c>
      <c r="I21" s="247">
        <f t="shared" ca="1" si="2"/>
        <v>0</v>
      </c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</row>
    <row r="22" spans="1:33" s="245" customFormat="1" ht="14.4">
      <c r="A22" s="269">
        <f t="shared" ca="1" si="3"/>
        <v>46223</v>
      </c>
      <c r="B22" t="s">
        <v>273</v>
      </c>
      <c r="C22" s="247">
        <v>1</v>
      </c>
      <c r="D22" s="138">
        <f>SUMIFS('DATA ENTRY - RECEIVED'!F:F,'DATA ENTRY - RECEIVED'!E:E,"=E4-PAGE 2-MEMBER DATA CHANGE PAGE 2")</f>
        <v>0</v>
      </c>
      <c r="E22" s="138">
        <f>SUMIFS('DATA ENTRY - RELEASED'!C:C,'DATA ENTRY - RELEASED'!B:B,"=E4-PAGE 2-MEMBER DATA CHANGE PAGE 2")</f>
        <v>0</v>
      </c>
      <c r="F22" s="138">
        <f>Table26[[#This Row],[BEG BALANCE (QTY)]]+Table26[[#This Row],[TOTAL STOCKS RECEIVED (QTY)]]-Table26[[#This Row],[TOTAL STOCKS RELEASED (QTY)]]</f>
        <v>1</v>
      </c>
      <c r="G22" s="247" t="str">
        <f t="shared" si="4"/>
        <v>-</v>
      </c>
      <c r="H22" s="247" t="str">
        <f t="shared" si="5"/>
        <v>-</v>
      </c>
      <c r="I22" s="247">
        <f t="shared" ca="1" si="2"/>
        <v>0</v>
      </c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</row>
    <row r="23" spans="1:33" s="269" customFormat="1" ht="14.4">
      <c r="A23" s="269">
        <f t="shared" ca="1" si="3"/>
        <v>46223</v>
      </c>
      <c r="B23" s="76" t="s">
        <v>206</v>
      </c>
      <c r="C23" s="295">
        <v>0</v>
      </c>
      <c r="D23" s="295">
        <v>51</v>
      </c>
      <c r="E23" s="295">
        <f>SUMIFS('DATA ENTRY - RELEASED'!C:C,'DATA ENTRY - RELEASED'!B:B,"=FUNERAL APPLICATION")</f>
        <v>1</v>
      </c>
      <c r="F23" s="295">
        <f>Table26[[#This Row],[BEG BALANCE (QTY)]]+Table26[[#This Row],[TOTAL STOCKS RECEIVED (QTY)]]-Table26[[#This Row],[TOTAL STOCKS RELEASED (QTY)]]</f>
        <v>50</v>
      </c>
      <c r="G23" s="295" t="str">
        <f t="shared" si="4"/>
        <v>Ream</v>
      </c>
      <c r="H23" s="295">
        <f t="shared" si="5"/>
        <v>1544</v>
      </c>
      <c r="I23" s="295">
        <f t="shared" ca="1" si="2"/>
        <v>0</v>
      </c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</row>
    <row r="24" spans="1:33" s="245" customFormat="1" ht="14.4">
      <c r="A24" s="269">
        <f t="shared" ca="1" si="3"/>
        <v>46223</v>
      </c>
      <c r="B24" t="s">
        <v>78</v>
      </c>
      <c r="C24" s="247"/>
      <c r="D24" s="138">
        <f>SUMIFS('DATA ENTRY - RECEIVED'!F:F,'DATA ENTRY - RECEIVED'!E:E,"=L-501-SPECIMENT SIGNATURE CARD")</f>
        <v>200</v>
      </c>
      <c r="E24" s="138">
        <f>SUMIFS('DATA ENTRY - RELEASED'!C:C,'DATA ENTRY - RELEASED'!B:B,"=L-501-SPECIMENT SIGNATURE CARD")</f>
        <v>0</v>
      </c>
      <c r="F24" s="138">
        <f>Table26[[#This Row],[BEG BALANCE (QTY)]]+Table26[[#This Row],[TOTAL STOCKS RECEIVED (QTY)]]-Table26[[#This Row],[TOTAL STOCKS RELEASED (QTY)]]</f>
        <v>200</v>
      </c>
      <c r="G24" s="247" t="str">
        <f t="shared" si="4"/>
        <v>PCS</v>
      </c>
      <c r="H24" s="247">
        <f t="shared" si="5"/>
        <v>222</v>
      </c>
      <c r="I24" s="247">
        <f t="shared" ca="1" si="2"/>
        <v>0</v>
      </c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</row>
    <row r="25" spans="1:33" s="245" customFormat="1" ht="14.4">
      <c r="A25" s="269">
        <f t="shared" ca="1" si="3"/>
        <v>46223</v>
      </c>
      <c r="B25" t="s">
        <v>60</v>
      </c>
      <c r="C25" s="247">
        <v>5</v>
      </c>
      <c r="D25" s="138">
        <f>SUMIFS('DATA ENTRY - RECEIVED'!F:F,'DATA ENTRY - RECEIVED'!E:E,"=MEMBER'S/CLAIMANT'S PHOTO SIGNATURE CARD")</f>
        <v>19</v>
      </c>
      <c r="E25" s="138">
        <f>SUMIFS('DATA ENTRY - RELEASED'!C:C,'DATA ENTRY - RELEASED'!B:B,"=MEMBER'S/CLAIMANT'S PHOTO SIGNATURE CARD")</f>
        <v>6</v>
      </c>
      <c r="F25" s="138">
        <f>Table26[[#This Row],[BEG BALANCE (QTY)]]+Table26[[#This Row],[TOTAL STOCKS RECEIVED (QTY)]]-Table26[[#This Row],[TOTAL STOCKS RELEASED (QTY)]]</f>
        <v>18</v>
      </c>
      <c r="G25" s="247" t="str">
        <f t="shared" si="4"/>
        <v>Ream</v>
      </c>
      <c r="H25" s="247">
        <f t="shared" si="5"/>
        <v>1976</v>
      </c>
      <c r="I25" s="247">
        <f t="shared" ca="1" si="2"/>
        <v>0</v>
      </c>
      <c r="J25" s="246"/>
      <c r="K25" s="246"/>
      <c r="L25" s="246">
        <v>5</v>
      </c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</row>
    <row r="26" spans="1:33" s="245" customFormat="1" ht="14.4">
      <c r="A26" s="269">
        <f t="shared" ca="1" si="3"/>
        <v>46223</v>
      </c>
      <c r="B26" t="s">
        <v>38</v>
      </c>
      <c r="C26" s="247">
        <v>250</v>
      </c>
      <c r="D26" s="138">
        <f>SUMIFS('DATA ENTRY - RECEIVED'!F:F,'DATA ENTRY - RECEIVED'!E:E,"=PAYMENT SLIP-CONTRIBUTION 1")</f>
        <v>87</v>
      </c>
      <c r="E26" s="138">
        <f>SUMIFS('DATA ENTRY - RELEASED'!C:C,'DATA ENTRY - RELEASED'!B:B,"=PAYMENT SLIP-CONTRIBUTION 1")</f>
        <v>8056</v>
      </c>
      <c r="F26" s="138">
        <f>Table26[[#This Row],[BEG BALANCE (QTY)]]+Table26[[#This Row],[TOTAL STOCKS RECEIVED (QTY)]]-Table26[[#This Row],[TOTAL STOCKS RELEASED (QTY)]]</f>
        <v>-7719</v>
      </c>
      <c r="G26" s="247" t="str">
        <f t="shared" si="4"/>
        <v>Ream</v>
      </c>
      <c r="H26" s="247">
        <f t="shared" si="5"/>
        <v>2521</v>
      </c>
      <c r="I26" s="247">
        <f t="shared" ca="1" si="2"/>
        <v>0</v>
      </c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</row>
    <row r="27" spans="1:33" s="245" customFormat="1" ht="14.4">
      <c r="A27" s="269">
        <f t="shared" ca="1" si="3"/>
        <v>46223</v>
      </c>
      <c r="B27" t="s">
        <v>39</v>
      </c>
      <c r="C27" s="247"/>
      <c r="D27" s="138">
        <f>SUMIFS('DATA ENTRY - RECEIVED'!F:F,'DATA ENTRY - RECEIVED'!E:E,"=PAYMENT SLIP-MEMBER LOAN")</f>
        <v>13</v>
      </c>
      <c r="E27" s="138">
        <f>SUMIFS('DATA ENTRY - RELEASED'!C:C,'DATA ENTRY - RELEASED'!B:B,"=PAYMENT SLIP-MEMBER LOAN")</f>
        <v>1101</v>
      </c>
      <c r="F27" s="138">
        <f>Table26[[#This Row],[BEG BALANCE (QTY)]]+Table26[[#This Row],[TOTAL STOCKS RECEIVED (QTY)]]-Table26[[#This Row],[TOTAL STOCKS RELEASED (QTY)]]</f>
        <v>-1088</v>
      </c>
      <c r="G27" s="247" t="str">
        <f t="shared" si="4"/>
        <v>Ream</v>
      </c>
      <c r="H27" s="247">
        <f t="shared" si="5"/>
        <v>2576</v>
      </c>
      <c r="I27" s="247">
        <f t="shared" ca="1" si="2"/>
        <v>0</v>
      </c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</row>
    <row r="28" spans="1:33" s="245" customFormat="1" ht="14.4">
      <c r="A28" s="269">
        <f t="shared" ca="1" si="3"/>
        <v>46223</v>
      </c>
      <c r="B28" t="s">
        <v>274</v>
      </c>
      <c r="C28" s="247"/>
      <c r="D28" s="138">
        <f>SUMIFS('DATA ENTRY - RECEIVED'!F:F,'DATA ENTRY - RECEIVED'!E:E,"=R-6 Misc p.r, 25shts 07'13 (carbonless)")</f>
        <v>0</v>
      </c>
      <c r="E28" s="138">
        <f>SUMIFS('DATA ENTRY - RELEASED'!C:C,'DATA ENTRY - RELEASED'!B:B,"=R-6 Misc p.r, 25shts 07'13 (carbonless)")</f>
        <v>0</v>
      </c>
      <c r="F28" s="138">
        <f>Table26[[#This Row],[BEG BALANCE (QTY)]]+Table26[[#This Row],[TOTAL STOCKS RECEIVED (QTY)]]-Table26[[#This Row],[TOTAL STOCKS RELEASED (QTY)]]</f>
        <v>0</v>
      </c>
      <c r="G28" s="247" t="str">
        <f t="shared" si="4"/>
        <v>Pad</v>
      </c>
      <c r="H28" s="247">
        <f t="shared" si="5"/>
        <v>2399</v>
      </c>
      <c r="I28" s="247">
        <f t="shared" ca="1" si="2"/>
        <v>0</v>
      </c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</row>
    <row r="29" spans="1:33" s="245" customFormat="1" ht="14.4">
      <c r="A29" s="269">
        <f t="shared" ca="1" si="3"/>
        <v>46223</v>
      </c>
      <c r="B29" t="s">
        <v>275</v>
      </c>
      <c r="C29" s="247"/>
      <c r="D29" s="138">
        <f>SUMIFS('DATA ENTRY - RECEIVED'!F:F,'DATA ENTRY - RECEIVED'!E:E,"=REGISTRY RETURN RECEIPT CARD")</f>
        <v>0</v>
      </c>
      <c r="E29" s="138">
        <f>SUMIFS('DATA ENTRY - RELEASED'!C:C,'DATA ENTRY - RELEASED'!B:B,"=REGISTRY RETURN RECEIPT CARD")</f>
        <v>0</v>
      </c>
      <c r="F29" s="138">
        <f>Table26[[#This Row],[BEG BALANCE (QTY)]]+Table26[[#This Row],[TOTAL STOCKS RECEIVED (QTY)]]-Table26[[#This Row],[TOTAL STOCKS RELEASED (QTY)]]</f>
        <v>0</v>
      </c>
      <c r="G29" s="247" t="str">
        <f t="shared" si="4"/>
        <v>PCS</v>
      </c>
      <c r="H29" s="247">
        <f t="shared" si="5"/>
        <v>199</v>
      </c>
      <c r="I29" s="247">
        <f t="shared" ca="1" si="2"/>
        <v>0</v>
      </c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</row>
    <row r="30" spans="1:33" s="245" customFormat="1" ht="14.4">
      <c r="A30" s="269">
        <f t="shared" ca="1" si="3"/>
        <v>46223</v>
      </c>
      <c r="B30" t="s">
        <v>276</v>
      </c>
      <c r="C30" s="247"/>
      <c r="D30" s="138">
        <f>SUMIFS('DATA ENTRY - RECEIVED'!F:F,'DATA ENTRY - RECEIVED'!E:E,"=Rel-9 rep 25sets/pad 4ply (carbonless)")</f>
        <v>0</v>
      </c>
      <c r="E30" s="138">
        <f>SUMIFS('DATA ENTRY - RELEASED'!C:C,'DATA ENTRY - RELEASED'!B:B,"=Rel-9 rep 25sets/pad 4ply (carbonless)")</f>
        <v>0</v>
      </c>
      <c r="F30" s="138">
        <f>Table26[[#This Row],[BEG BALANCE (QTY)]]+Table26[[#This Row],[TOTAL STOCKS RECEIVED (QTY)]]-Table26[[#This Row],[TOTAL STOCKS RELEASED (QTY)]]</f>
        <v>0</v>
      </c>
      <c r="G30" s="247" t="str">
        <f t="shared" si="4"/>
        <v>Pad</v>
      </c>
      <c r="H30" s="247">
        <f t="shared" si="5"/>
        <v>2386</v>
      </c>
      <c r="I30" s="247">
        <f t="shared" ca="1" si="2"/>
        <v>0</v>
      </c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</row>
    <row r="31" spans="1:33" s="245" customFormat="1" ht="14.4">
      <c r="A31" s="269">
        <f t="shared" ca="1" si="3"/>
        <v>46223</v>
      </c>
      <c r="B31" t="s">
        <v>205</v>
      </c>
      <c r="C31" s="247"/>
      <c r="D31" s="138">
        <v>200</v>
      </c>
      <c r="E31" s="138">
        <f>SUMIFS('DATA ENTRY - RELEASED'!C:C,'DATA ENTRY - RELEASED'!B:B,"=RETIREMENT P.1")</f>
        <v>11</v>
      </c>
      <c r="F31" s="138">
        <f>Table26[[#This Row],[BEG BALANCE (QTY)]]+Table26[[#This Row],[TOTAL STOCKS RECEIVED (QTY)]]-Table26[[#This Row],[TOTAL STOCKS RELEASED (QTY)]]</f>
        <v>189</v>
      </c>
      <c r="G31" s="247" t="str">
        <f t="shared" si="4"/>
        <v>Ream</v>
      </c>
      <c r="H31" s="247">
        <f t="shared" si="5"/>
        <v>1939</v>
      </c>
      <c r="I31" s="247">
        <f t="shared" ca="1" si="2"/>
        <v>0</v>
      </c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</row>
    <row r="32" spans="1:33" s="245" customFormat="1" ht="14.4">
      <c r="A32" s="269">
        <f t="shared" ca="1" si="3"/>
        <v>46223</v>
      </c>
      <c r="B32" t="s">
        <v>277</v>
      </c>
      <c r="C32" s="247"/>
      <c r="D32" s="138">
        <f>SUMIFS('DATA ENTRY - RECEIVED'!F:F,'DATA ENTRY - RECEIVED'!E:E,"=RETIREMENT P.2")</f>
        <v>0</v>
      </c>
      <c r="E32" s="138">
        <f>SUMIFS('DATA ENTRY - RELEASED'!C:C,'DATA ENTRY - RELEASED'!B:B,"=RETIREMENT P.2")</f>
        <v>0</v>
      </c>
      <c r="F32" s="138">
        <f>Table26[[#This Row],[BEG BALANCE (QTY)]]+Table26[[#This Row],[TOTAL STOCKS RECEIVED (QTY)]]-Table26[[#This Row],[TOTAL STOCKS RELEASED (QTY)]]</f>
        <v>0</v>
      </c>
      <c r="G32" s="247" t="str">
        <f t="shared" si="4"/>
        <v>Ream</v>
      </c>
      <c r="H32" s="247">
        <f t="shared" si="5"/>
        <v>1950</v>
      </c>
      <c r="I32" s="247">
        <f t="shared" ca="1" si="2"/>
        <v>0</v>
      </c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</row>
    <row r="33" spans="1:33" s="245" customFormat="1" ht="14.4">
      <c r="A33" s="269">
        <f t="shared" ca="1" si="3"/>
        <v>46223</v>
      </c>
      <c r="B33" t="s">
        <v>278</v>
      </c>
      <c r="C33" s="247"/>
      <c r="D33" s="138">
        <v>51</v>
      </c>
      <c r="E33" s="138">
        <f>SUMIFS('DATA ENTRY - RELEASED'!C:C,'DATA ENTRY - RELEASED'!B:B,"=SINUMPAANG SALAYSAY (RF)")</f>
        <v>0</v>
      </c>
      <c r="F33" s="138">
        <f>Table26[[#This Row],[BEG BALANCE (QTY)]]+Table26[[#This Row],[TOTAL STOCKS RECEIVED (QTY)]]-Table26[[#This Row],[TOTAL STOCKS RELEASED (QTY)]]</f>
        <v>51</v>
      </c>
      <c r="G33" s="247" t="str">
        <f t="shared" si="4"/>
        <v>Ream</v>
      </c>
      <c r="H33" s="247">
        <f t="shared" si="5"/>
        <v>217</v>
      </c>
      <c r="I33" s="247">
        <f t="shared" ca="1" si="2"/>
        <v>0</v>
      </c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</row>
    <row r="34" spans="1:33" s="245" customFormat="1" ht="14.4">
      <c r="A34" s="269">
        <f t="shared" ca="1" si="3"/>
        <v>46223</v>
      </c>
      <c r="B34" t="s">
        <v>29</v>
      </c>
      <c r="C34" s="247"/>
      <c r="D34" s="138">
        <f>SUMIFS('DATA ENTRY - RECEIVED'!F:F,'DATA ENTRY - RECEIVED'!E:E,"=Alcohol, ethyl, 68%-72%")</f>
        <v>40</v>
      </c>
      <c r="E34" s="138">
        <f>SUMIFS('DATA ENTRY - RELEASED'!C:C,'DATA ENTRY - RELEASED'!B:B,"=Alcohol, ethyl, 68%-72%")</f>
        <v>40</v>
      </c>
      <c r="F34" s="138">
        <f>Table26[[#This Row],[BEG BALANCE (QTY)]]+Table26[[#This Row],[TOTAL STOCKS RECEIVED (QTY)]]-Table26[[#This Row],[TOTAL STOCKS RELEASED (QTY)]]</f>
        <v>0</v>
      </c>
      <c r="G34" s="247" t="str">
        <f t="shared" si="4"/>
        <v>Gallon</v>
      </c>
      <c r="H34" s="247">
        <f t="shared" si="5"/>
        <v>2617</v>
      </c>
      <c r="I34" s="247">
        <f t="shared" ca="1" si="2"/>
        <v>0</v>
      </c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</row>
    <row r="35" spans="1:33" s="245" customFormat="1" ht="14.4">
      <c r="A35" s="269">
        <f t="shared" ca="1" si="3"/>
        <v>46223</v>
      </c>
      <c r="B35" t="s">
        <v>63</v>
      </c>
      <c r="C35" s="247">
        <v>52</v>
      </c>
      <c r="D35" s="138">
        <f>SUMIFS('DATA ENTRY - RECEIVED'!F:F,'DATA ENTRY - RECEIVED'!E:E,"=Alcohol, ethyl, 68%-72% (500ml)")</f>
        <v>115</v>
      </c>
      <c r="E35" s="138">
        <f>SUMIFS('DATA ENTRY - RELEASED'!C:C,'DATA ENTRY - RELEASED'!B:B,"=Alcohol, ethyl, 68%-72% (500ml)")</f>
        <v>93</v>
      </c>
      <c r="F35" s="138">
        <f>Table26[[#This Row],[BEG BALANCE (QTY)]]+Table26[[#This Row],[TOTAL STOCKS RECEIVED (QTY)]]-Table26[[#This Row],[TOTAL STOCKS RELEASED (QTY)]]</f>
        <v>74</v>
      </c>
      <c r="G35" s="247" t="str">
        <f t="shared" si="4"/>
        <v>Bottle</v>
      </c>
      <c r="H35" s="247">
        <f t="shared" si="5"/>
        <v>2618</v>
      </c>
      <c r="I35" s="247">
        <f t="shared" ref="I35:I66" ca="1" si="6">IFERROR(VLOOKUP(A35,YEAR2023,2,0),"-")</f>
        <v>0</v>
      </c>
      <c r="J35" s="246"/>
      <c r="K35" s="246"/>
      <c r="L35" s="246">
        <v>85</v>
      </c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</row>
    <row r="36" spans="1:33" s="245" customFormat="1" ht="14.4">
      <c r="A36" s="269">
        <f t="shared" ca="1" si="3"/>
        <v>46223</v>
      </c>
      <c r="B36" t="s">
        <v>18</v>
      </c>
      <c r="C36" s="247">
        <v>307</v>
      </c>
      <c r="D36" s="138">
        <f>SUMIFS('DATA ENTRY - RECEIVED'!F:F,'DATA ENTRY - RECEIVED'!E:E,"=Ballpoint pen")</f>
        <v>743</v>
      </c>
      <c r="E36" s="138">
        <f>SUMIFS('DATA ENTRY - RELEASED'!C:C,'DATA ENTRY - RELEASED'!B:B,"=Ballpoint pen")</f>
        <v>125</v>
      </c>
      <c r="F36" s="138">
        <f>Table26[[#This Row],[BEG BALANCE (QTY)]]+Table26[[#This Row],[TOTAL STOCKS RECEIVED (QTY)]]-Table26[[#This Row],[TOTAL STOCKS RELEASED (QTY)]]</f>
        <v>925</v>
      </c>
      <c r="G36" s="247" t="str">
        <f t="shared" si="4"/>
        <v>Piece</v>
      </c>
      <c r="H36" s="247">
        <f t="shared" si="5"/>
        <v>337</v>
      </c>
      <c r="I36" s="247">
        <f t="shared" ca="1" si="6"/>
        <v>0</v>
      </c>
      <c r="J36" s="246"/>
      <c r="K36" s="246"/>
      <c r="L36" s="246">
        <v>400</v>
      </c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</row>
    <row r="37" spans="1:33" s="245" customFormat="1" ht="14.4">
      <c r="A37" s="269">
        <f t="shared" ca="1" si="3"/>
        <v>46223</v>
      </c>
      <c r="B37" t="s">
        <v>279</v>
      </c>
      <c r="C37" s="247"/>
      <c r="D37" s="138">
        <f>SUMIFS('DATA ENTRY - RECEIVED'!F:F,'DATA ENTRY - RECEIVED'!E:E,"=Binder clip 1 1/4”")</f>
        <v>0</v>
      </c>
      <c r="E37" s="138">
        <f>SUMIFS('DATA ENTRY - RELEASED'!C:C,'DATA ENTRY - RELEASED'!B:B,"=Binder clip 1 1/4”")</f>
        <v>0</v>
      </c>
      <c r="F37" s="138">
        <f>Table26[[#This Row],[BEG BALANCE (QTY)]]+Table26[[#This Row],[TOTAL STOCKS RECEIVED (QTY)]]-Table26[[#This Row],[TOTAL STOCKS RELEASED (QTY)]]</f>
        <v>0</v>
      </c>
      <c r="G37" s="247" t="str">
        <f t="shared" si="4"/>
        <v>Box</v>
      </c>
      <c r="H37" s="247">
        <f t="shared" si="5"/>
        <v>2551</v>
      </c>
      <c r="I37" s="247">
        <f t="shared" ca="1" si="6"/>
        <v>0</v>
      </c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</row>
    <row r="38" spans="1:33" s="245" customFormat="1" ht="14.4">
      <c r="A38" s="269">
        <f t="shared" ca="1" si="3"/>
        <v>46223</v>
      </c>
      <c r="B38" t="s">
        <v>25</v>
      </c>
      <c r="C38" s="247"/>
      <c r="D38" s="138">
        <f>SUMIFS('DATA ENTRY - RECEIVED'!F:F,'DATA ENTRY - RECEIVED'!E:E,"=Binder clip 1”")</f>
        <v>82</v>
      </c>
      <c r="E38" s="138">
        <f>SUMIFS('DATA ENTRY - RELEASED'!C:C,'DATA ENTRY - RELEASED'!B:B,"=Binder clip 1”")</f>
        <v>0</v>
      </c>
      <c r="F38" s="138">
        <f>Table26[[#This Row],[BEG BALANCE (QTY)]]+Table26[[#This Row],[TOTAL STOCKS RECEIVED (QTY)]]-Table26[[#This Row],[TOTAL STOCKS RELEASED (QTY)]]</f>
        <v>82</v>
      </c>
      <c r="G38" s="247" t="str">
        <f t="shared" si="4"/>
        <v>Box</v>
      </c>
      <c r="H38" s="247">
        <f t="shared" si="5"/>
        <v>2550</v>
      </c>
      <c r="I38" s="247">
        <f t="shared" ca="1" si="6"/>
        <v>0</v>
      </c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</row>
    <row r="39" spans="1:33" s="245" customFormat="1" ht="14.4">
      <c r="A39" s="269">
        <f t="shared" ca="1" si="3"/>
        <v>46223</v>
      </c>
      <c r="B39" t="s">
        <v>43</v>
      </c>
      <c r="C39" s="247"/>
      <c r="D39" s="138">
        <f>SUMIFS('DATA ENTRY - RECEIVED'!F:F,'DATA ENTRY - RECEIVED'!E:E,"=Binder clip 2”")</f>
        <v>5</v>
      </c>
      <c r="E39" s="138">
        <f>SUMIFS('DATA ENTRY - RELEASED'!C:C,'DATA ENTRY - RELEASED'!B:B,"=Binder clip 2”")</f>
        <v>0</v>
      </c>
      <c r="F39" s="138">
        <f>Table26[[#This Row],[BEG BALANCE (QTY)]]+Table26[[#This Row],[TOTAL STOCKS RECEIVED (QTY)]]-Table26[[#This Row],[TOTAL STOCKS RELEASED (QTY)]]</f>
        <v>5</v>
      </c>
      <c r="G39" s="247" t="str">
        <f t="shared" si="4"/>
        <v>Box</v>
      </c>
      <c r="H39" s="247">
        <f t="shared" si="5"/>
        <v>2552</v>
      </c>
      <c r="I39" s="247">
        <f t="shared" ca="1" si="6"/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</row>
    <row r="40" spans="1:33" s="245" customFormat="1" ht="14.4">
      <c r="A40" s="269">
        <f t="shared" ca="1" si="3"/>
        <v>46223</v>
      </c>
      <c r="B40" t="s">
        <v>66</v>
      </c>
      <c r="C40" s="247"/>
      <c r="D40" s="138">
        <f>SUMIFS('DATA ENTRY - RECEIVED'!F:F,'DATA ENTRY - RECEIVED'!E:E,"=Binder clip 3/4”")</f>
        <v>0</v>
      </c>
      <c r="E40" s="138">
        <f>SUMIFS('DATA ENTRY - RELEASED'!C:C,'DATA ENTRY - RELEASED'!B:B,"=Binder clip 3/4”")</f>
        <v>0</v>
      </c>
      <c r="F40" s="138">
        <f>Table26[[#This Row],[BEG BALANCE (QTY)]]+Table26[[#This Row],[TOTAL STOCKS RECEIVED (QTY)]]-Table26[[#This Row],[TOTAL STOCKS RELEASED (QTY)]]</f>
        <v>0</v>
      </c>
      <c r="G40" s="247" t="str">
        <f t="shared" si="4"/>
        <v>Box</v>
      </c>
      <c r="H40" s="247">
        <f t="shared" si="5"/>
        <v>2546</v>
      </c>
      <c r="I40" s="247">
        <f t="shared" ca="1" si="6"/>
        <v>0</v>
      </c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</row>
    <row r="41" spans="1:33" s="245" customFormat="1" ht="14.4">
      <c r="A41" s="269">
        <f t="shared" ca="1" si="3"/>
        <v>46223</v>
      </c>
      <c r="B41" t="s">
        <v>20</v>
      </c>
      <c r="C41" s="247"/>
      <c r="D41" s="138">
        <f>SUMIFS('DATA ENTRY - RECEIVED'!F:F,'DATA ENTRY - RECEIVED'!E:E,"=Correction tape")</f>
        <v>22</v>
      </c>
      <c r="E41" s="138">
        <f>SUMIFS('DATA ENTRY - RELEASED'!C:C,'DATA ENTRY - RELEASED'!B:B,"=Correction tape")</f>
        <v>0</v>
      </c>
      <c r="F41" s="138">
        <f>Table26[[#This Row],[BEG BALANCE (QTY)]]+Table26[[#This Row],[TOTAL STOCKS RECEIVED (QTY)]]-Table26[[#This Row],[TOTAL STOCKS RELEASED (QTY)]]</f>
        <v>22</v>
      </c>
      <c r="G41" s="247" t="str">
        <f t="shared" si="4"/>
        <v>Piece</v>
      </c>
      <c r="H41" s="247">
        <f t="shared" si="5"/>
        <v>1960</v>
      </c>
      <c r="I41" s="247">
        <f t="shared" ca="1" si="6"/>
        <v>0</v>
      </c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</row>
    <row r="42" spans="1:33" s="245" customFormat="1" ht="14.4">
      <c r="A42" s="269">
        <f t="shared" ca="1" si="3"/>
        <v>46223</v>
      </c>
      <c r="B42" t="s">
        <v>221</v>
      </c>
      <c r="C42" s="247">
        <v>42</v>
      </c>
      <c r="D42" s="138">
        <f>SUMIFS('DATA ENTRY - RECEIVED'!F:F,'DATA ENTRY - RECEIVED'!E:E,"=Corrugated box")</f>
        <v>0</v>
      </c>
      <c r="E42" s="138">
        <f>SUMIFS('DATA ENTRY - RELEASED'!C:C,'DATA ENTRY - RELEASED'!B:B,"=Corrugated box")</f>
        <v>7</v>
      </c>
      <c r="F42" s="138">
        <f>Table26[[#This Row],[BEG BALANCE (QTY)]]+Table26[[#This Row],[TOTAL STOCKS RECEIVED (QTY)]]-Table26[[#This Row],[TOTAL STOCKS RELEASED (QTY)]]</f>
        <v>35</v>
      </c>
      <c r="G42" s="247" t="str">
        <f t="shared" si="4"/>
        <v>Set</v>
      </c>
      <c r="H42" s="247">
        <f t="shared" si="5"/>
        <v>313</v>
      </c>
      <c r="I42" s="247">
        <f t="shared" ca="1" si="6"/>
        <v>0</v>
      </c>
      <c r="J42" s="246"/>
      <c r="K42" s="246"/>
      <c r="L42" s="246">
        <v>42</v>
      </c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</row>
    <row r="43" spans="1:33" s="245" customFormat="1" ht="14.4">
      <c r="A43" s="269">
        <f t="shared" ca="1" si="3"/>
        <v>46223</v>
      </c>
      <c r="B43" t="s">
        <v>280</v>
      </c>
      <c r="C43" s="247"/>
      <c r="D43" s="138">
        <f>SUMIFS('DATA ENTRY - RECEIVED'!F:F,'DATA ENTRY - RECEIVED'!E:E,"=File Organizer")</f>
        <v>0</v>
      </c>
      <c r="E43" s="138">
        <f>SUMIFS('DATA ENTRY - RELEASED'!C:C,'DATA ENTRY - RELEASED'!B:B,"=File Organizer")</f>
        <v>0</v>
      </c>
      <c r="F43" s="138">
        <f>Table26[[#This Row],[BEG BALANCE (QTY)]]+Table26[[#This Row],[TOTAL STOCKS RECEIVED (QTY)]]-Table26[[#This Row],[TOTAL STOCKS RELEASED (QTY)]]</f>
        <v>0</v>
      </c>
      <c r="G43" s="247" t="str">
        <f t="shared" si="4"/>
        <v>Piece</v>
      </c>
      <c r="H43" s="247">
        <f t="shared" si="5"/>
        <v>2631</v>
      </c>
      <c r="I43" s="247">
        <f t="shared" ca="1" si="6"/>
        <v>0</v>
      </c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</row>
    <row r="44" spans="1:33" s="245" customFormat="1" ht="14.4">
      <c r="A44" s="269">
        <f t="shared" ca="1" si="3"/>
        <v>46223</v>
      </c>
      <c r="B44" t="s">
        <v>231</v>
      </c>
      <c r="C44" s="247"/>
      <c r="D44" s="138">
        <f>SUMIFS('DATA ENTRY - RECEIVED'!F:F,'DATA ENTRY - RECEIVED'!E:E,"=Empty cartons")</f>
        <v>0</v>
      </c>
      <c r="E44" s="138">
        <f>SUMIFS('DATA ENTRY - RELEASED'!C:C,'DATA ENTRY - RELEASED'!B:B,"=Empty cartons")</f>
        <v>13</v>
      </c>
      <c r="F44" s="138">
        <f>Table26[[#This Row],[BEG BALANCE (QTY)]]+Table26[[#This Row],[TOTAL STOCKS RECEIVED (QTY)]]-Table26[[#This Row],[TOTAL STOCKS RELEASED (QTY)]]</f>
        <v>-13</v>
      </c>
      <c r="G44" s="247" t="str">
        <f t="shared" si="4"/>
        <v>Piece</v>
      </c>
      <c r="H44" s="247">
        <f t="shared" si="5"/>
        <v>312</v>
      </c>
      <c r="I44" s="247">
        <f t="shared" ca="1" si="6"/>
        <v>0</v>
      </c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</row>
    <row r="45" spans="1:33" s="245" customFormat="1" ht="14.4">
      <c r="A45" s="269">
        <f t="shared" ca="1" si="3"/>
        <v>46223</v>
      </c>
      <c r="B45" t="s">
        <v>281</v>
      </c>
      <c r="C45" s="247"/>
      <c r="D45" s="138">
        <f>SUMIFS('DATA ENTRY - RECEIVED'!F:F,'DATA ENTRY - RECEIVED'!E:E,"=Flag 3 x 6")</f>
        <v>0</v>
      </c>
      <c r="E45" s="138">
        <f>SUMIFS('DATA ENTRY - RELEASED'!C:C,'DATA ENTRY - RELEASED'!B:B,"=Flag 3 x 6")</f>
        <v>0</v>
      </c>
      <c r="F45" s="138">
        <f>Table26[[#This Row],[BEG BALANCE (QTY)]]+Table26[[#This Row],[TOTAL STOCKS RECEIVED (QTY)]]-Table26[[#This Row],[TOTAL STOCKS RELEASED (QTY)]]</f>
        <v>0</v>
      </c>
      <c r="G45" s="247" t="str">
        <f t="shared" si="4"/>
        <v>Piece</v>
      </c>
      <c r="H45" s="247">
        <f t="shared" si="5"/>
        <v>2536</v>
      </c>
      <c r="I45" s="247">
        <f t="shared" ca="1" si="6"/>
        <v>0</v>
      </c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  <c r="AF45" s="246"/>
      <c r="AG45" s="246"/>
    </row>
    <row r="46" spans="1:33" s="245" customFormat="1" ht="14.4">
      <c r="A46" s="269">
        <f t="shared" ca="1" si="3"/>
        <v>46223</v>
      </c>
      <c r="B46" t="s">
        <v>282</v>
      </c>
      <c r="C46" s="247"/>
      <c r="D46" s="138">
        <f>SUMIFS('DATA ENTRY - RECEIVED'!F:F,'DATA ENTRY - RECEIVED'!E:E,"=Ink - stamp pad, violet")</f>
        <v>0</v>
      </c>
      <c r="E46" s="138">
        <f>SUMIFS('DATA ENTRY - RELEASED'!C:C,'DATA ENTRY - RELEASED'!B:B,"=Ink - stamp pad, violet")</f>
        <v>0</v>
      </c>
      <c r="F46" s="138">
        <f>Table26[[#This Row],[BEG BALANCE (QTY)]]+Table26[[#This Row],[TOTAL STOCKS RECEIVED (QTY)]]-Table26[[#This Row],[TOTAL STOCKS RELEASED (QTY)]]</f>
        <v>0</v>
      </c>
      <c r="G46" s="247" t="str">
        <f t="shared" si="4"/>
        <v>Bottle</v>
      </c>
      <c r="H46" s="247">
        <f t="shared" si="5"/>
        <v>293</v>
      </c>
      <c r="I46" s="247">
        <f t="shared" ca="1" si="6"/>
        <v>0</v>
      </c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  <c r="AF46" s="246"/>
      <c r="AG46" s="246"/>
    </row>
    <row r="47" spans="1:33" s="245" customFormat="1" ht="14.4">
      <c r="A47" s="269">
        <f t="shared" ca="1" si="3"/>
        <v>46223</v>
      </c>
      <c r="B47" t="s">
        <v>283</v>
      </c>
      <c r="C47" s="247"/>
      <c r="D47" s="138">
        <f>SUMIFS('DATA ENTRY - RECEIVED'!F:F,'DATA ENTRY - RECEIVED'!E:E,"=Ink for trodat dater, black 28ml/bottle")</f>
        <v>0</v>
      </c>
      <c r="E47" s="138">
        <f>SUMIFS('DATA ENTRY - RELEASED'!C:C,'DATA ENTRY - RELEASED'!B:B,"=Ink for trodat dater, black 28ml/bottle")</f>
        <v>0</v>
      </c>
      <c r="F47" s="138">
        <f>Table26[[#This Row],[BEG BALANCE (QTY)]]+Table26[[#This Row],[TOTAL STOCKS RECEIVED (QTY)]]-Table26[[#This Row],[TOTAL STOCKS RELEASED (QTY)]]</f>
        <v>0</v>
      </c>
      <c r="G47" s="247" t="str">
        <f t="shared" si="4"/>
        <v>Bottle</v>
      </c>
      <c r="H47" s="247">
        <f t="shared" si="5"/>
        <v>2340</v>
      </c>
      <c r="I47" s="247">
        <f t="shared" ca="1" si="6"/>
        <v>0</v>
      </c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</row>
    <row r="48" spans="1:33" s="245" customFormat="1" ht="14.4">
      <c r="A48" s="269">
        <f t="shared" ca="1" si="3"/>
        <v>46223</v>
      </c>
      <c r="B48" t="s">
        <v>232</v>
      </c>
      <c r="C48" s="247"/>
      <c r="D48" s="138">
        <f>SUMIFS('DATA ENTRY - RECEIVED'!F:F,'DATA ENTRY - RECEIVED'!E:E,"=Ink stamp pad, black")</f>
        <v>0</v>
      </c>
      <c r="E48" s="138">
        <f>SUMIFS('DATA ENTRY - RELEASED'!C:C,'DATA ENTRY - RELEASED'!B:B,"=Ink stamp pad, black")</f>
        <v>1</v>
      </c>
      <c r="F48" s="138">
        <f>Table26[[#This Row],[BEG BALANCE (QTY)]]+Table26[[#This Row],[TOTAL STOCKS RECEIVED (QTY)]]-Table26[[#This Row],[TOTAL STOCKS RELEASED (QTY)]]</f>
        <v>-1</v>
      </c>
      <c r="G48" s="247" t="str">
        <f t="shared" si="4"/>
        <v>Piece</v>
      </c>
      <c r="H48" s="247">
        <f t="shared" si="5"/>
        <v>2136</v>
      </c>
      <c r="I48" s="247">
        <f t="shared" ca="1" si="6"/>
        <v>0</v>
      </c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6"/>
    </row>
    <row r="49" spans="1:33" s="245" customFormat="1" ht="14.4">
      <c r="A49" s="269">
        <f t="shared" ca="1" si="3"/>
        <v>46223</v>
      </c>
      <c r="B49" t="s">
        <v>24</v>
      </c>
      <c r="C49" s="247"/>
      <c r="D49" s="138">
        <f>SUMIFS('DATA ENTRY - RECEIVED'!F:F,'DATA ENTRY - RECEIVED'!E:E,"=Marking pen")</f>
        <v>23</v>
      </c>
      <c r="E49" s="138">
        <f>SUMIFS('DATA ENTRY - RELEASED'!C:C,'DATA ENTRY - RELEASED'!B:B,"=Marking pen")</f>
        <v>0</v>
      </c>
      <c r="F49" s="138">
        <f>Table26[[#This Row],[BEG BALANCE (QTY)]]+Table26[[#This Row],[TOTAL STOCKS RECEIVED (QTY)]]-Table26[[#This Row],[TOTAL STOCKS RELEASED (QTY)]]</f>
        <v>23</v>
      </c>
      <c r="G49" s="247" t="str">
        <f t="shared" si="4"/>
        <v>Piece</v>
      </c>
      <c r="H49" s="247">
        <f t="shared" si="5"/>
        <v>338</v>
      </c>
      <c r="I49" s="247">
        <f t="shared" ca="1" si="6"/>
        <v>0</v>
      </c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</row>
    <row r="50" spans="1:33" s="245" customFormat="1" ht="14.4">
      <c r="A50" s="269">
        <f t="shared" ca="1" si="3"/>
        <v>46223</v>
      </c>
      <c r="B50" t="s">
        <v>284</v>
      </c>
      <c r="C50" s="247"/>
      <c r="D50" s="138">
        <f>SUMIFS('DATA ENTRY - RECEIVED'!F:F,'DATA ENTRY - RECEIVED'!E:E,"=Marking pen - whiteboard")</f>
        <v>0</v>
      </c>
      <c r="E50" s="138">
        <f>SUMIFS('DATA ENTRY - RELEASED'!C:C,'DATA ENTRY - RELEASED'!B:B,"=Marking pen - whiteboard")</f>
        <v>0</v>
      </c>
      <c r="F50" s="138">
        <f>Table26[[#This Row],[BEG BALANCE (QTY)]]+Table26[[#This Row],[TOTAL STOCKS RECEIVED (QTY)]]-Table26[[#This Row],[TOTAL STOCKS RELEASED (QTY)]]</f>
        <v>0</v>
      </c>
      <c r="G50" s="247" t="str">
        <f t="shared" si="4"/>
        <v>Piece</v>
      </c>
      <c r="H50" s="247">
        <f t="shared" si="5"/>
        <v>345</v>
      </c>
      <c r="I50" s="247">
        <f t="shared" ca="1" si="6"/>
        <v>0</v>
      </c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</row>
    <row r="51" spans="1:33" s="245" customFormat="1" ht="14.4">
      <c r="A51" s="269">
        <f t="shared" ca="1" si="3"/>
        <v>46223</v>
      </c>
      <c r="B51" t="s">
        <v>21</v>
      </c>
      <c r="C51" s="247"/>
      <c r="D51" s="138">
        <f>SUMIFS('DATA ENTRY - RECEIVED'!F:F,'DATA ENTRY - RECEIVED'!E:E,"=Packaging tape 2”")</f>
        <v>41</v>
      </c>
      <c r="E51" s="138">
        <f>SUMIFS('DATA ENTRY - RELEASED'!C:C,'DATA ENTRY - RELEASED'!B:B,"=Packaging tape 2”")</f>
        <v>32</v>
      </c>
      <c r="F51" s="138">
        <f>Table26[[#This Row],[BEG BALANCE (QTY)]]+Table26[[#This Row],[TOTAL STOCKS RECEIVED (QTY)]]-Table26[[#This Row],[TOTAL STOCKS RELEASED (QTY)]]</f>
        <v>9</v>
      </c>
      <c r="G51" s="247" t="str">
        <f t="shared" si="4"/>
        <v>Roll</v>
      </c>
      <c r="H51" s="247">
        <f t="shared" si="5"/>
        <v>2537</v>
      </c>
      <c r="I51" s="247">
        <f t="shared" ca="1" si="6"/>
        <v>0</v>
      </c>
      <c r="J51" s="246"/>
      <c r="K51" s="246"/>
      <c r="L51" s="246">
        <v>10</v>
      </c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</row>
    <row r="52" spans="1:33" s="245" customFormat="1" ht="14.4">
      <c r="A52" s="269">
        <f t="shared" ca="1" si="3"/>
        <v>46223</v>
      </c>
      <c r="B52" t="s">
        <v>22</v>
      </c>
      <c r="C52" s="247">
        <v>234</v>
      </c>
      <c r="D52" s="138">
        <v>22</v>
      </c>
      <c r="E52" s="138">
        <f>SUMIFS('DATA ENTRY - RELEASED'!C:C,'DATA ENTRY - RELEASED'!B:B,"=Paper – tissue")</f>
        <v>180</v>
      </c>
      <c r="F52" s="138">
        <f>Table26[[#This Row],[BEG BALANCE (QTY)]]+Table26[[#This Row],[TOTAL STOCKS RECEIVED (QTY)]]-Table26[[#This Row],[TOTAL STOCKS RELEASED (QTY)]]</f>
        <v>76</v>
      </c>
      <c r="G52" s="247" t="str">
        <f t="shared" si="4"/>
        <v>Roll</v>
      </c>
      <c r="H52" s="247">
        <f t="shared" si="5"/>
        <v>281</v>
      </c>
      <c r="I52" s="247">
        <f t="shared" ca="1" si="6"/>
        <v>0</v>
      </c>
      <c r="J52" s="246"/>
      <c r="K52" s="246"/>
      <c r="L52" s="246">
        <v>116</v>
      </c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  <c r="AF52" s="246"/>
      <c r="AG52" s="246"/>
    </row>
    <row r="53" spans="1:33" s="245" customFormat="1" ht="14.4">
      <c r="A53" s="269">
        <f t="shared" ca="1" si="3"/>
        <v>46223</v>
      </c>
      <c r="B53" t="s">
        <v>65</v>
      </c>
      <c r="C53" s="247">
        <v>13</v>
      </c>
      <c r="D53" s="138">
        <f>SUMIFS('DATA ENTRY - RECEIVED'!F:F,'DATA ENTRY - RECEIVED'!E:E,"=Paper clip big")</f>
        <v>0</v>
      </c>
      <c r="E53" s="138">
        <f>SUMIFS('DATA ENTRY - RELEASED'!C:C,'DATA ENTRY - RELEASED'!B:B,"=Paper clip big")</f>
        <v>0</v>
      </c>
      <c r="F53" s="138">
        <f>Table26[[#This Row],[BEG BALANCE (QTY)]]+Table26[[#This Row],[TOTAL STOCKS RECEIVED (QTY)]]-Table26[[#This Row],[TOTAL STOCKS RELEASED (QTY)]]</f>
        <v>13</v>
      </c>
      <c r="G53" s="247" t="str">
        <f t="shared" si="4"/>
        <v>Box</v>
      </c>
      <c r="H53" s="247">
        <f t="shared" si="5"/>
        <v>2538</v>
      </c>
      <c r="I53" s="247">
        <f t="shared" ca="1" si="6"/>
        <v>0</v>
      </c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  <c r="AF53" s="246"/>
      <c r="AG53" s="246"/>
    </row>
    <row r="54" spans="1:33" s="245" customFormat="1" ht="14.4">
      <c r="A54" s="269">
        <f t="shared" ca="1" si="3"/>
        <v>46223</v>
      </c>
      <c r="B54" t="s">
        <v>58</v>
      </c>
      <c r="C54" s="247">
        <v>8</v>
      </c>
      <c r="D54" s="138">
        <f>SUMIFS('DATA ENTRY - RECEIVED'!F:F,'DATA ENTRY - RECEIVED'!E:E,"=Paper clip, 100 pcs")</f>
        <v>5</v>
      </c>
      <c r="E54" s="138">
        <f>SUMIFS('DATA ENTRY - RELEASED'!C:C,'DATA ENTRY - RELEASED'!B:B,"=Paper clip, 100 pcs")</f>
        <v>0</v>
      </c>
      <c r="F54" s="138">
        <f>Table26[[#This Row],[BEG BALANCE (QTY)]]+Table26[[#This Row],[TOTAL STOCKS RECEIVED (QTY)]]-Table26[[#This Row],[TOTAL STOCKS RELEASED (QTY)]]</f>
        <v>13</v>
      </c>
      <c r="G54" s="247" t="str">
        <f t="shared" si="4"/>
        <v>Box</v>
      </c>
      <c r="H54" s="247">
        <f t="shared" si="5"/>
        <v>306</v>
      </c>
      <c r="I54" s="247">
        <f t="shared" ca="1" si="6"/>
        <v>0</v>
      </c>
      <c r="J54" s="246"/>
      <c r="K54" s="246"/>
      <c r="L54" s="246">
        <v>13</v>
      </c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  <c r="AF54" s="246"/>
      <c r="AG54" s="246"/>
    </row>
    <row r="55" spans="1:33" s="245" customFormat="1" ht="14.4">
      <c r="A55" s="269">
        <f t="shared" ca="1" si="3"/>
        <v>46223</v>
      </c>
      <c r="B55" t="s">
        <v>285</v>
      </c>
      <c r="C55" s="247">
        <v>7</v>
      </c>
      <c r="D55" s="138">
        <f>SUMIFS('DATA ENTRY - RECEIVED'!F:F,'DATA ENTRY - RECEIVED'!E:E,"=Paper fastener, 50 pcs")</f>
        <v>0</v>
      </c>
      <c r="E55" s="138">
        <f>SUMIFS('DATA ENTRY - RELEASED'!C:C,'DATA ENTRY - RELEASED'!B:B,"=Paper fastener, 50 pcs")</f>
        <v>0</v>
      </c>
      <c r="F55" s="138">
        <f>Table26[[#This Row],[BEG BALANCE (QTY)]]+Table26[[#This Row],[TOTAL STOCKS RECEIVED (QTY)]]-Table26[[#This Row],[TOTAL STOCKS RELEASED (QTY)]]</f>
        <v>7</v>
      </c>
      <c r="G55" s="247" t="str">
        <f t="shared" si="4"/>
        <v>Box</v>
      </c>
      <c r="H55" s="247">
        <f t="shared" si="5"/>
        <v>305</v>
      </c>
      <c r="I55" s="247">
        <f t="shared" ca="1" si="6"/>
        <v>0</v>
      </c>
      <c r="J55" s="246"/>
      <c r="K55" s="246"/>
      <c r="L55" s="246">
        <v>7</v>
      </c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</row>
    <row r="56" spans="1:33" s="245" customFormat="1" ht="14.4">
      <c r="A56" s="269">
        <f t="shared" ca="1" si="3"/>
        <v>46223</v>
      </c>
      <c r="B56" t="s">
        <v>17</v>
      </c>
      <c r="C56" s="247"/>
      <c r="D56" s="138">
        <f>SUMIFS('DATA ENTRY - RECEIVED'!F:F,'DATA ENTRY - RECEIVED'!E:E,"=Paste - solid w/ waterwell and applicator")</f>
        <v>81</v>
      </c>
      <c r="E56" s="138">
        <f>SUMIFS('DATA ENTRY - RELEASED'!C:C,'DATA ENTRY - RELEASED'!B:B,"=Paste - solid w/ waterwell and applicator")</f>
        <v>0</v>
      </c>
      <c r="F56" s="138">
        <f>Table26[[#This Row],[BEG BALANCE (QTY)]]+Table26[[#This Row],[TOTAL STOCKS RECEIVED (QTY)]]-Table26[[#This Row],[TOTAL STOCKS RELEASED (QTY)]]</f>
        <v>81</v>
      </c>
      <c r="G56" s="247" t="str">
        <f t="shared" si="4"/>
        <v>Piece</v>
      </c>
      <c r="H56" s="247">
        <f t="shared" si="5"/>
        <v>336</v>
      </c>
      <c r="I56" s="247">
        <f t="shared" ca="1" si="6"/>
        <v>0</v>
      </c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  <c r="AF56" s="246"/>
      <c r="AG56" s="246"/>
    </row>
    <row r="57" spans="1:33" s="245" customFormat="1" ht="14.4">
      <c r="A57" s="269">
        <f t="shared" ca="1" si="3"/>
        <v>46223</v>
      </c>
      <c r="B57" t="s">
        <v>286</v>
      </c>
      <c r="C57" s="247"/>
      <c r="D57" s="138">
        <f>SUMIFS('DATA ENTRY - RECEIVED'!F:F,'DATA ENTRY - RECEIVED'!E:E,"=Plastic envelope, 10 x 15 gauge no. 5")</f>
        <v>0</v>
      </c>
      <c r="E57" s="138">
        <f>SUMIFS('DATA ENTRY - RELEASED'!C:C,'DATA ENTRY - RELEASED'!B:B,"=Plastic envelope, 10 x 15 gauge no. 5")</f>
        <v>0</v>
      </c>
      <c r="F57" s="138">
        <f>Table26[[#This Row],[BEG BALANCE (QTY)]]+Table26[[#This Row],[TOTAL STOCKS RECEIVED (QTY)]]-Table26[[#This Row],[TOTAL STOCKS RELEASED (QTY)]]</f>
        <v>0</v>
      </c>
      <c r="G57" s="247" t="str">
        <f t="shared" si="4"/>
        <v>Piece</v>
      </c>
      <c r="H57" s="247">
        <f t="shared" si="5"/>
        <v>1972</v>
      </c>
      <c r="I57" s="247">
        <f t="shared" ca="1" si="6"/>
        <v>0</v>
      </c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</row>
    <row r="58" spans="1:33" s="245" customFormat="1" ht="14.4">
      <c r="A58" s="269">
        <f t="shared" ca="1" si="3"/>
        <v>46223</v>
      </c>
      <c r="B58" t="s">
        <v>287</v>
      </c>
      <c r="C58" s="247"/>
      <c r="D58" s="138">
        <f>SUMIFS('DATA ENTRY - RECEIVED'!F:F,'DATA ENTRY - RECEIVED'!E:E,"=Rag - camiseta")</f>
        <v>0</v>
      </c>
      <c r="E58" s="138">
        <f>SUMIFS('DATA ENTRY - RELEASED'!C:C,'DATA ENTRY - RELEASED'!B:B,"=Rag - camiseta")</f>
        <v>0</v>
      </c>
      <c r="F58" s="138">
        <f>Table26[[#This Row],[BEG BALANCE (QTY)]]+Table26[[#This Row],[TOTAL STOCKS RECEIVED (QTY)]]-Table26[[#This Row],[TOTAL STOCKS RELEASED (QTY)]]</f>
        <v>0</v>
      </c>
      <c r="G58" s="247" t="str">
        <f t="shared" si="4"/>
        <v>Kilo</v>
      </c>
      <c r="H58" s="247">
        <f t="shared" si="5"/>
        <v>309</v>
      </c>
      <c r="I58" s="247">
        <f t="shared" ca="1" si="6"/>
        <v>0</v>
      </c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  <c r="AF58" s="246"/>
      <c r="AG58" s="246"/>
    </row>
    <row r="59" spans="1:33" s="245" customFormat="1" ht="14.4">
      <c r="A59" s="269">
        <f t="shared" ca="1" si="3"/>
        <v>46223</v>
      </c>
      <c r="B59" t="s">
        <v>288</v>
      </c>
      <c r="C59" s="247"/>
      <c r="D59" s="138">
        <f>SUMIFS('DATA ENTRY - RECEIVED'!F:F,'DATA ENTRY - RECEIVED'!E:E,"=Record book, 300 pages")</f>
        <v>0</v>
      </c>
      <c r="E59" s="138">
        <f>SUMIFS('DATA ENTRY - RELEASED'!C:C,'DATA ENTRY - RELEASED'!B:B,"=Record book, 300 pages")</f>
        <v>0</v>
      </c>
      <c r="F59" s="138">
        <f>Table26[[#This Row],[BEG BALANCE (QTY)]]+Table26[[#This Row],[TOTAL STOCKS RECEIVED (QTY)]]-Table26[[#This Row],[TOTAL STOCKS RELEASED (QTY)]]</f>
        <v>0</v>
      </c>
      <c r="G59" s="247" t="str">
        <f t="shared" si="4"/>
        <v>Piece</v>
      </c>
      <c r="H59" s="247">
        <f t="shared" si="5"/>
        <v>333</v>
      </c>
      <c r="I59" s="247">
        <f t="shared" ca="1" si="6"/>
        <v>0</v>
      </c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6"/>
    </row>
    <row r="60" spans="1:33" s="245" customFormat="1" ht="14.4">
      <c r="A60" s="269">
        <f t="shared" ca="1" si="3"/>
        <v>46223</v>
      </c>
      <c r="B60" t="s">
        <v>26</v>
      </c>
      <c r="C60" s="247"/>
      <c r="D60" s="138">
        <f>SUMIFS('DATA ENTRY - RECEIVED'!F:F,'DATA ENTRY - RECEIVED'!E:E,"=Rubber band - multicolor, 450 grams")</f>
        <v>5</v>
      </c>
      <c r="E60" s="138">
        <f>SUMIFS('DATA ENTRY - RELEASED'!C:C,'DATA ENTRY - RELEASED'!B:B,"=Rubber band - multicolor, 450 grams")</f>
        <v>0</v>
      </c>
      <c r="F60" s="138">
        <f>Table26[[#This Row],[BEG BALANCE (QTY)]]+Table26[[#This Row],[TOTAL STOCKS RECEIVED (QTY)]]-Table26[[#This Row],[TOTAL STOCKS RELEASED (QTY)]]</f>
        <v>5</v>
      </c>
      <c r="G60" s="247" t="str">
        <f t="shared" si="4"/>
        <v>Box</v>
      </c>
      <c r="H60" s="247">
        <f t="shared" si="5"/>
        <v>307</v>
      </c>
      <c r="I60" s="247">
        <f t="shared" ca="1" si="6"/>
        <v>0</v>
      </c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</row>
    <row r="61" spans="1:33" s="245" customFormat="1" ht="14.4">
      <c r="A61" s="269">
        <f t="shared" ca="1" si="3"/>
        <v>46223</v>
      </c>
      <c r="B61" t="s">
        <v>27</v>
      </c>
      <c r="C61" s="247"/>
      <c r="D61" s="138">
        <f>SUMIFS('DATA ENTRY - RECEIVED'!F:F,'DATA ENTRY - RECEIVED'!E:E,"=Rubber band - transparent 445 grams")</f>
        <v>5</v>
      </c>
      <c r="E61" s="138">
        <f>SUMIFS('DATA ENTRY - RELEASED'!C:C,'DATA ENTRY - RELEASED'!B:B,"=Rubber band - transparent 445 grams")</f>
        <v>3</v>
      </c>
      <c r="F61" s="138">
        <f>Table26[[#This Row],[BEG BALANCE (QTY)]]+Table26[[#This Row],[TOTAL STOCKS RECEIVED (QTY)]]-Table26[[#This Row],[TOTAL STOCKS RELEASED (QTY)]]</f>
        <v>2</v>
      </c>
      <c r="G61" s="247" t="str">
        <f t="shared" si="4"/>
        <v>Bag</v>
      </c>
      <c r="H61" s="247">
        <f t="shared" si="5"/>
        <v>308</v>
      </c>
      <c r="I61" s="247">
        <f t="shared" ca="1" si="6"/>
        <v>0</v>
      </c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  <c r="AF61" s="246"/>
      <c r="AG61" s="246"/>
    </row>
    <row r="62" spans="1:33" s="245" customFormat="1" ht="14.4">
      <c r="A62" s="269">
        <f t="shared" ca="1" si="3"/>
        <v>46223</v>
      </c>
      <c r="B62" t="s">
        <v>289</v>
      </c>
      <c r="C62" s="247"/>
      <c r="D62" s="138">
        <f>SUMIFS('DATA ENTRY - RECEIVED'!F:F,'DATA ENTRY - RECEIVED'!E:E,"=Ruler - plastic")</f>
        <v>0</v>
      </c>
      <c r="E62" s="138">
        <f>SUMIFS('DATA ENTRY - RELEASED'!C:C,'DATA ENTRY - RELEASED'!B:B,"=Ruler - plastic")</f>
        <v>0</v>
      </c>
      <c r="F62" s="138">
        <f>Table26[[#This Row],[BEG BALANCE (QTY)]]+Table26[[#This Row],[TOTAL STOCKS RECEIVED (QTY)]]-Table26[[#This Row],[TOTAL STOCKS RELEASED (QTY)]]</f>
        <v>0</v>
      </c>
      <c r="G62" s="247" t="str">
        <f t="shared" si="4"/>
        <v>Piece</v>
      </c>
      <c r="H62" s="247">
        <f t="shared" si="5"/>
        <v>341</v>
      </c>
      <c r="I62" s="247">
        <f t="shared" ca="1" si="6"/>
        <v>0</v>
      </c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</row>
    <row r="63" spans="1:33" s="245" customFormat="1" ht="14.4">
      <c r="A63" s="269">
        <f t="shared" ca="1" si="3"/>
        <v>46223</v>
      </c>
      <c r="B63" t="s">
        <v>81</v>
      </c>
      <c r="C63" s="247"/>
      <c r="D63" s="138">
        <f>SUMIFS('DATA ENTRY - RECEIVED'!F:F,'DATA ENTRY - RECEIVED'!E:E,"=Sign pen")</f>
        <v>2</v>
      </c>
      <c r="E63" s="138">
        <f>SUMIFS('DATA ENTRY - RELEASED'!C:C,'DATA ENTRY - RELEASED'!B:B,"=Sign pen")</f>
        <v>0</v>
      </c>
      <c r="F63" s="138">
        <f>Table26[[#This Row],[BEG BALANCE (QTY)]]+Table26[[#This Row],[TOTAL STOCKS RECEIVED (QTY)]]-Table26[[#This Row],[TOTAL STOCKS RELEASED (QTY)]]</f>
        <v>2</v>
      </c>
      <c r="G63" s="247" t="str">
        <f t="shared" si="4"/>
        <v>Piece</v>
      </c>
      <c r="H63" s="247">
        <f t="shared" si="5"/>
        <v>339</v>
      </c>
      <c r="I63" s="247">
        <f t="shared" ca="1" si="6"/>
        <v>0</v>
      </c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  <c r="AF63" s="246"/>
      <c r="AG63" s="246"/>
    </row>
    <row r="64" spans="1:33" s="245" customFormat="1" ht="14.4">
      <c r="A64" s="269">
        <f t="shared" ca="1" si="3"/>
        <v>46223</v>
      </c>
      <c r="B64" t="s">
        <v>203</v>
      </c>
      <c r="C64" s="247">
        <v>2</v>
      </c>
      <c r="D64" s="138">
        <f>SUMIFS('DATA ENTRY - RECEIVED'!F:F,'DATA ENTRY - RECEIVED'!E:E,"=Stamp pad - big 3-7/16 x 5-5/8")</f>
        <v>0</v>
      </c>
      <c r="E64" s="138">
        <f>SUMIFS('DATA ENTRY - RELEASED'!C:C,'DATA ENTRY - RELEASED'!B:B,"=Stamp pad - big 3-7/16 x 5-5/8")</f>
        <v>2</v>
      </c>
      <c r="F64" s="138">
        <f>Table26[[#This Row],[BEG BALANCE (QTY)]]+Table26[[#This Row],[TOTAL STOCKS RECEIVED (QTY)]]-Table26[[#This Row],[TOTAL STOCKS RELEASED (QTY)]]</f>
        <v>0</v>
      </c>
      <c r="G64" s="247" t="str">
        <f t="shared" si="4"/>
        <v>Piece</v>
      </c>
      <c r="H64" s="247">
        <f t="shared" si="5"/>
        <v>342</v>
      </c>
      <c r="I64" s="247">
        <f t="shared" ca="1" si="6"/>
        <v>0</v>
      </c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</row>
    <row r="65" spans="1:33" s="245" customFormat="1" ht="14.4">
      <c r="A65" s="269">
        <f t="shared" ca="1" si="3"/>
        <v>46223</v>
      </c>
      <c r="B65" t="s">
        <v>290</v>
      </c>
      <c r="C65" s="247"/>
      <c r="D65" s="138">
        <f>SUMIFS('DATA ENTRY - RECEIVED'!F:F,'DATA ENTRY - RECEIVED'!E:E,"=Staple wire remover")</f>
        <v>0</v>
      </c>
      <c r="E65" s="138">
        <f>SUMIFS('DATA ENTRY - RELEASED'!C:C,'DATA ENTRY - RELEASED'!B:B,"=Staple wire remover")</f>
        <v>0</v>
      </c>
      <c r="F65" s="138">
        <f>Table26[[#This Row],[BEG BALANCE (QTY)]]+Table26[[#This Row],[TOTAL STOCKS RECEIVED (QTY)]]-Table26[[#This Row],[TOTAL STOCKS RELEASED (QTY)]]</f>
        <v>0</v>
      </c>
      <c r="G65" s="247" t="str">
        <f t="shared" si="4"/>
        <v>Piece</v>
      </c>
      <c r="H65" s="247">
        <f t="shared" si="5"/>
        <v>343</v>
      </c>
      <c r="I65" s="247">
        <f t="shared" ca="1" si="6"/>
        <v>0</v>
      </c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  <c r="AF65" s="246"/>
      <c r="AG65" s="246"/>
    </row>
    <row r="66" spans="1:33" s="245" customFormat="1" ht="14.4">
      <c r="A66" s="269">
        <f t="shared" ca="1" si="3"/>
        <v>46223</v>
      </c>
      <c r="B66" t="s">
        <v>30</v>
      </c>
      <c r="C66" s="247">
        <v>24</v>
      </c>
      <c r="D66" s="138">
        <f>SUMIFS('DATA ENTRY - RECEIVED'!F:F,'DATA ENTRY - RECEIVED'!E:E,"=Staple wire, 5000 pcs")</f>
        <v>359</v>
      </c>
      <c r="E66" s="138">
        <f>SUMIFS('DATA ENTRY - RELEASED'!C:C,'DATA ENTRY - RELEASED'!B:B,"=Staple wire, 5000 pcs")</f>
        <v>313</v>
      </c>
      <c r="F66" s="138">
        <f>Table26[[#This Row],[BEG BALANCE (QTY)]]+Table26[[#This Row],[TOTAL STOCKS RECEIVED (QTY)]]-Table26[[#This Row],[TOTAL STOCKS RELEASED (QTY)]]</f>
        <v>70</v>
      </c>
      <c r="G66" s="247" t="str">
        <f t="shared" si="4"/>
        <v>Box</v>
      </c>
      <c r="H66" s="247">
        <f t="shared" si="5"/>
        <v>310</v>
      </c>
      <c r="I66" s="247">
        <f t="shared" ca="1" si="6"/>
        <v>0</v>
      </c>
      <c r="J66" s="246"/>
      <c r="K66" s="246"/>
      <c r="L66" s="246">
        <v>25</v>
      </c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  <c r="AF66" s="246"/>
      <c r="AG66" s="246"/>
    </row>
    <row r="67" spans="1:33" s="245" customFormat="1" ht="14.4">
      <c r="A67" s="269">
        <f t="shared" ca="1" si="3"/>
        <v>46223</v>
      </c>
      <c r="B67" t="s">
        <v>291</v>
      </c>
      <c r="C67" s="247"/>
      <c r="D67" s="138">
        <f>SUMIFS('DATA ENTRY - RECEIVED'!F:F,'DATA ENTRY - RECEIVED'!E:E,"=Steno notebook, 50 sheets per pad")</f>
        <v>0</v>
      </c>
      <c r="E67" s="138">
        <f>SUMIFS('DATA ENTRY - RELEASED'!C:C,'DATA ENTRY - RELEASED'!B:B,"=Steno notebook, 50 sheets per pad")</f>
        <v>0</v>
      </c>
      <c r="F67" s="138">
        <f>Table26[[#This Row],[BEG BALANCE (QTY)]]+Table26[[#This Row],[TOTAL STOCKS RECEIVED (QTY)]]-Table26[[#This Row],[TOTAL STOCKS RELEASED (QTY)]]</f>
        <v>0</v>
      </c>
      <c r="G67" s="247" t="str">
        <f t="shared" si="4"/>
        <v>Piece</v>
      </c>
      <c r="H67" s="247">
        <f t="shared" si="5"/>
        <v>334</v>
      </c>
      <c r="I67" s="247">
        <f t="shared" ref="I67:I84" ca="1" si="7">IFERROR(VLOOKUP(A67,YEAR2023,2,0),"-")</f>
        <v>0</v>
      </c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</row>
    <row r="68" spans="1:33" s="245" customFormat="1" ht="14.4">
      <c r="A68" s="269">
        <f t="shared" ref="A68:A86" ca="1" si="8">TODAY()</f>
        <v>46223</v>
      </c>
      <c r="B68" t="s">
        <v>19</v>
      </c>
      <c r="C68" s="247"/>
      <c r="D68" s="138">
        <f>SUMIFS('DATA ENTRY - RECEIVED'!F:F,'DATA ENTRY - RECEIVED'!E:E,"=Tape - masking 1")</f>
        <v>60</v>
      </c>
      <c r="E68" s="138">
        <f>SUMIFS('DATA ENTRY - RELEASED'!C:C,'DATA ENTRY - RELEASED'!B:B,"=Tape - masking 1")</f>
        <v>22</v>
      </c>
      <c r="F68" s="138">
        <f>Table26[[#This Row],[BEG BALANCE (QTY)]]+Table26[[#This Row],[TOTAL STOCKS RECEIVED (QTY)]]-Table26[[#This Row],[TOTAL STOCKS RELEASED (QTY)]]</f>
        <v>38</v>
      </c>
      <c r="G68" s="247" t="str">
        <f t="shared" si="4"/>
        <v>Roll</v>
      </c>
      <c r="H68" s="247">
        <f t="shared" si="5"/>
        <v>300</v>
      </c>
      <c r="I68" s="247">
        <f t="shared" ca="1" si="7"/>
        <v>0</v>
      </c>
      <c r="J68" s="246"/>
      <c r="K68" s="246"/>
      <c r="L68" s="246">
        <v>15</v>
      </c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</row>
    <row r="69" spans="1:33" s="245" customFormat="1" ht="14.4">
      <c r="A69" s="269">
        <f t="shared" ca="1" si="8"/>
        <v>46223</v>
      </c>
      <c r="B69" t="s">
        <v>15</v>
      </c>
      <c r="C69" s="247"/>
      <c r="D69" s="138">
        <f>SUMIFS('DATA ENTRY - RECEIVED'!F:F,'DATA ENTRY - RECEIVED'!E:E,"=Tape - transparent 1")</f>
        <v>192</v>
      </c>
      <c r="E69" s="138">
        <f>SUMIFS('DATA ENTRY - RELEASED'!C:C,'DATA ENTRY - RELEASED'!B:B,"=Tape - transparent 1")</f>
        <v>167</v>
      </c>
      <c r="F69" s="138">
        <f>Table26[[#This Row],[BEG BALANCE (QTY)]]+Table26[[#This Row],[TOTAL STOCKS RECEIVED (QTY)]]-Table26[[#This Row],[TOTAL STOCKS RELEASED (QTY)]]</f>
        <v>25</v>
      </c>
      <c r="G69" s="247" t="str">
        <f t="shared" si="4"/>
        <v>Roll</v>
      </c>
      <c r="H69" s="247">
        <f t="shared" si="5"/>
        <v>301</v>
      </c>
      <c r="I69" s="247">
        <f t="shared" ca="1" si="7"/>
        <v>0</v>
      </c>
      <c r="J69" s="246"/>
      <c r="K69" s="246"/>
      <c r="L69" s="246">
        <v>5</v>
      </c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</row>
    <row r="70" spans="1:33" s="245" customFormat="1" ht="14.4">
      <c r="A70" s="269">
        <f t="shared" ca="1" si="8"/>
        <v>46223</v>
      </c>
      <c r="B70" t="s">
        <v>292</v>
      </c>
      <c r="C70" s="247"/>
      <c r="D70" s="138">
        <f>SUMIFS('DATA ENTRY - RECEIVED'!F:F,'DATA ENTRY - RECEIVED'!E:E,"=Twine - plastic")</f>
        <v>0</v>
      </c>
      <c r="E70" s="138">
        <f>SUMIFS('DATA ENTRY - RELEASED'!C:C,'DATA ENTRY - RELEASED'!B:B,"=Twine - plastic")</f>
        <v>0</v>
      </c>
      <c r="F70" s="138">
        <f>Table26[[#This Row],[BEG BALANCE (QTY)]]+Table26[[#This Row],[TOTAL STOCKS RECEIVED (QTY)]]-Table26[[#This Row],[TOTAL STOCKS RELEASED (QTY)]]</f>
        <v>0</v>
      </c>
      <c r="G70" s="247" t="str">
        <f t="shared" si="4"/>
        <v>Roll</v>
      </c>
      <c r="H70" s="247">
        <f t="shared" si="5"/>
        <v>311</v>
      </c>
      <c r="I70" s="247">
        <f t="shared" ca="1" si="7"/>
        <v>0</v>
      </c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</row>
    <row r="71" spans="1:33" s="245" customFormat="1" ht="14.4">
      <c r="A71" s="269">
        <f t="shared" ca="1" si="8"/>
        <v>46223</v>
      </c>
      <c r="B71" t="s">
        <v>293</v>
      </c>
      <c r="C71" s="247"/>
      <c r="D71" s="138">
        <f>SUMIFS('DATA ENTRY - RECEIVED'!F:F,'DATA ENTRY - RECEIVED'!E:E,"=Waste basket")</f>
        <v>0</v>
      </c>
      <c r="E71" s="138">
        <f>SUMIFS('DATA ENTRY - RELEASED'!C:C,'DATA ENTRY - RELEASED'!B:B,"=Waste basket")</f>
        <v>0</v>
      </c>
      <c r="F71" s="138">
        <f>Table26[[#This Row],[BEG BALANCE (QTY)]]+Table26[[#This Row],[TOTAL STOCKS RECEIVED (QTY)]]-Table26[[#This Row],[TOTAL STOCKS RELEASED (QTY)]]</f>
        <v>0</v>
      </c>
      <c r="G71" s="247" t="str">
        <f t="shared" si="4"/>
        <v>Piece</v>
      </c>
      <c r="H71" s="247">
        <f t="shared" si="5"/>
        <v>344</v>
      </c>
      <c r="I71" s="247">
        <f t="shared" ca="1" si="7"/>
        <v>0</v>
      </c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</row>
    <row r="72" spans="1:33" s="245" customFormat="1" ht="14.4">
      <c r="A72" s="269">
        <f t="shared" ca="1" si="8"/>
        <v>46223</v>
      </c>
      <c r="B72" t="s">
        <v>294</v>
      </c>
      <c r="C72" s="247"/>
      <c r="D72" s="138">
        <f>SUMIFS('DATA ENTRY - RECEIVED'!F:F,'DATA ENTRY - RECEIVED'!E:E,"=Drum for brother hl 5450 printer")</f>
        <v>0</v>
      </c>
      <c r="E72" s="138">
        <f>SUMIFS('DATA ENTRY - RELEASED'!C:C,'DATA ENTRY - RELEASED'!B:B,"=Drum for brother hl 5450 printer")</f>
        <v>0</v>
      </c>
      <c r="F72" s="138">
        <f>Table26[[#This Row],[BEG BALANCE (QTY)]]+Table26[[#This Row],[TOTAL STOCKS RECEIVED (QTY)]]-Table26[[#This Row],[TOTAL STOCKS RELEASED (QTY)]]</f>
        <v>0</v>
      </c>
      <c r="G72" s="247" t="str">
        <f t="shared" si="4"/>
        <v>Piece</v>
      </c>
      <c r="H72" s="247">
        <f t="shared" si="5"/>
        <v>2252</v>
      </c>
      <c r="I72" s="247">
        <f t="shared" ca="1" si="7"/>
        <v>0</v>
      </c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</row>
    <row r="73" spans="1:33" s="245" customFormat="1" ht="14.4">
      <c r="A73" s="269">
        <f t="shared" ca="1" si="8"/>
        <v>46223</v>
      </c>
      <c r="B73" t="s">
        <v>295</v>
      </c>
      <c r="C73" s="247"/>
      <c r="D73" s="138">
        <f>SUMIFS('DATA ENTRY - RECEIVED'!F:F,'DATA ENTRY - RECEIVED'!E:E,"=Bond")</f>
        <v>0</v>
      </c>
      <c r="E73" s="138">
        <f>SUMIFS('DATA ENTRY - RELEASED'!C:C,'DATA ENTRY - RELEASED'!B:B,"=Bond")</f>
        <v>0</v>
      </c>
      <c r="F73" s="138">
        <f>Table26[[#This Row],[BEG BALANCE (QTY)]]+Table26[[#This Row],[TOTAL STOCKS RECEIVED (QTY)]]-Table26[[#This Row],[TOTAL STOCKS RELEASED (QTY)]]</f>
        <v>0</v>
      </c>
      <c r="G73" s="247" t="str">
        <f t="shared" si="4"/>
        <v>Unit</v>
      </c>
      <c r="H73" s="247">
        <f t="shared" si="5"/>
        <v>2646</v>
      </c>
      <c r="I73" s="247">
        <f t="shared" ca="1" si="7"/>
        <v>0</v>
      </c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</row>
    <row r="74" spans="1:33" s="245" customFormat="1" ht="14.4">
      <c r="A74" s="269">
        <f t="shared" ca="1" si="8"/>
        <v>46223</v>
      </c>
      <c r="B74" t="s">
        <v>296</v>
      </c>
      <c r="C74" s="247"/>
      <c r="D74" s="138">
        <f>SUMIFS('DATA ENTRY - RECEIVED'!F:F,'DATA ENTRY - RECEIVED'!E:E,"=Kyocera laser printer tk- 5244, Black (new carried on stock)")</f>
        <v>0</v>
      </c>
      <c r="E74" s="138">
        <f>SUMIFS('DATA ENTRY - RELEASED'!C:C,'DATA ENTRY - RELEASED'!B:B,"=Kyocera laser printer tk- 5244, Black (new carried on stock)")</f>
        <v>0</v>
      </c>
      <c r="F74" s="138">
        <f>Table26[[#This Row],[BEG BALANCE (QTY)]]+Table26[[#This Row],[TOTAL STOCKS RECEIVED (QTY)]]-Table26[[#This Row],[TOTAL STOCKS RELEASED (QTY)]]</f>
        <v>0</v>
      </c>
      <c r="G74" s="247" t="str">
        <f t="shared" si="4"/>
        <v>Unit</v>
      </c>
      <c r="H74" s="247">
        <f t="shared" si="5"/>
        <v>2649</v>
      </c>
      <c r="I74" s="247">
        <f t="shared" ca="1" si="7"/>
        <v>0</v>
      </c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</row>
    <row r="75" spans="1:33" s="245" customFormat="1" ht="14.4">
      <c r="A75" s="269">
        <f t="shared" ca="1" si="8"/>
        <v>46223</v>
      </c>
      <c r="B75" t="s">
        <v>297</v>
      </c>
      <c r="C75" s="247"/>
      <c r="D75" s="138">
        <f>SUMIFS('DATA ENTRY - RECEIVED'!F:F,'DATA ENTRY - RECEIVED'!E:E,"=Kyocera laser printer tk- 5244, Magenta (new carried on stock)")</f>
        <v>0</v>
      </c>
      <c r="E75" s="138">
        <f>SUMIFS('DATA ENTRY - RELEASED'!C:C,'DATA ENTRY - RELEASED'!B:B,"=Kyocera laser printer tk- 5244, Magenta (new carried on stock)")</f>
        <v>0</v>
      </c>
      <c r="F75" s="138">
        <f>Table26[[#This Row],[BEG BALANCE (QTY)]]+Table26[[#This Row],[TOTAL STOCKS RECEIVED (QTY)]]-Table26[[#This Row],[TOTAL STOCKS RELEASED (QTY)]]</f>
        <v>0</v>
      </c>
      <c r="G75" s="247" t="str">
        <f t="shared" ref="G75:G84" si="9">IFERROR(VLOOKUP(B75,SUPPLY2,3,0),"-")</f>
        <v>Unit</v>
      </c>
      <c r="H75" s="247">
        <f t="shared" ref="H75:H84" si="10">IFERROR(VLOOKUP(B75,SUPPLY2,4,0),"-")</f>
        <v>2647</v>
      </c>
      <c r="I75" s="247">
        <f t="shared" ca="1" si="7"/>
        <v>0</v>
      </c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  <c r="AF75" s="246"/>
      <c r="AG75" s="246"/>
    </row>
    <row r="76" spans="1:33" s="245" customFormat="1" ht="14.4">
      <c r="A76" s="269">
        <f t="shared" ca="1" si="8"/>
        <v>46223</v>
      </c>
      <c r="B76" t="s">
        <v>298</v>
      </c>
      <c r="C76" s="247"/>
      <c r="D76" s="138">
        <f>SUMIFS('DATA ENTRY - RECEIVED'!F:F,'DATA ENTRY - RECEIVED'!E:E,"=Kyocera laser printer tk- 5244, Yellow (new carried on stock)")</f>
        <v>0</v>
      </c>
      <c r="E76" s="138">
        <f>SUMIFS('DATA ENTRY - RELEASED'!C:C,'DATA ENTRY - RELEASED'!B:B,"=Kyocera laser printer tk- 5244, Yellow (new carried on stock)")</f>
        <v>0</v>
      </c>
      <c r="F76" s="138">
        <f>Table26[[#This Row],[BEG BALANCE (QTY)]]+Table26[[#This Row],[TOTAL STOCKS RECEIVED (QTY)]]-Table26[[#This Row],[TOTAL STOCKS RELEASED (QTY)]]</f>
        <v>0</v>
      </c>
      <c r="G76" s="247" t="str">
        <f t="shared" si="9"/>
        <v>Unit</v>
      </c>
      <c r="H76" s="247">
        <f t="shared" si="10"/>
        <v>2648</v>
      </c>
      <c r="I76" s="247">
        <f t="shared" ca="1" si="7"/>
        <v>0</v>
      </c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  <c r="AF76" s="246"/>
      <c r="AG76" s="246"/>
    </row>
    <row r="77" spans="1:33" s="245" customFormat="1" ht="14.4">
      <c r="A77" s="269">
        <f t="shared" ca="1" si="8"/>
        <v>46223</v>
      </c>
      <c r="B77" t="s">
        <v>299</v>
      </c>
      <c r="C77" s="247"/>
      <c r="D77" s="138">
        <f>SUMIFS('DATA ENTRY - RECEIVED'!F:F,'DATA ENTRY - RECEIVED'!E:E,"=Lto ultrium 6, 6.25tb c/o dcod")</f>
        <v>0</v>
      </c>
      <c r="E77" s="138">
        <f>SUMIFS('DATA ENTRY - RELEASED'!C:C,'DATA ENTRY - RELEASED'!B:B,"=Lto ultrium 6, 6.25tb c/o dcod")</f>
        <v>0</v>
      </c>
      <c r="F77" s="138">
        <f>Table26[[#This Row],[BEG BALANCE (QTY)]]+Table26[[#This Row],[TOTAL STOCKS RECEIVED (QTY)]]-Table26[[#This Row],[TOTAL STOCKS RELEASED (QTY)]]</f>
        <v>0</v>
      </c>
      <c r="G77" s="247" t="str">
        <f t="shared" si="9"/>
        <v>Unit</v>
      </c>
      <c r="H77" s="247">
        <f t="shared" si="10"/>
        <v>2627</v>
      </c>
      <c r="I77" s="247">
        <f t="shared" ca="1" si="7"/>
        <v>0</v>
      </c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  <c r="AF77" s="246"/>
      <c r="AG77" s="246"/>
    </row>
    <row r="78" spans="1:33" s="245" customFormat="1" ht="14.4">
      <c r="A78" s="269">
        <f t="shared" ca="1" si="8"/>
        <v>46223</v>
      </c>
      <c r="B78" t="s">
        <v>300</v>
      </c>
      <c r="C78" s="247"/>
      <c r="D78" s="138">
        <f>SUMIFS('DATA ENTRY - RECEIVED'!F:F,'DATA ENTRY - RECEIVED'!E:E,"=Lto ultrium 7, 7.15tb c/o dcod")</f>
        <v>0</v>
      </c>
      <c r="E78" s="138">
        <f>SUMIFS('DATA ENTRY - RELEASED'!C:C,'DATA ENTRY - RELEASED'!B:B,"=Lto ultrium 7, 7.15tb c/o dcod")</f>
        <v>0</v>
      </c>
      <c r="F78" s="138">
        <f>Table26[[#This Row],[BEG BALANCE (QTY)]]+Table26[[#This Row],[TOTAL STOCKS RECEIVED (QTY)]]-Table26[[#This Row],[TOTAL STOCKS RELEASED (QTY)]]</f>
        <v>0</v>
      </c>
      <c r="G78" s="247" t="str">
        <f t="shared" si="9"/>
        <v>Unit</v>
      </c>
      <c r="H78" s="247">
        <f t="shared" si="10"/>
        <v>2628</v>
      </c>
      <c r="I78" s="247">
        <f t="shared" ca="1" si="7"/>
        <v>0</v>
      </c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</row>
    <row r="79" spans="1:33" s="245" customFormat="1" ht="14.4">
      <c r="A79" s="269">
        <f t="shared" ca="1" si="8"/>
        <v>46223</v>
      </c>
      <c r="B79" t="s">
        <v>53</v>
      </c>
      <c r="C79" s="247"/>
      <c r="D79" s="138">
        <f>SUMIFS('DATA ENTRY - RECEIVED'!F:F,'DATA ENTRY - RECEIVED'!E:E,"=Ribbon – ERC-31 for TMU-950 (epson)")</f>
        <v>14</v>
      </c>
      <c r="E79" s="138">
        <f>SUMIFS('DATA ENTRY - RELEASED'!C:C,'DATA ENTRY - RELEASED'!B:B,"=Ribbon – ERC-31 for TMU-950 (epson)")</f>
        <v>1</v>
      </c>
      <c r="F79" s="138">
        <f>Table26[[#This Row],[BEG BALANCE (QTY)]]+Table26[[#This Row],[TOTAL STOCKS RECEIVED (QTY)]]-Table26[[#This Row],[TOTAL STOCKS RELEASED (QTY)]]</f>
        <v>13</v>
      </c>
      <c r="G79" s="247" t="str">
        <f t="shared" si="9"/>
        <v>Piece</v>
      </c>
      <c r="H79" s="247">
        <f t="shared" si="10"/>
        <v>137</v>
      </c>
      <c r="I79" s="247">
        <f t="shared" ca="1" si="7"/>
        <v>0</v>
      </c>
      <c r="J79" s="246"/>
      <c r="K79" s="246"/>
      <c r="L79" s="246">
        <v>4</v>
      </c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  <c r="AF79" s="246"/>
      <c r="AG79" s="246"/>
    </row>
    <row r="80" spans="1:33" s="245" customFormat="1" ht="14.4">
      <c r="A80" s="269">
        <f t="shared" ca="1" si="8"/>
        <v>46223</v>
      </c>
      <c r="B80" t="s">
        <v>301</v>
      </c>
      <c r="C80" s="247"/>
      <c r="D80" s="138">
        <f>SUMIFS('DATA ENTRY - RECEIVED'!F:F,'DATA ENTRY - RECEIVED'!E:E,"=Ribbon tally dascom 1330 99007")</f>
        <v>0</v>
      </c>
      <c r="E80" s="138">
        <f>SUMIFS('DATA ENTRY - RELEASED'!C:C,'DATA ENTRY - RELEASED'!B:B,"=Ribbon tally dascom 1330 99007")</f>
        <v>0</v>
      </c>
      <c r="F80" s="138">
        <f>Table26[[#This Row],[BEG BALANCE (QTY)]]+Table26[[#This Row],[TOTAL STOCKS RECEIVED (QTY)]]-Table26[[#This Row],[TOTAL STOCKS RELEASED (QTY)]]</f>
        <v>0</v>
      </c>
      <c r="G80" s="247" t="str">
        <f t="shared" si="9"/>
        <v>Piece</v>
      </c>
      <c r="H80" s="247">
        <f t="shared" si="10"/>
        <v>2416</v>
      </c>
      <c r="I80" s="247">
        <f t="shared" ca="1" si="7"/>
        <v>0</v>
      </c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  <c r="AF80" s="246"/>
      <c r="AG80" s="246"/>
    </row>
    <row r="81" spans="1:33" s="245" customFormat="1" ht="14.4">
      <c r="A81" s="269">
        <f t="shared" ca="1" si="8"/>
        <v>46223</v>
      </c>
      <c r="B81" t="s">
        <v>70</v>
      </c>
      <c r="C81" s="247"/>
      <c r="D81" s="138">
        <f>SUMIFS('DATA ENTRY - RECEIVED'!F:F,'DATA ENTRY - RECEIVED'!E:E,"=Thermal paper for set 80 x 30mm")</f>
        <v>300</v>
      </c>
      <c r="E81" s="138">
        <f>SUMIFS('DATA ENTRY - RELEASED'!C:C,'DATA ENTRY - RELEASED'!B:B,"=Thermal paper for set 80 x 30mm")</f>
        <v>119</v>
      </c>
      <c r="F81" s="138">
        <f>Table26[[#This Row],[BEG BALANCE (QTY)]]+Table26[[#This Row],[TOTAL STOCKS RECEIVED (QTY)]]-Table26[[#This Row],[TOTAL STOCKS RELEASED (QTY)]]</f>
        <v>181</v>
      </c>
      <c r="G81" s="247" t="str">
        <f t="shared" si="9"/>
        <v>Roll</v>
      </c>
      <c r="H81" s="247">
        <f t="shared" si="10"/>
        <v>2629</v>
      </c>
      <c r="I81" s="247">
        <f t="shared" ca="1" si="7"/>
        <v>0</v>
      </c>
      <c r="J81" s="246"/>
      <c r="K81" s="246"/>
      <c r="L81" s="246">
        <v>46</v>
      </c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</row>
    <row r="82" spans="1:33" s="245" customFormat="1" ht="14.4">
      <c r="A82" s="269">
        <f t="shared" ca="1" si="8"/>
        <v>46223</v>
      </c>
      <c r="B82" t="s">
        <v>256</v>
      </c>
      <c r="C82" s="247"/>
      <c r="D82" s="138">
        <f>SUMIFS('DATA ENTRY - RECEIVED'!F:F,'DATA ENTRY - RECEIVED'!E:E,"=Toner for Samsung M3820ND MLT-D203E (High Yield)")</f>
        <v>0</v>
      </c>
      <c r="E82" s="138">
        <f>SUMIFS('DATA ENTRY - RELEASED'!C:C,'DATA ENTRY - RELEASED'!B:B,"=Toner for Samsung M3820ND MLT-D203E (High Yield)")</f>
        <v>1</v>
      </c>
      <c r="F82" s="138">
        <f>Table26[[#This Row],[BEG BALANCE (QTY)]]+Table26[[#This Row],[TOTAL STOCKS RECEIVED (QTY)]]-Table26[[#This Row],[TOTAL STOCKS RELEASED (QTY)]]</f>
        <v>-1</v>
      </c>
      <c r="G82" s="247" t="str">
        <f t="shared" si="9"/>
        <v>Unit</v>
      </c>
      <c r="H82" s="247">
        <f t="shared" si="10"/>
        <v>2388</v>
      </c>
      <c r="I82" s="247">
        <f t="shared" ca="1" si="7"/>
        <v>0</v>
      </c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  <c r="AF82" s="246"/>
      <c r="AG82" s="246"/>
    </row>
    <row r="83" spans="1:33" s="245" customFormat="1" ht="14.4">
      <c r="A83" s="269">
        <f t="shared" ca="1" si="8"/>
        <v>46223</v>
      </c>
      <c r="B83" t="s">
        <v>302</v>
      </c>
      <c r="C83" s="247"/>
      <c r="D83" s="138">
        <v>2</v>
      </c>
      <c r="E83" s="138">
        <f>SUMIFS('DATA ENTRY - RELEASED'!C:C,'DATA ENTRY - RELEASED'!B:B,"=Toner- for Canon LBP 6780X (Compatible)")</f>
        <v>0</v>
      </c>
      <c r="F83" s="138">
        <f>Table26[[#This Row],[BEG BALANCE (QTY)]]+Table26[[#This Row],[TOTAL STOCKS RECEIVED (QTY)]]-Table26[[#This Row],[TOTAL STOCKS RELEASED (QTY)]]</f>
        <v>2</v>
      </c>
      <c r="G83" s="247" t="str">
        <f t="shared" si="9"/>
        <v>Unit</v>
      </c>
      <c r="H83" s="247">
        <f t="shared" si="10"/>
        <v>2540</v>
      </c>
      <c r="I83" s="247">
        <f t="shared" ca="1" si="7"/>
        <v>0</v>
      </c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</row>
    <row r="84" spans="1:33" s="245" customFormat="1" ht="14.4">
      <c r="A84" s="269">
        <f t="shared" ca="1" si="8"/>
        <v>46223</v>
      </c>
      <c r="B84" t="s">
        <v>303</v>
      </c>
      <c r="C84" s="247"/>
      <c r="D84" s="138">
        <f>SUMIFS('DATA ENTRY - RECEIVED'!F:F,'DATA ENTRY - RECEIVED'!E:E,"=TSF - 11x10-5/8 1 ply 2000 shts/box")</f>
        <v>0</v>
      </c>
      <c r="E84" s="138">
        <f>SUMIFS('DATA ENTRY - RELEASED'!C:C,'DATA ENTRY - RELEASED'!B:B,"=TSF - 11x10-5/8 1 ply 2000 shts/box")</f>
        <v>0</v>
      </c>
      <c r="F84" s="138">
        <f>Table26[[#This Row],[BEG BALANCE (QTY)]]+Table26[[#This Row],[TOTAL STOCKS RECEIVED (QTY)]]-Table26[[#This Row],[TOTAL STOCKS RELEASED (QTY)]]</f>
        <v>0</v>
      </c>
      <c r="G84" s="247" t="str">
        <f t="shared" si="9"/>
        <v>M</v>
      </c>
      <c r="H84" s="247">
        <f t="shared" si="10"/>
        <v>84</v>
      </c>
      <c r="I84" s="247">
        <f t="shared" ca="1" si="7"/>
        <v>0</v>
      </c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  <c r="AF84" s="246"/>
      <c r="AG84" s="246"/>
    </row>
    <row r="85" spans="1:33" ht="15" customHeight="1">
      <c r="A85" s="269">
        <f t="shared" ca="1" si="8"/>
        <v>46223</v>
      </c>
      <c r="B85" s="246" t="s">
        <v>304</v>
      </c>
      <c r="D85" s="138">
        <f>SUMIFS('DATA ENTRY - RECEIVED'!F:F,'DATA ENTRY - RECEIVED'!E:E,"=TSF - 11x14-7/8 1 ply 2000 shts/box")</f>
        <v>0</v>
      </c>
      <c r="E85" s="138">
        <f>SUMIFS('DATA ENTRY - RELEASED'!C:C,'DATA ENTRY - RELEASED'!B:B,"=TSF - 11x14-7/8 1 ply 2000 shts/box")</f>
        <v>0</v>
      </c>
      <c r="F85" s="138">
        <f>Table26[[#This Row],[BEG BALANCE (QTY)]]+Table26[[#This Row],[TOTAL STOCKS RECEIVED (QTY)]]-Table26[[#This Row],[TOTAL STOCKS RELEASED (QTY)]]</f>
        <v>0</v>
      </c>
      <c r="G85" s="247" t="str">
        <f t="shared" ref="G85:G86" si="11">IFERROR(VLOOKUP(B85,SUPPLY2,3,0),"-")</f>
        <v>M</v>
      </c>
      <c r="H85" s="247">
        <f t="shared" ref="H85:H86" si="12">IFERROR(VLOOKUP(B85,SUPPLY2,4,0),"-")</f>
        <v>87</v>
      </c>
      <c r="I85" s="247">
        <f t="shared" ref="I85:I86" ca="1" si="13">IFERROR(VLOOKUP(A85,YEAR2023,2,0),"-")</f>
        <v>0</v>
      </c>
    </row>
    <row r="86" spans="1:33" ht="15" customHeight="1">
      <c r="A86" s="269">
        <f t="shared" ca="1" si="8"/>
        <v>46223</v>
      </c>
      <c r="B86" s="246" t="s">
        <v>305</v>
      </c>
      <c r="D86" s="138">
        <f>SUMIFS('DATA ENTRY - RECEIVED'!F:F,'DATA ENTRY - RECEIVED'!E:E,"=TSF - 11x8-1/2 1 ply 2000 shts/box")</f>
        <v>0</v>
      </c>
      <c r="E86" s="138">
        <f>SUMIFS('DATA ENTRY - RELEASED'!C:C,'DATA ENTRY - RELEASED'!B:B,"=TSF - 11x8-1/2 1 ply 2000 shts/box")</f>
        <v>0</v>
      </c>
      <c r="F86" s="138">
        <f>Table26[[#This Row],[BEG BALANCE (QTY)]]+Table26[[#This Row],[TOTAL STOCKS RECEIVED (QTY)]]-Table26[[#This Row],[TOTAL STOCKS RELEASED (QTY)]]</f>
        <v>0</v>
      </c>
      <c r="G86" s="247" t="str">
        <f t="shared" si="11"/>
        <v>M</v>
      </c>
      <c r="H86" s="247">
        <f t="shared" si="12"/>
        <v>81</v>
      </c>
      <c r="I86" s="247">
        <f t="shared" ca="1" si="13"/>
        <v>0</v>
      </c>
    </row>
  </sheetData>
  <dataConsolidate/>
  <conditionalFormatting sqref="F1:F1048576 C2:E1048576">
    <cfRule type="cellIs" dxfId="0" priority="1" operator="greaterThan">
      <formula>0</formula>
    </cfRule>
  </conditionalFormatting>
  <dataValidations count="2">
    <dataValidation type="list" allowBlank="1" showInputMessage="1" showErrorMessage="1" sqref="B87:B65043" xr:uid="{810D97AE-9B63-4DE7-896F-A2E505E7FEE5}">
      <formula1>SUPPLY</formula1>
    </dataValidation>
    <dataValidation allowBlank="1" showInputMessage="1" showErrorMessage="1" sqref="B2:B86" xr:uid="{D0D5BC27-C856-4639-9B7D-53CD09A338E5}"/>
  </dataValidations>
  <pageMargins left="0.7" right="0.7" top="0.75" bottom="0.75" header="0.3" footer="0.3"/>
  <pageSetup scale="4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view="pageBreakPreview" zoomScale="85" zoomScaleNormal="130" zoomScaleSheetLayoutView="85" workbookViewId="0">
      <selection activeCell="M18" sqref="M18"/>
    </sheetView>
  </sheetViews>
  <sheetFormatPr defaultColWidth="9.109375" defaultRowHeight="13.8"/>
  <cols>
    <col min="1" max="1" width="3.88671875" style="31" customWidth="1"/>
    <col min="2" max="2" width="10" style="31" customWidth="1"/>
    <col min="3" max="3" width="28.33203125" style="31" customWidth="1"/>
    <col min="4" max="4" width="12.109375" style="31" customWidth="1"/>
    <col min="5" max="5" width="12.44140625" style="31" customWidth="1"/>
    <col min="6" max="6" width="0" style="31" hidden="1" customWidth="1"/>
    <col min="7" max="16384" width="9.109375" style="31"/>
  </cols>
  <sheetData>
    <row r="1" spans="1:11" ht="21" customHeight="1">
      <c r="A1" s="30" t="s">
        <v>306</v>
      </c>
      <c r="B1" s="30"/>
      <c r="J1" s="347" t="s">
        <v>307</v>
      </c>
      <c r="K1" s="348"/>
    </row>
    <row r="2" spans="1:11" ht="18.75" customHeight="1" thickBot="1">
      <c r="A2" s="32" t="s">
        <v>308</v>
      </c>
      <c r="B2" s="32"/>
      <c r="H2" s="33" t="s">
        <v>309</v>
      </c>
      <c r="J2" s="358" t="s">
        <v>310</v>
      </c>
      <c r="K2" s="359"/>
    </row>
    <row r="3" spans="1:11">
      <c r="A3" s="35" t="s">
        <v>311</v>
      </c>
      <c r="B3" s="36"/>
      <c r="C3" s="36"/>
      <c r="D3" s="37" t="s">
        <v>312</v>
      </c>
      <c r="E3" s="36"/>
      <c r="F3" s="36"/>
      <c r="G3" s="353" t="s">
        <v>313</v>
      </c>
      <c r="H3" s="354"/>
      <c r="I3" s="354"/>
      <c r="J3" s="353" t="s">
        <v>314</v>
      </c>
      <c r="K3" s="355"/>
    </row>
    <row r="4" spans="1:11" ht="21" customHeight="1" thickBot="1">
      <c r="A4" s="39"/>
      <c r="B4" s="40" t="s">
        <v>315</v>
      </c>
      <c r="C4" s="41"/>
      <c r="D4" s="349" t="s">
        <v>316</v>
      </c>
      <c r="E4" s="350"/>
      <c r="F4" s="350"/>
      <c r="G4" s="349">
        <v>121410014</v>
      </c>
      <c r="H4" s="350"/>
      <c r="I4" s="350"/>
      <c r="J4" s="356">
        <v>44852</v>
      </c>
      <c r="K4" s="357"/>
    </row>
    <row r="5" spans="1:11" s="34" customFormat="1" ht="27.6">
      <c r="A5" s="360"/>
      <c r="B5" s="362" t="s">
        <v>7</v>
      </c>
      <c r="C5" s="362" t="s">
        <v>4</v>
      </c>
      <c r="D5" s="362" t="s">
        <v>317</v>
      </c>
      <c r="E5" s="362" t="s">
        <v>318</v>
      </c>
      <c r="F5" s="42"/>
      <c r="G5" s="351" t="s">
        <v>319</v>
      </c>
      <c r="H5" s="352"/>
      <c r="I5" s="42" t="s">
        <v>320</v>
      </c>
      <c r="J5" s="42" t="s">
        <v>321</v>
      </c>
      <c r="K5" s="43" t="s">
        <v>322</v>
      </c>
    </row>
    <row r="6" spans="1:11" s="34" customFormat="1">
      <c r="A6" s="361"/>
      <c r="B6" s="363"/>
      <c r="C6" s="363"/>
      <c r="D6" s="363"/>
      <c r="E6" s="363"/>
      <c r="F6" s="211"/>
      <c r="G6" s="211" t="s">
        <v>323</v>
      </c>
      <c r="H6" s="211" t="s">
        <v>324</v>
      </c>
      <c r="I6" s="211"/>
      <c r="J6" s="211"/>
      <c r="K6" s="212"/>
    </row>
    <row r="7" spans="1:11">
      <c r="A7" s="213">
        <v>1</v>
      </c>
      <c r="B7" s="214" t="str">
        <f>IFERROR(VLOOKUP(C7,SUPPLY2,4,0),"-")</f>
        <v>-</v>
      </c>
      <c r="C7" s="215" t="s">
        <v>325</v>
      </c>
      <c r="D7" s="216">
        <v>0</v>
      </c>
      <c r="E7" s="217" t="str">
        <f>IFERROR(VLOOKUP(C7,SUPPLY2,3,0),"-")</f>
        <v>-</v>
      </c>
      <c r="F7" s="214"/>
      <c r="G7" s="214">
        <v>60</v>
      </c>
      <c r="H7" s="218"/>
      <c r="I7" s="218"/>
      <c r="J7" s="218"/>
      <c r="K7" s="218"/>
    </row>
    <row r="8" spans="1:11">
      <c r="A8" s="213">
        <v>2</v>
      </c>
      <c r="B8" s="214" t="str">
        <f>IFERROR(VLOOKUP(C8,SUPPLY2,4,0),"-")</f>
        <v>-</v>
      </c>
      <c r="C8" s="215" t="s">
        <v>326</v>
      </c>
      <c r="D8" s="216">
        <v>0</v>
      </c>
      <c r="E8" s="217" t="str">
        <f>IFERROR(VLOOKUP(C8,SUPPLY2,3,0),"-")</f>
        <v>-</v>
      </c>
      <c r="F8" s="214"/>
      <c r="G8" s="214">
        <v>100</v>
      </c>
      <c r="H8" s="218"/>
      <c r="I8" s="218"/>
      <c r="J8" s="218"/>
      <c r="K8" s="218"/>
    </row>
    <row r="9" spans="1:11">
      <c r="A9" s="213">
        <v>3</v>
      </c>
      <c r="B9" s="214">
        <f>IFERROR(VLOOKUP(C9,SUPPLY2,4,0),"-")</f>
        <v>330</v>
      </c>
      <c r="C9" s="215" t="s">
        <v>327</v>
      </c>
      <c r="D9" s="216">
        <v>0</v>
      </c>
      <c r="E9" s="217" t="str">
        <f t="shared" ref="E9:E16" si="0">IFERROR(VLOOKUP(C9,SUPPLY2,3,0),"-")</f>
        <v>C</v>
      </c>
      <c r="F9" s="214"/>
      <c r="G9" s="214">
        <v>400</v>
      </c>
      <c r="H9" s="218"/>
      <c r="I9" s="218"/>
      <c r="J9" s="218"/>
      <c r="K9" s="218"/>
    </row>
    <row r="10" spans="1:11">
      <c r="A10" s="213">
        <v>4</v>
      </c>
      <c r="B10" s="214" t="str">
        <f>IFERROR(VLOOKUP(C10,SUPPLY2,4,0),"-")</f>
        <v>-</v>
      </c>
      <c r="C10" s="215" t="s">
        <v>328</v>
      </c>
      <c r="D10" s="216">
        <v>0</v>
      </c>
      <c r="E10" s="217" t="str">
        <f t="shared" si="0"/>
        <v>-</v>
      </c>
      <c r="F10" s="214"/>
      <c r="G10" s="214">
        <v>200</v>
      </c>
      <c r="H10" s="218"/>
      <c r="I10" s="218"/>
      <c r="J10" s="218"/>
      <c r="K10" s="218"/>
    </row>
    <row r="11" spans="1:11" hidden="1">
      <c r="A11" s="213"/>
      <c r="B11" s="214"/>
      <c r="C11" s="215"/>
      <c r="D11" s="216"/>
      <c r="E11" s="217" t="str">
        <f t="shared" si="0"/>
        <v>-</v>
      </c>
      <c r="F11" s="214"/>
      <c r="G11" s="214"/>
      <c r="H11" s="218"/>
      <c r="I11" s="218"/>
      <c r="J11" s="218"/>
      <c r="K11" s="218"/>
    </row>
    <row r="12" spans="1:11" hidden="1">
      <c r="A12" s="213"/>
      <c r="B12" s="214"/>
      <c r="C12" s="215"/>
      <c r="D12" s="216"/>
      <c r="E12" s="217" t="str">
        <f t="shared" si="0"/>
        <v>-</v>
      </c>
      <c r="F12" s="214"/>
      <c r="G12" s="214"/>
      <c r="H12" s="218"/>
      <c r="I12" s="218"/>
      <c r="J12" s="218"/>
      <c r="K12" s="218"/>
    </row>
    <row r="13" spans="1:11" hidden="1">
      <c r="A13" s="213"/>
      <c r="B13" s="214"/>
      <c r="C13" s="215"/>
      <c r="D13" s="216"/>
      <c r="E13" s="217" t="str">
        <f t="shared" si="0"/>
        <v>-</v>
      </c>
      <c r="F13" s="213"/>
      <c r="G13" s="214"/>
      <c r="H13" s="218"/>
      <c r="I13" s="218"/>
      <c r="J13" s="218"/>
      <c r="K13" s="218"/>
    </row>
    <row r="14" spans="1:11" hidden="1">
      <c r="A14" s="213"/>
      <c r="B14" s="214"/>
      <c r="C14" s="215"/>
      <c r="D14" s="216"/>
      <c r="E14" s="217" t="str">
        <f t="shared" si="0"/>
        <v>-</v>
      </c>
      <c r="F14" s="218"/>
      <c r="G14" s="214"/>
      <c r="H14" s="218"/>
      <c r="I14" s="218"/>
      <c r="J14" s="218"/>
      <c r="K14" s="218"/>
    </row>
    <row r="15" spans="1:11" hidden="1">
      <c r="A15" s="213"/>
      <c r="B15" s="214"/>
      <c r="C15" s="215"/>
      <c r="D15" s="216"/>
      <c r="E15" s="217" t="str">
        <f t="shared" si="0"/>
        <v>-</v>
      </c>
      <c r="F15" s="218"/>
      <c r="G15" s="214"/>
      <c r="H15" s="218"/>
      <c r="I15" s="218"/>
      <c r="J15" s="218"/>
      <c r="K15" s="218"/>
    </row>
    <row r="16" spans="1:11" ht="24" customHeight="1" thickBot="1">
      <c r="A16" s="54"/>
      <c r="B16" s="73" t="str">
        <f>IFERROR(VLOOKUP(C16,SUPPLY2,4,0),"-")</f>
        <v>-</v>
      </c>
      <c r="C16" s="71"/>
      <c r="D16" s="72" t="str">
        <f>IFERROR(VLOOKUP(B16,SUPPLY3,7,0),"-")</f>
        <v>-</v>
      </c>
      <c r="E16" s="74" t="str">
        <f t="shared" si="0"/>
        <v>-</v>
      </c>
      <c r="F16" s="38"/>
      <c r="G16" s="73"/>
      <c r="H16" s="38"/>
      <c r="I16" s="38"/>
      <c r="J16" s="38"/>
      <c r="K16" s="38"/>
    </row>
    <row r="17" spans="1:11" ht="15" customHeight="1">
      <c r="A17" s="369" t="s">
        <v>329</v>
      </c>
      <c r="B17" s="370"/>
      <c r="C17" s="370"/>
      <c r="D17" s="370"/>
      <c r="E17" s="371"/>
      <c r="F17" s="44"/>
      <c r="G17" s="378" t="s">
        <v>330</v>
      </c>
      <c r="H17" s="379"/>
      <c r="I17" s="379"/>
      <c r="J17" s="379"/>
      <c r="K17" s="380"/>
    </row>
    <row r="18" spans="1:11" ht="68.25" customHeight="1">
      <c r="A18" s="372" t="s">
        <v>331</v>
      </c>
      <c r="B18" s="373"/>
      <c r="C18" s="373"/>
      <c r="D18" s="373"/>
      <c r="E18" s="374"/>
      <c r="F18" s="219"/>
      <c r="G18" s="381"/>
      <c r="H18" s="382"/>
      <c r="I18" s="382"/>
      <c r="J18" s="382"/>
      <c r="K18" s="383"/>
    </row>
    <row r="19" spans="1:11" ht="15.75" customHeight="1" thickBot="1">
      <c r="A19" s="375" t="s">
        <v>332</v>
      </c>
      <c r="B19" s="376"/>
      <c r="C19" s="376"/>
      <c r="D19" s="376"/>
      <c r="E19" s="377"/>
      <c r="F19" s="219"/>
      <c r="G19" s="381"/>
      <c r="H19" s="382"/>
      <c r="I19" s="382"/>
      <c r="J19" s="382"/>
      <c r="K19" s="383"/>
    </row>
    <row r="20" spans="1:11" ht="79.5" customHeight="1" thickBot="1">
      <c r="A20" s="45" t="s">
        <v>333</v>
      </c>
      <c r="B20" s="46"/>
      <c r="C20" s="47"/>
      <c r="D20" s="367" t="s">
        <v>334</v>
      </c>
      <c r="E20" s="368"/>
      <c r="F20" s="220"/>
      <c r="G20" s="364" t="s">
        <v>335</v>
      </c>
      <c r="H20" s="365"/>
      <c r="I20" s="365"/>
      <c r="J20" s="365"/>
      <c r="K20" s="366"/>
    </row>
  </sheetData>
  <mergeCells count="21">
    <mergeCell ref="G20:K20"/>
    <mergeCell ref="D20:E20"/>
    <mergeCell ref="A17:E17"/>
    <mergeCell ref="A18:E18"/>
    <mergeCell ref="A19:E19"/>
    <mergeCell ref="G17:K17"/>
    <mergeCell ref="G18:K18"/>
    <mergeCell ref="G19:K19"/>
    <mergeCell ref="A5:A6"/>
    <mergeCell ref="B5:B6"/>
    <mergeCell ref="C5:C6"/>
    <mergeCell ref="D5:D6"/>
    <mergeCell ref="E5:E6"/>
    <mergeCell ref="J1:K1"/>
    <mergeCell ref="D4:F4"/>
    <mergeCell ref="G5:H5"/>
    <mergeCell ref="G3:I3"/>
    <mergeCell ref="G4:I4"/>
    <mergeCell ref="J3:K3"/>
    <mergeCell ref="J4:K4"/>
    <mergeCell ref="J2:K2"/>
  </mergeCells>
  <dataValidations count="1">
    <dataValidation type="list" allowBlank="1" showInputMessage="1" showErrorMessage="1" sqref="C7:C16" xr:uid="{00000000-0002-0000-0300-000000000000}">
      <formula1>SUPPLY</formula1>
    </dataValidation>
  </dataValidations>
  <pageMargins left="0.7" right="0.7" top="0.75" bottom="0.75" header="0.3" footer="0.3"/>
  <pageSetup scale="75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0"/>
  <sheetViews>
    <sheetView workbookViewId="0">
      <pane ySplit="1" topLeftCell="A2" activePane="bottomLeft" state="frozen"/>
      <selection activeCell="G4" sqref="G4:I4"/>
      <selection pane="bottomLeft" activeCell="E4" sqref="E4"/>
    </sheetView>
  </sheetViews>
  <sheetFormatPr defaultColWidth="8.88671875" defaultRowHeight="14.4"/>
  <cols>
    <col min="1" max="1" width="6.6640625" bestFit="1" customWidth="1"/>
    <col min="2" max="2" width="50.44140625" bestFit="1" customWidth="1"/>
    <col min="3" max="3" width="9.88671875" bestFit="1" customWidth="1"/>
    <col min="4" max="4" width="12" style="79" bestFit="1" customWidth="1"/>
    <col min="5" max="5" width="20.88671875" style="29" customWidth="1"/>
    <col min="6" max="6" width="23.44140625" style="76" customWidth="1"/>
    <col min="7" max="7" width="18.44140625" style="29" bestFit="1" customWidth="1"/>
  </cols>
  <sheetData>
    <row r="1" spans="1:7" s="110" customFormat="1" ht="32.25" customHeight="1">
      <c r="A1" s="161" t="s">
        <v>336</v>
      </c>
      <c r="B1" s="105" t="s">
        <v>337</v>
      </c>
      <c r="C1" s="105" t="s">
        <v>338</v>
      </c>
      <c r="D1" s="106" t="s">
        <v>339</v>
      </c>
      <c r="E1" s="107" t="s">
        <v>340</v>
      </c>
      <c r="F1" s="108" t="s">
        <v>341</v>
      </c>
      <c r="G1" s="109" t="s">
        <v>342</v>
      </c>
    </row>
    <row r="2" spans="1:7" ht="15.6">
      <c r="A2" s="63" t="s">
        <v>343</v>
      </c>
      <c r="B2" s="63"/>
      <c r="C2" s="8"/>
      <c r="D2" s="77"/>
      <c r="E2" s="7"/>
      <c r="F2" s="69"/>
      <c r="G2" s="7" t="s">
        <v>344</v>
      </c>
    </row>
    <row r="3" spans="1:7" ht="15.6">
      <c r="A3" s="12">
        <v>27</v>
      </c>
      <c r="B3" s="12" t="s">
        <v>345</v>
      </c>
      <c r="C3" s="8" t="s">
        <v>95</v>
      </c>
      <c r="D3" s="77"/>
      <c r="E3" s="62" t="e">
        <f>SUMIFS('DATA ENTRY - REQUEST'!#REF!,'DATA ENTRY - REQUEST'!E:E,"=Bookpaper/Offset - 8 1/2 x 11")</f>
        <v>#REF!</v>
      </c>
      <c r="F3" s="69" t="e">
        <f>SUMIFS('DATA ENTRY - REQUEST'!#REF!,'DATA ENTRY - REQUEST'!E:E,"=Bookpaper/Offset - 8 1/2 x 11")</f>
        <v>#REF!</v>
      </c>
      <c r="G3" s="7" t="e">
        <f>D3+E3-F3</f>
        <v>#REF!</v>
      </c>
    </row>
    <row r="4" spans="1:7" ht="15.6">
      <c r="A4" s="12">
        <v>2067</v>
      </c>
      <c r="B4" s="12" t="s">
        <v>325</v>
      </c>
      <c r="C4" s="8" t="s">
        <v>95</v>
      </c>
      <c r="D4" s="77"/>
      <c r="E4" s="62" t="e">
        <f>SUMIFS('DATA ENTRY - REQUEST'!#REF!,'DATA ENTRY - REQUEST'!E:E,"=Bookpaper/Offset - 8-1/2 x 13")</f>
        <v>#REF!</v>
      </c>
      <c r="F4" s="69" t="e">
        <f>SUMIFS('DATA ENTRY - REQUEST'!#REF!,'DATA ENTRY - REQUEST'!E:E,"=Bookpaper/Offset - 8-1/2 x 13")</f>
        <v>#REF!</v>
      </c>
      <c r="G4" s="7" t="e">
        <f t="shared" ref="G4:G68" si="0">D4+E4-F4</f>
        <v>#REF!</v>
      </c>
    </row>
    <row r="5" spans="1:7" ht="15.6">
      <c r="A5" s="12">
        <v>2376</v>
      </c>
      <c r="B5" s="12" t="s">
        <v>326</v>
      </c>
      <c r="C5" s="8" t="s">
        <v>95</v>
      </c>
      <c r="D5" s="77"/>
      <c r="E5" s="62" t="e">
        <f>SUMIFS('DATA ENTRY - REQUEST'!#REF!,'DATA ENTRY - REQUEST'!E:E,"=Bookpaper/Offset – A4")</f>
        <v>#REF!</v>
      </c>
      <c r="F5" s="69" t="e">
        <f>SUMIFS('DATA ENTRY - REQUEST'!#REF!,'DATA ENTRY - REQUEST'!E:E,"=Bookpaper/Offset – A4")</f>
        <v>#REF!</v>
      </c>
      <c r="G5" s="7" t="e">
        <f>D5+E5-F5</f>
        <v>#REF!</v>
      </c>
    </row>
    <row r="6" spans="1:7" ht="15.6">
      <c r="A6" s="12">
        <v>26</v>
      </c>
      <c r="B6" s="12" t="s">
        <v>346</v>
      </c>
      <c r="C6" s="8" t="s">
        <v>98</v>
      </c>
      <c r="D6" s="77"/>
      <c r="E6" s="7"/>
      <c r="F6" s="69"/>
      <c r="G6" s="7">
        <f t="shared" si="0"/>
        <v>0</v>
      </c>
    </row>
    <row r="7" spans="1:7" ht="15.6">
      <c r="A7" s="12">
        <v>37</v>
      </c>
      <c r="B7" s="12" t="s">
        <v>328</v>
      </c>
      <c r="C7" s="8" t="s">
        <v>234</v>
      </c>
      <c r="D7" s="77">
        <v>250</v>
      </c>
      <c r="E7" s="62" t="e">
        <f>SUMIFS('DATA ENTRY - REQUEST'!#REF!,'DATA ENTRY - REQUEST'!E:E,"=Envelope - Wdw #10 Not Reg No Add Brwn")</f>
        <v>#REF!</v>
      </c>
      <c r="F7" s="69" t="e">
        <f>SUMIFS('DATA ENTRY - REQUEST'!#REF!,'DATA ENTRY - REQUEST'!E:E,"=Envelope - Wdw #10 Not Reg No Add Brwn")</f>
        <v>#REF!</v>
      </c>
      <c r="G7" s="7" t="e">
        <f t="shared" si="0"/>
        <v>#REF!</v>
      </c>
    </row>
    <row r="8" spans="1:7" ht="15.6">
      <c r="A8" s="12">
        <v>40</v>
      </c>
      <c r="B8" s="12" t="s">
        <v>347</v>
      </c>
      <c r="C8" s="8" t="s">
        <v>98</v>
      </c>
      <c r="D8" s="77"/>
      <c r="E8" s="7"/>
      <c r="F8" s="69"/>
      <c r="G8" s="7">
        <f t="shared" si="0"/>
        <v>0</v>
      </c>
    </row>
    <row r="9" spans="1:7" ht="15.6">
      <c r="A9" s="12">
        <v>46</v>
      </c>
      <c r="B9" s="12" t="s">
        <v>348</v>
      </c>
      <c r="C9" s="8" t="s">
        <v>110</v>
      </c>
      <c r="D9" s="77"/>
      <c r="E9" s="62" t="e">
        <f>SUMIFS('DATA ENTRY - REQUEST'!#REF!,'DATA ENTRY - REQUEST'!E:E,"=Envelope - Document, 10 x 15")</f>
        <v>#REF!</v>
      </c>
      <c r="F9" s="69" t="e">
        <f>SUMIFS('DATA ENTRY - REQUEST'!#REF!,'DATA ENTRY - REQUEST'!E:E,"=Envelope - Document, 10 x 15")</f>
        <v>#REF!</v>
      </c>
      <c r="G9" s="7" t="e">
        <f t="shared" si="0"/>
        <v>#REF!</v>
      </c>
    </row>
    <row r="10" spans="1:7" ht="15.6">
      <c r="A10" s="12">
        <v>49</v>
      </c>
      <c r="B10" s="12" t="s">
        <v>349</v>
      </c>
      <c r="C10" s="8" t="s">
        <v>234</v>
      </c>
      <c r="D10" s="77"/>
      <c r="E10" s="7"/>
      <c r="F10" s="69"/>
      <c r="G10" s="7">
        <f t="shared" si="0"/>
        <v>0</v>
      </c>
    </row>
    <row r="11" spans="1:7" ht="15.6">
      <c r="A11" s="12">
        <v>330</v>
      </c>
      <c r="B11" s="12" t="s">
        <v>327</v>
      </c>
      <c r="C11" s="8" t="s">
        <v>110</v>
      </c>
      <c r="D11" s="77"/>
      <c r="E11" s="62" t="e">
        <f>SUMIFS('DATA ENTRY - REQUEST'!#REF!,'DATA ENTRY - REQUEST'!E:E,"=Folder - Legal size, 36mm thick (14pts)")</f>
        <v>#REF!</v>
      </c>
      <c r="F11" s="69" t="e">
        <f>SUMIFS('DATA ENTRY - REQUEST'!#REF!,'DATA ENTRY - REQUEST'!E:E,"=Folder - Legal size, 36mm thick (14pts)")</f>
        <v>#REF!</v>
      </c>
      <c r="G11" s="7" t="e">
        <f t="shared" si="0"/>
        <v>#REF!</v>
      </c>
    </row>
    <row r="12" spans="1:7" ht="15.6">
      <c r="A12" s="7" t="s">
        <v>350</v>
      </c>
      <c r="B12" s="7"/>
      <c r="C12" s="8"/>
      <c r="D12" s="77"/>
      <c r="E12" s="7"/>
      <c r="F12" s="69"/>
      <c r="G12" s="7" t="s">
        <v>344</v>
      </c>
    </row>
    <row r="13" spans="1:7" ht="15.6">
      <c r="A13" s="63" t="s">
        <v>351</v>
      </c>
      <c r="B13" s="57" t="s">
        <v>352</v>
      </c>
      <c r="C13" s="8" t="s">
        <v>234</v>
      </c>
      <c r="D13" s="77"/>
      <c r="E13" s="62" t="e">
        <f>SUMIFS('DATA ENTRY - REQUEST'!#REF!,'DATA ENTRY - REQUEST'!E:E,"=FOI REQUEST FORM")</f>
        <v>#REF!</v>
      </c>
      <c r="F13" s="69" t="e">
        <f>SUMIFS('DATA ENTRY - REQUEST'!#REF!,'DATA ENTRY - REQUEST'!E:E,"=FOI REQUEST FORM")</f>
        <v>#REF!</v>
      </c>
      <c r="G13" s="7" t="e">
        <f t="shared" ref="G13" si="1">D13+E13-F13</f>
        <v>#REF!</v>
      </c>
    </row>
    <row r="14" spans="1:7" ht="15.6">
      <c r="A14" s="12">
        <v>181</v>
      </c>
      <c r="B14" s="12" t="s">
        <v>353</v>
      </c>
      <c r="C14" s="8" t="s">
        <v>234</v>
      </c>
      <c r="D14" s="77"/>
      <c r="E14" s="62" t="e">
        <f>SUMIFS('DATA ENTRY - REQUEST'!#REF!,'DATA ENTRY - REQUEST'!E:E,"=Bookpaper/Offset – A4")</f>
        <v>#REF!</v>
      </c>
      <c r="F14" s="69" t="e">
        <f>SUMIFS('DATA ENTRY - REQUEST'!#REF!,'DATA ENTRY - REQUEST'!E:E,"=Toner Laser Printer HP-P2015D Q-7553A")</f>
        <v>#REF!</v>
      </c>
      <c r="G14" s="7" t="e">
        <f t="shared" si="0"/>
        <v>#REF!</v>
      </c>
    </row>
    <row r="15" spans="1:7" ht="15.6">
      <c r="A15" s="12">
        <v>2386</v>
      </c>
      <c r="B15" s="12" t="s">
        <v>354</v>
      </c>
      <c r="C15" s="8" t="s">
        <v>355</v>
      </c>
      <c r="D15" s="77"/>
      <c r="E15" s="62" t="e">
        <f>SUMIFS('DATA ENTRY - REQUEST'!#REF!,'DATA ENTRY - REQUEST'!E:E,"=Bookpaper/Offset – A4")</f>
        <v>#REF!</v>
      </c>
      <c r="F15" s="69" t="e">
        <f>SUMIFS('DATA ENTRY - REQUEST'!#REF!,'DATA ENTRY - REQUEST'!E:E,"=REL-9 - Real Estate Pymnt  25 shts 4 ply")</f>
        <v>#REF!</v>
      </c>
      <c r="G15" s="7" t="e">
        <f t="shared" si="0"/>
        <v>#REF!</v>
      </c>
    </row>
    <row r="16" spans="1:7" ht="15.6">
      <c r="A16" s="12">
        <v>2399</v>
      </c>
      <c r="B16" s="12" t="s">
        <v>356</v>
      </c>
      <c r="C16" s="8" t="s">
        <v>355</v>
      </c>
      <c r="D16" s="77"/>
      <c r="E16" s="62" t="e">
        <f>SUMIFS('DATA ENTRY - REQUEST'!#REF!,'DATA ENTRY - REQUEST'!E:E,"=Bookpaper/Offset – A4")</f>
        <v>#REF!</v>
      </c>
      <c r="F16" s="69" t="e">
        <f>SUMIFS('DATA ENTRY - REQUEST'!#REF!,'DATA ENTRY - REQUEST'!E:E,"=R-6 - Misc Paymt Ret, 25 shts, 07/2013")</f>
        <v>#REF!</v>
      </c>
      <c r="G16" s="7" t="e">
        <f t="shared" si="0"/>
        <v>#REF!</v>
      </c>
    </row>
    <row r="17" spans="1:7" ht="15.6">
      <c r="A17" s="17">
        <v>198</v>
      </c>
      <c r="B17" s="17" t="s">
        <v>357</v>
      </c>
      <c r="C17" s="8" t="s">
        <v>234</v>
      </c>
      <c r="D17" s="77"/>
      <c r="E17" s="7"/>
      <c r="F17" s="69"/>
      <c r="G17" s="7">
        <f t="shared" si="0"/>
        <v>0</v>
      </c>
    </row>
    <row r="18" spans="1:7" ht="15.6">
      <c r="A18" s="17">
        <v>202</v>
      </c>
      <c r="B18" s="17" t="s">
        <v>358</v>
      </c>
      <c r="C18" s="8" t="s">
        <v>95</v>
      </c>
      <c r="D18" s="77"/>
      <c r="E18" s="7"/>
      <c r="F18" s="69"/>
      <c r="G18" s="7">
        <f t="shared" si="0"/>
        <v>0</v>
      </c>
    </row>
    <row r="19" spans="1:7" ht="15.6">
      <c r="A19" s="17">
        <v>204</v>
      </c>
      <c r="B19" s="17" t="s">
        <v>359</v>
      </c>
      <c r="C19" s="8" t="s">
        <v>95</v>
      </c>
      <c r="D19" s="77"/>
      <c r="E19" s="62" t="e">
        <f>SUMIFS('DATA ENTRY - REQUEST'!#REF!,'DATA ENTRY - REQUEST'!E:E,"=Bookpaper/Offset – A4")</f>
        <v>#REF!</v>
      </c>
      <c r="F19" s="69" t="e">
        <f>SUMIFS('DATA ENTRY - REQUEST'!#REF!,'DATA ENTRY - REQUEST'!E:E,"=AD-528 - Permission to Leave the Office")</f>
        <v>#REF!</v>
      </c>
      <c r="G19" s="7" t="e">
        <f t="shared" si="0"/>
        <v>#REF!</v>
      </c>
    </row>
    <row r="20" spans="1:7" ht="15.6">
      <c r="A20" s="12">
        <v>210</v>
      </c>
      <c r="B20" s="12" t="s">
        <v>360</v>
      </c>
      <c r="C20" s="8" t="s">
        <v>355</v>
      </c>
      <c r="D20" s="77"/>
      <c r="E20" s="7"/>
      <c r="F20" s="69"/>
      <c r="G20" s="7">
        <f t="shared" si="0"/>
        <v>0</v>
      </c>
    </row>
    <row r="21" spans="1:7" ht="15.6">
      <c r="A21" s="17">
        <v>2286</v>
      </c>
      <c r="B21" s="17" t="s">
        <v>361</v>
      </c>
      <c r="C21" s="8" t="s">
        <v>95</v>
      </c>
      <c r="D21" s="77"/>
      <c r="E21" s="7"/>
      <c r="F21" s="69"/>
      <c r="G21" s="7">
        <f t="shared" si="0"/>
        <v>0</v>
      </c>
    </row>
    <row r="22" spans="1:7" ht="15.6">
      <c r="A22" s="17">
        <v>2287</v>
      </c>
      <c r="B22" s="17" t="s">
        <v>362</v>
      </c>
      <c r="C22" s="8" t="s">
        <v>95</v>
      </c>
      <c r="D22" s="77"/>
      <c r="E22" s="62" t="e">
        <f>SUMIFS('DATA ENTRY - REQUEST'!#REF!,'DATA ENTRY - REQUEST'!E:E,"=R-1A - Report of EE Members")</f>
        <v>#REF!</v>
      </c>
      <c r="F22" s="69" t="e">
        <f>SUMIFS('DATA ENTRY - REQUEST'!#REF!,'DATA ENTRY - REQUEST'!E:E,"=R-1A - Report of EE Members")</f>
        <v>#REF!</v>
      </c>
      <c r="G22" s="7" t="e">
        <f t="shared" si="0"/>
        <v>#REF!</v>
      </c>
    </row>
    <row r="23" spans="1:7" ht="15.6">
      <c r="A23" s="17">
        <v>214</v>
      </c>
      <c r="B23" s="17" t="s">
        <v>363</v>
      </c>
      <c r="C23" s="8" t="s">
        <v>95</v>
      </c>
      <c r="D23" s="77"/>
      <c r="E23" s="63"/>
      <c r="F23" s="75"/>
      <c r="G23" s="7">
        <f t="shared" si="0"/>
        <v>0</v>
      </c>
    </row>
    <row r="24" spans="1:7" ht="15.6">
      <c r="A24" s="17">
        <v>215</v>
      </c>
      <c r="B24" s="17" t="s">
        <v>364</v>
      </c>
      <c r="C24" s="8" t="s">
        <v>95</v>
      </c>
      <c r="D24" s="77"/>
      <c r="E24" s="7"/>
      <c r="F24" s="69"/>
      <c r="G24" s="7">
        <f t="shared" si="0"/>
        <v>0</v>
      </c>
    </row>
    <row r="25" spans="1:7" ht="15.6">
      <c r="A25" s="19">
        <v>217</v>
      </c>
      <c r="B25" s="19" t="s">
        <v>365</v>
      </c>
      <c r="C25" s="8" t="s">
        <v>95</v>
      </c>
      <c r="D25" s="77"/>
      <c r="E25" s="7"/>
      <c r="F25" s="69"/>
      <c r="G25" s="7">
        <f t="shared" si="0"/>
        <v>0</v>
      </c>
    </row>
    <row r="26" spans="1:7" ht="15.6">
      <c r="A26" s="12">
        <v>218</v>
      </c>
      <c r="B26" s="12" t="s">
        <v>366</v>
      </c>
      <c r="C26" s="8" t="s">
        <v>355</v>
      </c>
      <c r="D26" s="77"/>
      <c r="E26" s="7"/>
      <c r="F26" s="69"/>
      <c r="G26" s="7">
        <f t="shared" si="0"/>
        <v>0</v>
      </c>
    </row>
    <row r="27" spans="1:7" ht="15.6">
      <c r="A27" s="17">
        <v>222</v>
      </c>
      <c r="B27" s="17" t="s">
        <v>367</v>
      </c>
      <c r="C27" s="8" t="s">
        <v>234</v>
      </c>
      <c r="D27" s="77"/>
      <c r="E27" s="7"/>
      <c r="F27" s="69"/>
      <c r="G27" s="7">
        <f t="shared" si="0"/>
        <v>0</v>
      </c>
    </row>
    <row r="28" spans="1:7" ht="15.6">
      <c r="A28" s="12">
        <v>224</v>
      </c>
      <c r="B28" s="12" t="s">
        <v>368</v>
      </c>
      <c r="C28" s="8" t="s">
        <v>95</v>
      </c>
      <c r="D28" s="77"/>
      <c r="E28" s="62" t="e">
        <f>SUMIFS('DATA ENTRY - REQUEST'!#REF!,'DATA ENTRY - REQUEST'!E:E,"=Bookpaper/Offset – A4")</f>
        <v>#REF!</v>
      </c>
      <c r="F28" s="69" t="e">
        <f>SUMIFS('DATA ENTRY - REQUEST'!#REF!,'DATA ENTRY - REQUEST'!E:E,"=CLD 1.3A")</f>
        <v>#REF!</v>
      </c>
      <c r="G28" s="7" t="e">
        <f t="shared" si="0"/>
        <v>#REF!</v>
      </c>
    </row>
    <row r="29" spans="1:7" ht="15.6">
      <c r="A29" s="17">
        <v>232</v>
      </c>
      <c r="B29" s="17" t="s">
        <v>369</v>
      </c>
      <c r="C29" s="8" t="s">
        <v>95</v>
      </c>
      <c r="D29" s="77"/>
      <c r="E29" s="7"/>
      <c r="F29" s="69"/>
      <c r="G29" s="7">
        <f t="shared" si="0"/>
        <v>0</v>
      </c>
    </row>
    <row r="30" spans="1:7" ht="15.6">
      <c r="A30" s="17">
        <v>233</v>
      </c>
      <c r="B30" s="17" t="s">
        <v>370</v>
      </c>
      <c r="C30" s="8" t="s">
        <v>95</v>
      </c>
      <c r="D30" s="77"/>
      <c r="E30" s="7"/>
      <c r="F30" s="69"/>
      <c r="G30" s="7">
        <f t="shared" si="0"/>
        <v>0</v>
      </c>
    </row>
    <row r="31" spans="1:7" ht="15.6">
      <c r="A31" s="12">
        <v>270</v>
      </c>
      <c r="B31" s="12" t="s">
        <v>371</v>
      </c>
      <c r="C31" s="8" t="s">
        <v>95</v>
      </c>
      <c r="D31" s="77"/>
      <c r="E31" s="7"/>
      <c r="F31" s="69"/>
      <c r="G31" s="7">
        <f t="shared" si="0"/>
        <v>0</v>
      </c>
    </row>
    <row r="32" spans="1:7" ht="15.6">
      <c r="A32" s="12">
        <v>2326</v>
      </c>
      <c r="B32" s="12" t="s">
        <v>372</v>
      </c>
      <c r="C32" s="8" t="s">
        <v>95</v>
      </c>
      <c r="D32" s="77"/>
      <c r="E32" s="7"/>
      <c r="F32" s="69"/>
      <c r="G32" s="7">
        <f t="shared" si="0"/>
        <v>0</v>
      </c>
    </row>
    <row r="33" spans="1:7" ht="15.6">
      <c r="A33" s="17">
        <v>276</v>
      </c>
      <c r="B33" s="17" t="s">
        <v>373</v>
      </c>
      <c r="C33" s="8" t="s">
        <v>95</v>
      </c>
      <c r="D33" s="77"/>
      <c r="E33" s="62" t="e">
        <f>SUMIFS('DATA ENTRY - REQUEST'!#REF!,'DATA ENTRY - REQUEST'!E:E,"=Revised ACOP P1")</f>
        <v>#REF!</v>
      </c>
      <c r="F33" s="69" t="e">
        <f>SUMIFS('DATA ENTRY - REQUEST'!#REF!,'DATA ENTRY - REQUEST'!E:E,"=Revised ACOP P1")</f>
        <v>#REF!</v>
      </c>
      <c r="G33" s="7" t="e">
        <f t="shared" si="0"/>
        <v>#REF!</v>
      </c>
    </row>
    <row r="34" spans="1:7" ht="15.6">
      <c r="A34" s="19">
        <v>1544</v>
      </c>
      <c r="B34" s="19" t="s">
        <v>374</v>
      </c>
      <c r="C34" s="8" t="s">
        <v>95</v>
      </c>
      <c r="D34" s="77"/>
      <c r="E34" s="62" t="e">
        <f>SUMIFS('DATA ENTRY - REQUEST'!#REF!,'DATA ENTRY - REQUEST'!E:E,"=Funeral Claim Application")</f>
        <v>#REF!</v>
      </c>
      <c r="F34" s="69" t="e">
        <f>SUMIFS('DATA ENTRY - REQUEST'!#REF!,'DATA ENTRY - REQUEST'!E:E,"=Funeral Claim Application")</f>
        <v>#REF!</v>
      </c>
      <c r="G34" s="7" t="e">
        <f t="shared" si="0"/>
        <v>#REF!</v>
      </c>
    </row>
    <row r="35" spans="1:7" ht="15.6">
      <c r="A35" s="12">
        <v>1938</v>
      </c>
      <c r="B35" s="12" t="s">
        <v>375</v>
      </c>
      <c r="C35" s="8" t="s">
        <v>95</v>
      </c>
      <c r="D35" s="77"/>
      <c r="E35" s="62" t="e">
        <f>SUMIFS('DATA ENTRY - REQUEST'!#REF!,'DATA ENTRY - REQUEST'!E:E,"=Death Claim Application")</f>
        <v>#REF!</v>
      </c>
      <c r="F35" s="69" t="e">
        <f>SUMIFS('DATA ENTRY - REQUEST'!#REF!,'DATA ENTRY - REQUEST'!E:E,"=Death Claim Application")</f>
        <v>#REF!</v>
      </c>
      <c r="G35" s="7" t="e">
        <f t="shared" si="0"/>
        <v>#REF!</v>
      </c>
    </row>
    <row r="36" spans="1:7" ht="15.6">
      <c r="A36" s="12">
        <v>1949</v>
      </c>
      <c r="B36" s="12" t="s">
        <v>376</v>
      </c>
      <c r="C36" s="8" t="s">
        <v>95</v>
      </c>
      <c r="D36" s="77"/>
      <c r="E36" s="62"/>
      <c r="F36" s="69"/>
      <c r="G36" s="7">
        <f t="shared" si="0"/>
        <v>0</v>
      </c>
    </row>
    <row r="37" spans="1:7" ht="15.6">
      <c r="A37" s="17">
        <v>1939</v>
      </c>
      <c r="B37" s="17" t="s">
        <v>377</v>
      </c>
      <c r="C37" s="8" t="s">
        <v>95</v>
      </c>
      <c r="D37" s="77"/>
      <c r="E37" s="62" t="e">
        <f>SUMIFS('DATA ENTRY - REQUEST'!#REF!,'DATA ENTRY - REQUEST'!E:E,"=Retirement Claim Application Part I")</f>
        <v>#REF!</v>
      </c>
      <c r="F37" s="69" t="e">
        <f>SUMIFS('DATA ENTRY - REQUEST'!#REF!,'DATA ENTRY - REQUEST'!E:E,"=Retirement Claim Application Part I")</f>
        <v>#REF!</v>
      </c>
      <c r="G37" s="7" t="e">
        <f t="shared" si="0"/>
        <v>#REF!</v>
      </c>
    </row>
    <row r="38" spans="1:7" ht="15.6">
      <c r="A38" s="17">
        <v>1950</v>
      </c>
      <c r="B38" s="17" t="s">
        <v>378</v>
      </c>
      <c r="C38" s="8" t="s">
        <v>95</v>
      </c>
      <c r="D38" s="77"/>
      <c r="E38" s="62" t="e">
        <f>SUMIFS('DATA ENTRY - REQUEST'!#REF!,'DATA ENTRY - REQUEST'!E:E,"=Bookpaper/Offset – A4")</f>
        <v>#REF!</v>
      </c>
      <c r="F38" s="69" t="e">
        <f>SUMIFS('DATA ENTRY - REQUEST'!#REF!,'DATA ENTRY - REQUEST'!E:E,"=Retirement Claim Application Part II")</f>
        <v>#REF!</v>
      </c>
      <c r="G38" s="7" t="e">
        <f t="shared" si="0"/>
        <v>#REF!</v>
      </c>
    </row>
    <row r="39" spans="1:7" ht="15.6">
      <c r="A39" s="12">
        <v>1667</v>
      </c>
      <c r="B39" s="12" t="s">
        <v>379</v>
      </c>
      <c r="C39" s="8" t="s">
        <v>95</v>
      </c>
      <c r="D39" s="77"/>
      <c r="E39" s="7"/>
      <c r="F39" s="69"/>
      <c r="G39" s="7">
        <f t="shared" si="0"/>
        <v>0</v>
      </c>
    </row>
    <row r="40" spans="1:7" ht="15.6">
      <c r="A40" s="12">
        <v>1668</v>
      </c>
      <c r="B40" s="12" t="s">
        <v>380</v>
      </c>
      <c r="C40" s="8" t="s">
        <v>95</v>
      </c>
      <c r="D40" s="77"/>
      <c r="E40" s="7"/>
      <c r="F40" s="69"/>
      <c r="G40" s="7">
        <f t="shared" si="0"/>
        <v>0</v>
      </c>
    </row>
    <row r="41" spans="1:7" ht="15.6">
      <c r="A41" s="17">
        <v>1668</v>
      </c>
      <c r="B41" s="17" t="s">
        <v>381</v>
      </c>
      <c r="C41" s="8" t="s">
        <v>95</v>
      </c>
      <c r="D41" s="77"/>
      <c r="E41" s="7"/>
      <c r="F41" s="69"/>
      <c r="G41" s="7">
        <f t="shared" si="0"/>
        <v>0</v>
      </c>
    </row>
    <row r="42" spans="1:7" ht="15.6">
      <c r="A42" s="11">
        <v>1727</v>
      </c>
      <c r="B42" s="12" t="s">
        <v>382</v>
      </c>
      <c r="C42" s="8" t="s">
        <v>355</v>
      </c>
      <c r="D42" s="77"/>
      <c r="E42" s="7"/>
      <c r="F42" s="69"/>
      <c r="G42" s="7">
        <f t="shared" si="0"/>
        <v>0</v>
      </c>
    </row>
    <row r="43" spans="1:7" ht="15.6">
      <c r="A43" s="12">
        <v>1856</v>
      </c>
      <c r="B43" s="12" t="s">
        <v>383</v>
      </c>
      <c r="C43" s="8" t="s">
        <v>95</v>
      </c>
      <c r="D43" s="77"/>
      <c r="E43" s="62" t="e">
        <f>SUMIFS('DATA ENTRY - REQUEST'!#REF!,'DATA ENTRY - REQUEST'!E:E,"=Revised UMID")</f>
        <v>#REF!</v>
      </c>
      <c r="F43" s="69" t="e">
        <f>SUMIFS('DATA ENTRY - REQUEST'!#REF!,'DATA ENTRY - REQUEST'!E:E,"=Revised UMID")</f>
        <v>#REF!</v>
      </c>
      <c r="G43" s="7" t="e">
        <f t="shared" ref="G43" si="2">D43+E43-F43</f>
        <v>#REF!</v>
      </c>
    </row>
    <row r="44" spans="1:7" ht="15.6">
      <c r="A44" s="12">
        <v>2400</v>
      </c>
      <c r="B44" s="12" t="s">
        <v>384</v>
      </c>
      <c r="C44" s="8" t="s">
        <v>355</v>
      </c>
      <c r="D44" s="77"/>
      <c r="E44" s="7"/>
      <c r="F44" s="69"/>
      <c r="G44" s="7">
        <f t="shared" si="0"/>
        <v>0</v>
      </c>
    </row>
    <row r="45" spans="1:7" ht="15.6">
      <c r="A45" s="12">
        <v>1976</v>
      </c>
      <c r="B45" s="12" t="s">
        <v>385</v>
      </c>
      <c r="C45" s="8" t="s">
        <v>95</v>
      </c>
      <c r="D45" s="77"/>
      <c r="E45" s="7"/>
      <c r="F45" s="69"/>
      <c r="G45" s="7">
        <f t="shared" si="0"/>
        <v>0</v>
      </c>
    </row>
    <row r="46" spans="1:7" ht="15.6">
      <c r="A46" s="12">
        <v>2518</v>
      </c>
      <c r="B46" s="12" t="s">
        <v>386</v>
      </c>
      <c r="C46" s="8" t="s">
        <v>95</v>
      </c>
      <c r="D46" s="77"/>
      <c r="E46" s="7"/>
      <c r="F46" s="69"/>
      <c r="G46" s="7">
        <f t="shared" si="0"/>
        <v>0</v>
      </c>
    </row>
    <row r="47" spans="1:7" ht="15.6">
      <c r="A47" s="12"/>
      <c r="B47" s="12"/>
      <c r="C47" s="8"/>
      <c r="D47" s="77"/>
      <c r="E47" s="7"/>
      <c r="F47" s="69"/>
      <c r="G47" s="7">
        <f t="shared" si="0"/>
        <v>0</v>
      </c>
    </row>
    <row r="48" spans="1:7" ht="15.6">
      <c r="A48" s="17">
        <v>2279</v>
      </c>
      <c r="B48" s="17" t="s">
        <v>387</v>
      </c>
      <c r="C48" s="8" t="s">
        <v>95</v>
      </c>
      <c r="D48" s="77"/>
      <c r="E48" s="62" t="e">
        <f>SUMIFS('DATA ENTRY - REQUEST'!#REF!,'DATA ENTRY - REQUEST'!E:E,"=Sickness Notification")</f>
        <v>#REF!</v>
      </c>
      <c r="F48" s="69" t="e">
        <f>SUMIFS('DATA ENTRY - REQUEST'!#REF!,'DATA ENTRY - REQUEST'!E:E,"=Sickness Notification")</f>
        <v>#REF!</v>
      </c>
      <c r="G48" s="7" t="s">
        <v>344</v>
      </c>
    </row>
    <row r="49" spans="1:7" ht="15.6">
      <c r="A49" s="17">
        <v>2280</v>
      </c>
      <c r="B49" s="17" t="s">
        <v>388</v>
      </c>
      <c r="C49" s="8" t="s">
        <v>95</v>
      </c>
      <c r="D49" s="77"/>
      <c r="E49" s="62" t="e">
        <f>SUMIFS('DATA ENTRY - REQUEST'!#REF!,'DATA ENTRY - REQUEST'!E:E,"=Bookpaper/Offset – A4")</f>
        <v>#REF!</v>
      </c>
      <c r="F49" s="69" t="e">
        <f>SUMIFS('DATA ENTRY - REQUEST'!#REF!,'DATA ENTRY - REQUEST'!E:E,"=Retirement Claim Application Part II")</f>
        <v>#REF!</v>
      </c>
      <c r="G49" s="7" t="e">
        <f t="shared" si="0"/>
        <v>#REF!</v>
      </c>
    </row>
    <row r="50" spans="1:7" ht="15.6">
      <c r="A50" s="17">
        <v>2281</v>
      </c>
      <c r="B50" s="17" t="s">
        <v>389</v>
      </c>
      <c r="C50" s="8" t="s">
        <v>95</v>
      </c>
      <c r="D50" s="77"/>
      <c r="E50" s="62" t="e">
        <f>SUMIFS('DATA ENTRY - REQUEST'!#REF!,'DATA ENTRY - REQUEST'!E:E,"=Bookpaper/Offset – A4")</f>
        <v>#REF!</v>
      </c>
      <c r="F50" s="69" t="e">
        <f>SUMIFS('DATA ENTRY - REQUEST'!#REF!,'DATA ENTRY - REQUEST'!E:E,"=Retirement Claim Application Part II")</f>
        <v>#REF!</v>
      </c>
      <c r="G50" s="7" t="e">
        <f t="shared" si="0"/>
        <v>#REF!</v>
      </c>
    </row>
    <row r="51" spans="1:7" ht="15.6">
      <c r="A51" s="17">
        <v>2291</v>
      </c>
      <c r="B51" s="17" t="s">
        <v>390</v>
      </c>
      <c r="C51" s="8" t="s">
        <v>95</v>
      </c>
      <c r="D51" s="77"/>
      <c r="E51" s="62" t="e">
        <f>SUMIFS('DATA ENTRY - REQUEST'!#REF!,'DATA ENTRY - REQUEST'!E:E,"=Bookpaper/Offset – A4")</f>
        <v>#REF!</v>
      </c>
      <c r="F51" s="69" t="e">
        <f>SUMIFS('DATA ENTRY - REQUEST'!#REF!,'DATA ENTRY - REQUEST'!E:E,"=Retirement Claim Application Part II")</f>
        <v>#REF!</v>
      </c>
      <c r="G51" s="7" t="e">
        <f t="shared" si="0"/>
        <v>#REF!</v>
      </c>
    </row>
    <row r="52" spans="1:7" ht="15.6">
      <c r="A52" s="11">
        <v>2282</v>
      </c>
      <c r="B52" s="17" t="s">
        <v>391</v>
      </c>
      <c r="C52" s="8" t="s">
        <v>95</v>
      </c>
      <c r="D52" s="77"/>
      <c r="E52" s="7"/>
      <c r="F52" s="69"/>
      <c r="G52" s="7">
        <f t="shared" si="0"/>
        <v>0</v>
      </c>
    </row>
    <row r="53" spans="1:7" ht="15.6">
      <c r="A53" s="17">
        <v>2283</v>
      </c>
      <c r="B53" s="17" t="s">
        <v>392</v>
      </c>
      <c r="C53" s="8" t="s">
        <v>95</v>
      </c>
      <c r="D53" s="77"/>
      <c r="E53" s="62" t="e">
        <f>SUMIFS('DATA ENTRY - REQUEST'!#REF!,'DATA ENTRY - REQUEST'!E:E,"=Bookpaper/Offset – A4")</f>
        <v>#REF!</v>
      </c>
      <c r="F53" s="69" t="e">
        <f>SUMIFS('DATA ENTRY - REQUEST'!#REF!,'DATA ENTRY - REQUEST'!E:E,"=Retirement Claim Application Part II")</f>
        <v>#REF!</v>
      </c>
      <c r="G53" s="7" t="e">
        <f t="shared" si="0"/>
        <v>#REF!</v>
      </c>
    </row>
    <row r="54" spans="1:7" ht="15.6">
      <c r="A54" s="17">
        <v>2292</v>
      </c>
      <c r="B54" s="17" t="s">
        <v>393</v>
      </c>
      <c r="C54" s="8" t="s">
        <v>95</v>
      </c>
      <c r="D54" s="77"/>
      <c r="E54" s="62" t="e">
        <f>SUMIFS('DATA ENTRY - REQUEST'!#REF!,'DATA ENTRY - REQUEST'!E:E,"=Bookpaper/Offset – A4")</f>
        <v>#REF!</v>
      </c>
      <c r="F54" s="69" t="e">
        <f>SUMIFS('DATA ENTRY - REQUEST'!#REF!,'DATA ENTRY - REQUEST'!E:E,"=Retirement Claim Application Part II")</f>
        <v>#REF!</v>
      </c>
      <c r="G54" s="7" t="e">
        <f t="shared" si="0"/>
        <v>#REF!</v>
      </c>
    </row>
    <row r="55" spans="1:7" ht="15.6">
      <c r="A55" s="17">
        <v>2284</v>
      </c>
      <c r="B55" s="17" t="s">
        <v>394</v>
      </c>
      <c r="C55" s="8" t="s">
        <v>95</v>
      </c>
      <c r="D55" s="77"/>
      <c r="E55" s="62" t="e">
        <f>SUMIFS('DATA ENTRY - REQUEST'!#REF!,'DATA ENTRY - REQUEST'!E:E,"=Bookpaper/Offset – A4")</f>
        <v>#REF!</v>
      </c>
      <c r="F55" s="69" t="e">
        <f>SUMIFS('DATA ENTRY - REQUEST'!#REF!,'DATA ENTRY - REQUEST'!E:E,"=Retirement Claim Application Part II")</f>
        <v>#REF!</v>
      </c>
      <c r="G55" s="7" t="e">
        <f t="shared" si="0"/>
        <v>#REF!</v>
      </c>
    </row>
    <row r="56" spans="1:7" ht="15.6">
      <c r="A56" s="17">
        <v>2293</v>
      </c>
      <c r="B56" s="17" t="s">
        <v>395</v>
      </c>
      <c r="C56" s="8" t="s">
        <v>95</v>
      </c>
      <c r="D56" s="77"/>
      <c r="E56" s="62" t="e">
        <f>SUMIFS('DATA ENTRY - REQUEST'!#REF!,'DATA ENTRY - REQUEST'!E:E,"=Bookpaper/Offset – A4")</f>
        <v>#REF!</v>
      </c>
      <c r="F56" s="69" t="e">
        <f>SUMIFS('DATA ENTRY - REQUEST'!#REF!,'DATA ENTRY - REQUEST'!E:E,"=Retirement Claim Application Part II")</f>
        <v>#REF!</v>
      </c>
      <c r="G56" s="7" t="e">
        <f t="shared" si="0"/>
        <v>#REF!</v>
      </c>
    </row>
    <row r="57" spans="1:7" ht="15.6">
      <c r="A57" s="17">
        <v>2077</v>
      </c>
      <c r="B57" s="17" t="s">
        <v>396</v>
      </c>
      <c r="C57" s="8" t="s">
        <v>95</v>
      </c>
      <c r="D57" s="77"/>
      <c r="E57" s="7"/>
      <c r="F57" s="69"/>
      <c r="G57" s="7">
        <f t="shared" si="0"/>
        <v>0</v>
      </c>
    </row>
    <row r="58" spans="1:7" ht="15.6">
      <c r="A58" s="17">
        <v>2013</v>
      </c>
      <c r="B58" s="17" t="s">
        <v>397</v>
      </c>
      <c r="C58" s="8" t="s">
        <v>95</v>
      </c>
      <c r="D58" s="77"/>
      <c r="E58" s="7"/>
      <c r="F58" s="69"/>
      <c r="G58" s="7">
        <f t="shared" si="0"/>
        <v>0</v>
      </c>
    </row>
    <row r="59" spans="1:7" ht="15.6">
      <c r="A59" s="12"/>
      <c r="B59" s="12" t="s">
        <v>398</v>
      </c>
      <c r="C59" s="8" t="s">
        <v>95</v>
      </c>
      <c r="D59" s="77"/>
      <c r="E59" s="7"/>
      <c r="F59" s="69"/>
      <c r="G59" s="7">
        <f t="shared" si="0"/>
        <v>0</v>
      </c>
    </row>
    <row r="60" spans="1:7" ht="15.6">
      <c r="A60" s="12">
        <v>2517</v>
      </c>
      <c r="B60" s="12" t="s">
        <v>399</v>
      </c>
      <c r="C60" s="8" t="s">
        <v>95</v>
      </c>
      <c r="D60" s="77"/>
      <c r="E60" s="62" t="e">
        <f>SUMIFS('DATA ENTRY - REQUEST'!#REF!,'DATA ENTRY - REQUEST'!E:E,"=Request Verification Form")</f>
        <v>#REF!</v>
      </c>
      <c r="F60" s="69" t="e">
        <f>SUMIFS('DATA ENTRY - REQUEST'!#REF!,'DATA ENTRY - REQUEST'!E:E,"=Request Verification Form")</f>
        <v>#REF!</v>
      </c>
      <c r="G60" s="7" t="e">
        <f t="shared" si="0"/>
        <v>#REF!</v>
      </c>
    </row>
    <row r="61" spans="1:7" ht="15.6">
      <c r="A61" s="12">
        <v>2519</v>
      </c>
      <c r="B61" s="12" t="s">
        <v>400</v>
      </c>
      <c r="C61" s="8" t="s">
        <v>95</v>
      </c>
      <c r="D61" s="77"/>
      <c r="E61" s="62" t="e">
        <f>SUMIFS('DATA ENTRY - REQUEST'!#REF!,'DATA ENTRY - REQUEST'!E:E,"=E4 Member Data Change Request pg. 1")</f>
        <v>#REF!</v>
      </c>
      <c r="F61" s="69" t="e">
        <f>SUMIFS('DATA ENTRY - REQUEST'!#REF!,'DATA ENTRY - REQUEST'!E:E,"=E4 Member Data Change Request pg. 1")</f>
        <v>#REF!</v>
      </c>
      <c r="G61" s="7" t="e">
        <f t="shared" si="0"/>
        <v>#REF!</v>
      </c>
    </row>
    <row r="62" spans="1:7" ht="15.6">
      <c r="A62" s="12">
        <v>2520</v>
      </c>
      <c r="B62" s="12" t="s">
        <v>401</v>
      </c>
      <c r="C62" s="8" t="s">
        <v>95</v>
      </c>
      <c r="D62" s="77"/>
      <c r="E62" s="7"/>
      <c r="F62" s="69"/>
      <c r="G62" s="7">
        <f t="shared" si="0"/>
        <v>0</v>
      </c>
    </row>
    <row r="63" spans="1:7" ht="15.6">
      <c r="A63" s="12">
        <v>226</v>
      </c>
      <c r="B63" s="12" t="s">
        <v>402</v>
      </c>
      <c r="C63" s="8" t="s">
        <v>95</v>
      </c>
      <c r="D63" s="77"/>
      <c r="E63" s="7"/>
      <c r="F63" s="69"/>
      <c r="G63" s="7">
        <f t="shared" si="0"/>
        <v>0</v>
      </c>
    </row>
    <row r="64" spans="1:7" ht="15.6">
      <c r="A64" s="12">
        <v>225</v>
      </c>
      <c r="B64" s="12" t="s">
        <v>403</v>
      </c>
      <c r="C64" s="8" t="s">
        <v>95</v>
      </c>
      <c r="D64" s="77"/>
      <c r="E64" s="62" t="e">
        <f>SUMIFS('DATA ENTRY - REQUEST'!#REF!,'DATA ENTRY - REQUEST'!E:E,"=Bookpaper/Offset – A4")</f>
        <v>#REF!</v>
      </c>
      <c r="F64" s="69" t="e">
        <f>SUMIFS('DATA ENTRY - REQUEST'!#REF!,'DATA ENTRY - REQUEST'!E:E,"=Retirement Claim Application Part II")</f>
        <v>#REF!</v>
      </c>
      <c r="G64" s="7" t="e">
        <f t="shared" si="0"/>
        <v>#REF!</v>
      </c>
    </row>
    <row r="65" spans="1:7" ht="15.6">
      <c r="A65" s="12">
        <v>227</v>
      </c>
      <c r="B65" s="12" t="s">
        <v>404</v>
      </c>
      <c r="C65" s="8" t="s">
        <v>95</v>
      </c>
      <c r="D65" s="77"/>
      <c r="E65" s="62" t="e">
        <f>SUMIFS('DATA ENTRY - REQUEST'!#REF!,'DATA ENTRY - REQUEST'!E:E,"=Bookpaper/Offset – A4")</f>
        <v>#REF!</v>
      </c>
      <c r="F65" s="69" t="e">
        <f>SUMIFS('DATA ENTRY - REQUEST'!#REF!,'DATA ENTRY - REQUEST'!E:E,"=Retirement Claim Application Part II")</f>
        <v>#REF!</v>
      </c>
      <c r="G65" s="7" t="e">
        <f t="shared" si="0"/>
        <v>#REF!</v>
      </c>
    </row>
    <row r="66" spans="1:7" ht="15.6">
      <c r="A66" s="12">
        <v>242</v>
      </c>
      <c r="B66" s="12" t="s">
        <v>405</v>
      </c>
      <c r="C66" s="8" t="s">
        <v>95</v>
      </c>
      <c r="D66" s="77"/>
      <c r="E66" s="7"/>
      <c r="F66" s="69"/>
      <c r="G66" s="7">
        <f t="shared" si="0"/>
        <v>0</v>
      </c>
    </row>
    <row r="67" spans="1:7" ht="15.6">
      <c r="A67" s="12">
        <v>243</v>
      </c>
      <c r="B67" s="12" t="s">
        <v>406</v>
      </c>
      <c r="C67" s="8" t="s">
        <v>95</v>
      </c>
      <c r="D67" s="77"/>
      <c r="E67" s="7"/>
      <c r="F67" s="69"/>
      <c r="G67" s="7">
        <f t="shared" si="0"/>
        <v>0</v>
      </c>
    </row>
    <row r="68" spans="1:7" ht="15.6">
      <c r="A68" s="12"/>
      <c r="B68" s="12" t="s">
        <v>407</v>
      </c>
      <c r="C68" s="8" t="s">
        <v>95</v>
      </c>
      <c r="D68" s="77"/>
      <c r="E68" s="7"/>
      <c r="F68" s="69"/>
      <c r="G68" s="7">
        <f t="shared" si="0"/>
        <v>0</v>
      </c>
    </row>
    <row r="69" spans="1:7" ht="15.6">
      <c r="A69" s="12"/>
      <c r="B69" s="12" t="s">
        <v>408</v>
      </c>
      <c r="C69" s="8" t="s">
        <v>95</v>
      </c>
      <c r="D69" s="77"/>
      <c r="E69" s="7"/>
      <c r="F69" s="69"/>
      <c r="G69" s="7">
        <f t="shared" ref="G69:G143" si="3">D69+E69-F69</f>
        <v>0</v>
      </c>
    </row>
    <row r="70" spans="1:7" ht="15.6">
      <c r="A70" s="12"/>
      <c r="B70" s="12" t="s">
        <v>409</v>
      </c>
      <c r="C70" s="8" t="s">
        <v>95</v>
      </c>
      <c r="D70" s="77"/>
      <c r="E70" s="7"/>
      <c r="F70" s="69"/>
      <c r="G70" s="7">
        <f t="shared" si="3"/>
        <v>0</v>
      </c>
    </row>
    <row r="71" spans="1:7" ht="15.6">
      <c r="A71" s="12">
        <v>103</v>
      </c>
      <c r="B71" s="12" t="s">
        <v>410</v>
      </c>
      <c r="C71" s="8" t="s">
        <v>411</v>
      </c>
      <c r="D71" s="77"/>
      <c r="E71" s="7"/>
      <c r="F71" s="69"/>
      <c r="G71" s="7">
        <f t="shared" si="3"/>
        <v>0</v>
      </c>
    </row>
    <row r="72" spans="1:7" ht="15.6">
      <c r="A72" s="12">
        <v>1551</v>
      </c>
      <c r="B72" s="12" t="s">
        <v>412</v>
      </c>
      <c r="C72" s="8" t="s">
        <v>95</v>
      </c>
      <c r="D72" s="77"/>
      <c r="E72" s="7"/>
      <c r="F72" s="69"/>
      <c r="G72" s="7">
        <f t="shared" si="3"/>
        <v>0</v>
      </c>
    </row>
    <row r="73" spans="1:7" ht="15.6">
      <c r="A73" s="12">
        <v>1552</v>
      </c>
      <c r="B73" s="12" t="s">
        <v>413</v>
      </c>
      <c r="C73" s="8" t="s">
        <v>95</v>
      </c>
      <c r="D73" s="77"/>
      <c r="E73" s="7"/>
      <c r="F73" s="69"/>
      <c r="G73" s="7">
        <f t="shared" si="3"/>
        <v>0</v>
      </c>
    </row>
    <row r="74" spans="1:7" ht="15.6">
      <c r="A74" s="12"/>
      <c r="B74" s="12" t="s">
        <v>414</v>
      </c>
      <c r="C74" s="8" t="s">
        <v>95</v>
      </c>
      <c r="D74" s="77"/>
      <c r="E74" s="7"/>
      <c r="F74" s="69"/>
      <c r="G74" s="7">
        <f t="shared" si="3"/>
        <v>0</v>
      </c>
    </row>
    <row r="75" spans="1:7" ht="15.6">
      <c r="A75" s="12"/>
      <c r="B75" s="12" t="s">
        <v>415</v>
      </c>
      <c r="C75" s="8" t="s">
        <v>95</v>
      </c>
      <c r="D75" s="77"/>
      <c r="E75" s="7"/>
      <c r="F75" s="69"/>
      <c r="G75" s="7">
        <f t="shared" si="3"/>
        <v>0</v>
      </c>
    </row>
    <row r="76" spans="1:7" ht="30.75" customHeight="1">
      <c r="A76" s="12"/>
      <c r="B76" s="20" t="s">
        <v>416</v>
      </c>
      <c r="C76" s="8" t="s">
        <v>95</v>
      </c>
      <c r="D76" s="77"/>
      <c r="E76" s="7"/>
      <c r="F76" s="69"/>
      <c r="G76" s="7">
        <f t="shared" si="3"/>
        <v>0</v>
      </c>
    </row>
    <row r="77" spans="1:7" ht="15.6">
      <c r="A77" s="12"/>
      <c r="B77" s="20" t="s">
        <v>417</v>
      </c>
      <c r="C77" s="8" t="s">
        <v>95</v>
      </c>
      <c r="D77" s="77"/>
      <c r="E77" s="62" t="e">
        <f>SUMIFS('DATA ENTRY - REQUEST'!#REF!,'DATA ENTRY - REQUEST'!E:E,"=Letter of Introduction")</f>
        <v>#REF!</v>
      </c>
      <c r="F77" s="69" t="e">
        <f>SUMIFS('DATA ENTRY - REQUEST'!#REF!,'DATA ENTRY - REQUEST'!E:E,"=Letter of Introduction")</f>
        <v>#REF!</v>
      </c>
      <c r="G77" s="7" t="e">
        <f t="shared" si="3"/>
        <v>#REF!</v>
      </c>
    </row>
    <row r="78" spans="1:7" ht="15.6">
      <c r="A78" s="12"/>
      <c r="B78" s="20" t="s">
        <v>418</v>
      </c>
      <c r="C78" s="8" t="s">
        <v>95</v>
      </c>
      <c r="D78" s="77"/>
      <c r="E78" s="7"/>
      <c r="F78" s="69"/>
      <c r="G78" s="7">
        <f t="shared" si="3"/>
        <v>0</v>
      </c>
    </row>
    <row r="79" spans="1:7" ht="15.6">
      <c r="A79" s="12"/>
      <c r="B79" s="20" t="s">
        <v>419</v>
      </c>
      <c r="C79" s="8" t="s">
        <v>95</v>
      </c>
      <c r="D79" s="77"/>
      <c r="E79" s="7"/>
      <c r="F79" s="69"/>
      <c r="G79" s="7">
        <f t="shared" si="3"/>
        <v>0</v>
      </c>
    </row>
    <row r="80" spans="1:7" ht="30.75" customHeight="1">
      <c r="A80" s="12">
        <v>2377</v>
      </c>
      <c r="B80" s="20" t="s">
        <v>420</v>
      </c>
      <c r="C80" s="8" t="s">
        <v>234</v>
      </c>
      <c r="D80" s="77"/>
      <c r="E80" s="62" t="e">
        <f>SUMIFS('DATA ENTRY - REQUEST'!#REF!,'DATA ENTRY - REQUEST'!E:E,"=Pre-printed form special paper for Employer Certificate of registration")</f>
        <v>#REF!</v>
      </c>
      <c r="F80" s="69" t="e">
        <f>SUMIFS('DATA ENTRY - REQUEST'!#REF!,'DATA ENTRY - REQUEST'!E:E,"=Pre-printed form special paper for Employer Certificate of registration")</f>
        <v>#REF!</v>
      </c>
      <c r="G80" s="7" t="e">
        <f t="shared" si="3"/>
        <v>#REF!</v>
      </c>
    </row>
    <row r="81" spans="1:7" ht="15.6">
      <c r="A81" s="12">
        <v>252</v>
      </c>
      <c r="B81" s="20" t="s">
        <v>421</v>
      </c>
      <c r="C81" s="8" t="s">
        <v>95</v>
      </c>
      <c r="D81" s="77"/>
      <c r="E81" s="7"/>
      <c r="F81" s="69"/>
      <c r="G81" s="7">
        <f t="shared" si="3"/>
        <v>0</v>
      </c>
    </row>
    <row r="82" spans="1:7" ht="15.6">
      <c r="A82" s="12">
        <v>232</v>
      </c>
      <c r="B82" s="20" t="s">
        <v>422</v>
      </c>
      <c r="C82" s="8" t="s">
        <v>95</v>
      </c>
      <c r="D82" s="77"/>
      <c r="E82" s="7"/>
      <c r="F82" s="69"/>
      <c r="G82" s="7">
        <f t="shared" si="3"/>
        <v>0</v>
      </c>
    </row>
    <row r="83" spans="1:7" ht="15.6">
      <c r="A83" s="12">
        <v>233</v>
      </c>
      <c r="B83" s="20" t="s">
        <v>423</v>
      </c>
      <c r="C83" s="8" t="s">
        <v>95</v>
      </c>
      <c r="D83" s="77"/>
      <c r="E83" s="7"/>
      <c r="F83" s="69"/>
      <c r="G83" s="7">
        <f t="shared" si="3"/>
        <v>0</v>
      </c>
    </row>
    <row r="84" spans="1:7" ht="30.75" customHeight="1">
      <c r="A84" s="12"/>
      <c r="B84" s="20" t="s">
        <v>424</v>
      </c>
      <c r="C84" s="8" t="s">
        <v>95</v>
      </c>
      <c r="D84" s="77"/>
      <c r="E84" s="7"/>
      <c r="F84" s="69"/>
      <c r="G84" s="7">
        <f t="shared" si="3"/>
        <v>0</v>
      </c>
    </row>
    <row r="85" spans="1:7" ht="15.6">
      <c r="A85" s="12"/>
      <c r="B85" s="20" t="s">
        <v>425</v>
      </c>
      <c r="C85" s="8" t="s">
        <v>95</v>
      </c>
      <c r="D85" s="77"/>
      <c r="E85" s="7"/>
      <c r="F85" s="69"/>
      <c r="G85" s="7">
        <f t="shared" si="3"/>
        <v>0</v>
      </c>
    </row>
    <row r="86" spans="1:7" ht="15.6">
      <c r="A86" s="12"/>
      <c r="B86" s="20" t="s">
        <v>426</v>
      </c>
      <c r="C86" s="8" t="s">
        <v>95</v>
      </c>
      <c r="D86" s="77"/>
      <c r="E86" s="7"/>
      <c r="F86" s="69"/>
      <c r="G86" s="7">
        <f t="shared" si="3"/>
        <v>0</v>
      </c>
    </row>
    <row r="87" spans="1:7" ht="15.6">
      <c r="A87" s="12">
        <v>241</v>
      </c>
      <c r="B87" s="12" t="s">
        <v>427</v>
      </c>
      <c r="C87" s="8" t="s">
        <v>95</v>
      </c>
      <c r="D87" s="77"/>
      <c r="E87" s="7"/>
      <c r="F87" s="69"/>
      <c r="G87" s="7">
        <f t="shared" si="3"/>
        <v>0</v>
      </c>
    </row>
    <row r="88" spans="1:7" ht="15.6">
      <c r="A88" s="12">
        <v>2521</v>
      </c>
      <c r="B88" s="12" t="s">
        <v>428</v>
      </c>
      <c r="C88" s="8" t="s">
        <v>95</v>
      </c>
      <c r="D88" s="77"/>
      <c r="E88" s="7"/>
      <c r="F88" s="69"/>
      <c r="G88" s="7">
        <f t="shared" si="3"/>
        <v>0</v>
      </c>
    </row>
    <row r="89" spans="1:7" ht="15.6">
      <c r="A89" s="12"/>
      <c r="B89" s="12" t="s">
        <v>429</v>
      </c>
      <c r="C89" s="8" t="s">
        <v>95</v>
      </c>
      <c r="D89" s="77"/>
      <c r="E89" s="7"/>
      <c r="F89" s="69"/>
      <c r="G89" s="7">
        <f t="shared" si="3"/>
        <v>0</v>
      </c>
    </row>
    <row r="90" spans="1:7" ht="15.6">
      <c r="A90" s="12"/>
      <c r="B90" s="12" t="s">
        <v>430</v>
      </c>
      <c r="C90" s="8" t="s">
        <v>95</v>
      </c>
      <c r="D90" s="77"/>
      <c r="E90" s="7"/>
      <c r="F90" s="69"/>
      <c r="G90" s="7">
        <f t="shared" si="3"/>
        <v>0</v>
      </c>
    </row>
    <row r="91" spans="1:7" ht="15.6">
      <c r="A91" s="12">
        <v>2508</v>
      </c>
      <c r="B91" s="12" t="s">
        <v>431</v>
      </c>
      <c r="C91" s="8" t="s">
        <v>95</v>
      </c>
      <c r="D91" s="77"/>
      <c r="E91" s="7"/>
      <c r="F91" s="69"/>
      <c r="G91" s="7">
        <f t="shared" si="3"/>
        <v>0</v>
      </c>
    </row>
    <row r="92" spans="1:7" ht="15.6">
      <c r="A92" s="12"/>
      <c r="B92" s="12" t="s">
        <v>432</v>
      </c>
      <c r="C92" s="8" t="s">
        <v>95</v>
      </c>
      <c r="D92" s="77"/>
      <c r="E92" s="7"/>
      <c r="F92" s="69"/>
      <c r="G92" s="7">
        <f t="shared" si="3"/>
        <v>0</v>
      </c>
    </row>
    <row r="93" spans="1:7" ht="15.6">
      <c r="A93" s="12"/>
      <c r="B93" s="12"/>
      <c r="C93" s="8"/>
      <c r="D93" s="77"/>
      <c r="E93" s="7"/>
      <c r="F93" s="69"/>
      <c r="G93" s="7"/>
    </row>
    <row r="94" spans="1:7" ht="15.6">
      <c r="A94" s="12">
        <v>2157</v>
      </c>
      <c r="B94" s="12" t="s">
        <v>433</v>
      </c>
      <c r="C94" s="8" t="s">
        <v>234</v>
      </c>
      <c r="D94" s="77">
        <v>3</v>
      </c>
      <c r="E94" s="62" t="e">
        <f>SUMIFS('DATA ENTRY - REQUEST'!#REF!,'DATA ENTRY - REQUEST'!E:E,"=Toner Samsung M3820ND")</f>
        <v>#REF!</v>
      </c>
      <c r="F94" s="69" t="e">
        <f>SUMIFS('DATA ENTRY - REQUEST'!#REF!,'DATA ENTRY - REQUEST'!E:E,"=Toner Samsung M3820ND")</f>
        <v>#REF!</v>
      </c>
      <c r="G94" s="7" t="e">
        <f t="shared" ref="G94:G95" si="4">D94+E94-F94</f>
        <v>#REF!</v>
      </c>
    </row>
    <row r="95" spans="1:7" ht="15.6">
      <c r="A95" s="12">
        <v>2201</v>
      </c>
      <c r="B95" s="12" t="s">
        <v>434</v>
      </c>
      <c r="C95" s="8" t="s">
        <v>234</v>
      </c>
      <c r="D95" s="77">
        <v>5</v>
      </c>
      <c r="E95" s="62" t="e">
        <f>SUMIFS('DATA ENTRY - REQUEST'!#REF!,'DATA ENTRY - REQUEST'!E:E,"=Toner for Brother HL-5450DN")</f>
        <v>#REF!</v>
      </c>
      <c r="F95" s="69" t="e">
        <f>SUMIFS('DATA ENTRY - REQUEST'!#REF!,'DATA ENTRY - REQUEST'!E:E,"=Toner for Brother HL-5450DN")</f>
        <v>#REF!</v>
      </c>
      <c r="G95" s="7" t="e">
        <f t="shared" si="4"/>
        <v>#REF!</v>
      </c>
    </row>
    <row r="96" spans="1:7" ht="15.6">
      <c r="A96" s="80" t="s">
        <v>435</v>
      </c>
      <c r="B96" s="80" t="s">
        <v>201</v>
      </c>
      <c r="C96" s="81" t="s">
        <v>234</v>
      </c>
      <c r="D96" s="82">
        <v>0</v>
      </c>
      <c r="E96" s="62" t="e">
        <f>SUMIFS('DATA ENTRY - REQUEST'!#REF!,'DATA ENTRY - REQUEST'!E:E,"=UBP QUICK CARDS - PENSION LOAN")</f>
        <v>#REF!</v>
      </c>
      <c r="F96" s="69" t="e">
        <f>SUMIFS('DATA ENTRY - REQUEST'!#REF!,'DATA ENTRY - REQUEST'!E:E,"=UBP QUICK CARDS - PENSION LOAN")</f>
        <v>#REF!</v>
      </c>
      <c r="G96" s="83" t="e">
        <f t="shared" ref="G96" si="5">D96+E96-F96</f>
        <v>#REF!</v>
      </c>
    </row>
    <row r="97" spans="1:7" ht="15.6">
      <c r="A97" s="12"/>
      <c r="B97" s="12"/>
      <c r="C97" s="8"/>
      <c r="D97" s="77"/>
      <c r="E97" s="7"/>
      <c r="F97" s="69"/>
      <c r="G97" s="7"/>
    </row>
    <row r="98" spans="1:7" ht="15.6">
      <c r="A98" s="12"/>
      <c r="B98" s="12"/>
      <c r="C98" s="8"/>
      <c r="D98" s="77"/>
      <c r="E98" s="7"/>
      <c r="F98" s="69"/>
      <c r="G98" s="7"/>
    </row>
    <row r="99" spans="1:7" ht="15.6">
      <c r="A99" s="12"/>
      <c r="B99" s="12"/>
      <c r="C99" s="8"/>
      <c r="D99" s="77"/>
      <c r="E99" s="7"/>
      <c r="F99" s="69"/>
      <c r="G99" s="7"/>
    </row>
    <row r="100" spans="1:7" ht="15.6">
      <c r="A100" s="12"/>
      <c r="B100" s="12"/>
      <c r="C100" s="8"/>
      <c r="D100" s="77"/>
      <c r="E100" s="7"/>
      <c r="F100" s="69"/>
      <c r="G100" s="7"/>
    </row>
    <row r="101" spans="1:7" ht="15.6">
      <c r="A101" s="12"/>
      <c r="B101" s="12"/>
      <c r="C101" s="8"/>
      <c r="D101" s="77"/>
      <c r="E101" s="7"/>
      <c r="F101" s="69"/>
      <c r="G101" s="7"/>
    </row>
    <row r="102" spans="1:7" ht="15.6">
      <c r="A102" s="12"/>
      <c r="B102" s="12"/>
      <c r="C102" s="8"/>
      <c r="D102" s="77"/>
      <c r="E102" s="7"/>
      <c r="F102" s="69"/>
      <c r="G102" s="7"/>
    </row>
    <row r="103" spans="1:7" ht="15.6">
      <c r="A103" s="118" t="s">
        <v>436</v>
      </c>
      <c r="B103" s="118"/>
      <c r="C103" s="8"/>
      <c r="D103" s="77"/>
      <c r="E103" s="7"/>
      <c r="F103" s="69"/>
      <c r="G103" s="7" t="s">
        <v>344</v>
      </c>
    </row>
    <row r="104" spans="1:7" ht="15.6">
      <c r="A104" s="12">
        <v>300</v>
      </c>
      <c r="B104" s="12" t="s">
        <v>437</v>
      </c>
      <c r="C104" s="8" t="s">
        <v>101</v>
      </c>
      <c r="D104" s="77"/>
      <c r="E104" s="62" t="e">
        <f>SUMIFS('DATA ENTRY - REQUEST'!#REF!,'DATA ENTRY - REQUEST'!E:E,"=Tape – Masking")</f>
        <v>#REF!</v>
      </c>
      <c r="F104" s="69" t="e">
        <f>SUMIFS('DATA ENTRY - REQUEST'!#REF!,'DATA ENTRY - REQUEST'!E:E,"=Tape - Transparent 1")</f>
        <v>#REF!</v>
      </c>
      <c r="G104" s="7" t="e">
        <f t="shared" si="3"/>
        <v>#REF!</v>
      </c>
    </row>
    <row r="105" spans="1:7" ht="15.6">
      <c r="A105" s="12">
        <v>301</v>
      </c>
      <c r="B105" s="12" t="s">
        <v>438</v>
      </c>
      <c r="C105" s="8" t="s">
        <v>234</v>
      </c>
      <c r="D105" s="77"/>
      <c r="E105" s="62" t="e">
        <f>SUMIFS('DATA ENTRY - REQUEST'!#REF!,'DATA ENTRY - REQUEST'!E:E,"=Tape - Transparent 1")</f>
        <v>#REF!</v>
      </c>
      <c r="F105" s="69" t="e">
        <f>SUMIFS('DATA ENTRY - REQUEST'!#REF!,'DATA ENTRY - REQUEST'!E:E,"=Tape - Transparent 1")</f>
        <v>#REF!</v>
      </c>
      <c r="G105" s="7" t="e">
        <f t="shared" si="3"/>
        <v>#REF!</v>
      </c>
    </row>
    <row r="106" spans="1:7" ht="15.6">
      <c r="A106" s="12">
        <v>305</v>
      </c>
      <c r="B106" s="12" t="s">
        <v>439</v>
      </c>
      <c r="C106" s="8" t="s">
        <v>98</v>
      </c>
      <c r="D106" s="77"/>
      <c r="E106" s="7"/>
      <c r="F106" s="69"/>
      <c r="G106" s="7">
        <f t="shared" si="3"/>
        <v>0</v>
      </c>
    </row>
    <row r="107" spans="1:7" ht="15.6">
      <c r="A107" s="12">
        <v>307</v>
      </c>
      <c r="B107" s="12" t="s">
        <v>440</v>
      </c>
      <c r="C107" s="8" t="s">
        <v>98</v>
      </c>
      <c r="D107" s="77"/>
      <c r="E107" s="7"/>
      <c r="F107" s="69"/>
      <c r="G107" s="7">
        <f t="shared" si="3"/>
        <v>0</v>
      </c>
    </row>
    <row r="108" spans="1:7" ht="15.6">
      <c r="A108" s="12">
        <v>308</v>
      </c>
      <c r="B108" s="12" t="s">
        <v>441</v>
      </c>
      <c r="C108" s="8" t="s">
        <v>442</v>
      </c>
      <c r="D108" s="77"/>
      <c r="E108" s="7"/>
      <c r="F108" s="69"/>
      <c r="G108" s="7">
        <f t="shared" si="3"/>
        <v>0</v>
      </c>
    </row>
    <row r="109" spans="1:7" ht="15.6">
      <c r="A109" s="12">
        <v>309</v>
      </c>
      <c r="B109" s="12" t="s">
        <v>443</v>
      </c>
      <c r="C109" s="8" t="s">
        <v>444</v>
      </c>
      <c r="D109" s="77"/>
      <c r="E109" s="7"/>
      <c r="F109" s="69"/>
      <c r="G109" s="7">
        <f t="shared" si="3"/>
        <v>0</v>
      </c>
    </row>
    <row r="110" spans="1:7" ht="15.6">
      <c r="A110" s="12">
        <v>310</v>
      </c>
      <c r="B110" s="12" t="s">
        <v>30</v>
      </c>
      <c r="C110" s="8" t="s">
        <v>98</v>
      </c>
      <c r="D110" s="77"/>
      <c r="E110" s="7"/>
      <c r="F110" s="69"/>
      <c r="G110" s="7">
        <f t="shared" si="3"/>
        <v>0</v>
      </c>
    </row>
    <row r="111" spans="1:7" ht="15.6">
      <c r="A111" s="12">
        <v>311</v>
      </c>
      <c r="B111" s="12" t="s">
        <v>445</v>
      </c>
      <c r="C111" s="8" t="s">
        <v>446</v>
      </c>
      <c r="D111" s="77"/>
      <c r="E111" s="7"/>
      <c r="F111" s="69"/>
      <c r="G111" s="7">
        <f t="shared" si="3"/>
        <v>0</v>
      </c>
    </row>
    <row r="112" spans="1:7" ht="15.6">
      <c r="A112" s="12">
        <v>313</v>
      </c>
      <c r="B112" s="12" t="s">
        <v>447</v>
      </c>
      <c r="C112" s="8" t="s">
        <v>448</v>
      </c>
      <c r="D112" s="77"/>
      <c r="E112" s="7"/>
      <c r="F112" s="69"/>
      <c r="G112" s="7">
        <f t="shared" si="3"/>
        <v>0</v>
      </c>
    </row>
    <row r="113" spans="1:7" ht="15.6">
      <c r="A113" s="12">
        <v>333</v>
      </c>
      <c r="B113" s="12" t="s">
        <v>449</v>
      </c>
      <c r="C113" s="8" t="s">
        <v>234</v>
      </c>
      <c r="D113" s="77"/>
      <c r="E113" s="7"/>
      <c r="F113" s="69"/>
      <c r="G113" s="7">
        <f t="shared" si="3"/>
        <v>0</v>
      </c>
    </row>
    <row r="114" spans="1:7" ht="15.6">
      <c r="A114" s="12">
        <v>335</v>
      </c>
      <c r="B114" s="12" t="s">
        <v>450</v>
      </c>
      <c r="C114" s="8" t="s">
        <v>234</v>
      </c>
      <c r="D114" s="77"/>
      <c r="E114" s="62" t="e">
        <f>SUMIFS('DATA ENTRY - REQUEST'!#REF!,'DATA ENTRY - REQUEST'!E:E,"=Correction Tape")</f>
        <v>#REF!</v>
      </c>
      <c r="F114" s="69" t="e">
        <f>SUMIFS('DATA ENTRY - REQUEST'!#REF!,'DATA ENTRY - REQUEST'!E:E,"=Correction Tape")</f>
        <v>#REF!</v>
      </c>
      <c r="G114" s="7" t="e">
        <f t="shared" si="3"/>
        <v>#REF!</v>
      </c>
    </row>
    <row r="115" spans="1:7" ht="15.6">
      <c r="A115" s="12">
        <v>337</v>
      </c>
      <c r="B115" s="12" t="s">
        <v>451</v>
      </c>
      <c r="C115" s="8" t="s">
        <v>234</v>
      </c>
      <c r="D115" s="77"/>
      <c r="E115" s="62" t="e">
        <f>SUMIFS('DATA ENTRY - REQUEST'!#REF!,'DATA ENTRY - REQUEST'!E:E,"=Ballpoint Pen – Black")</f>
        <v>#REF!</v>
      </c>
      <c r="F115" s="69" t="e">
        <f>SUMIFS('DATA ENTRY - REQUEST'!#REF!,'DATA ENTRY - REQUEST'!E:E,"=Ballpoint Pen – Black")</f>
        <v>#REF!</v>
      </c>
      <c r="G115" s="7" t="e">
        <f t="shared" si="3"/>
        <v>#REF!</v>
      </c>
    </row>
    <row r="116" spans="1:7" ht="15.6">
      <c r="A116" s="12"/>
      <c r="B116" s="12" t="s">
        <v>452</v>
      </c>
      <c r="C116" s="8" t="s">
        <v>234</v>
      </c>
      <c r="D116" s="77"/>
      <c r="E116" s="7"/>
      <c r="F116" s="69"/>
      <c r="G116" s="7">
        <f t="shared" si="3"/>
        <v>0</v>
      </c>
    </row>
    <row r="117" spans="1:7" ht="15.6">
      <c r="A117" s="12">
        <v>338</v>
      </c>
      <c r="B117" s="12" t="s">
        <v>453</v>
      </c>
      <c r="C117" s="8" t="s">
        <v>234</v>
      </c>
      <c r="D117" s="77"/>
      <c r="E117" s="62" t="e">
        <f>SUMIFS('DATA ENTRY - REQUEST'!#REF!,'DATA ENTRY - REQUEST'!E:E,"=Marking Pen Black")</f>
        <v>#REF!</v>
      </c>
      <c r="F117" s="69" t="e">
        <f>SUMIFS('DATA ENTRY - REQUEST'!#REF!,'DATA ENTRY - REQUEST'!E:E,"=Marking Pen Black")</f>
        <v>#REF!</v>
      </c>
      <c r="G117" s="7" t="e">
        <f t="shared" si="3"/>
        <v>#REF!</v>
      </c>
    </row>
    <row r="118" spans="1:7" ht="15.6">
      <c r="A118" s="12">
        <v>339</v>
      </c>
      <c r="B118" s="12" t="s">
        <v>454</v>
      </c>
      <c r="C118" s="8" t="s">
        <v>234</v>
      </c>
      <c r="D118" s="77"/>
      <c r="E118" s="7"/>
      <c r="F118" s="69"/>
      <c r="G118" s="7">
        <f t="shared" si="3"/>
        <v>0</v>
      </c>
    </row>
    <row r="119" spans="1:7" ht="15.6">
      <c r="A119" s="12">
        <v>340</v>
      </c>
      <c r="B119" s="12" t="s">
        <v>23</v>
      </c>
      <c r="C119" s="8" t="s">
        <v>234</v>
      </c>
      <c r="D119" s="77"/>
      <c r="E119" s="62" t="e">
        <f>SUMIFS('DATA ENTRY - REQUEST'!#REF!,'DATA ENTRY - REQUEST'!E:E,"=Pencil")</f>
        <v>#REF!</v>
      </c>
      <c r="F119" s="69" t="e">
        <f>SUMIFS('DATA ENTRY - REQUEST'!#REF!,'DATA ENTRY - REQUEST'!E:E,"=Pencil")</f>
        <v>#REF!</v>
      </c>
      <c r="G119" s="7" t="e">
        <f t="shared" si="3"/>
        <v>#REF!</v>
      </c>
    </row>
    <row r="120" spans="1:7" ht="15.6">
      <c r="A120" s="12">
        <v>341</v>
      </c>
      <c r="B120" s="12" t="s">
        <v>455</v>
      </c>
      <c r="C120" s="8" t="s">
        <v>234</v>
      </c>
      <c r="D120" s="77"/>
      <c r="E120" s="7"/>
      <c r="F120" s="69"/>
      <c r="G120" s="7">
        <f t="shared" si="3"/>
        <v>0</v>
      </c>
    </row>
    <row r="121" spans="1:7" ht="15.6">
      <c r="A121" s="12">
        <v>342</v>
      </c>
      <c r="B121" s="12" t="s">
        <v>456</v>
      </c>
      <c r="C121" s="8" t="s">
        <v>234</v>
      </c>
      <c r="D121" s="77"/>
      <c r="E121" s="62"/>
      <c r="F121" s="69"/>
      <c r="G121" s="7">
        <f t="shared" si="3"/>
        <v>0</v>
      </c>
    </row>
    <row r="122" spans="1:7" ht="15.6">
      <c r="A122" s="12">
        <v>344</v>
      </c>
      <c r="B122" s="12" t="s">
        <v>457</v>
      </c>
      <c r="C122" s="8" t="s">
        <v>446</v>
      </c>
      <c r="D122" s="77"/>
      <c r="E122" s="7"/>
      <c r="F122" s="69"/>
      <c r="G122" s="7">
        <f t="shared" si="3"/>
        <v>0</v>
      </c>
    </row>
    <row r="123" spans="1:7" ht="15.6">
      <c r="A123" s="12">
        <v>346</v>
      </c>
      <c r="B123" s="12" t="s">
        <v>458</v>
      </c>
      <c r="C123" s="8" t="s">
        <v>446</v>
      </c>
      <c r="D123" s="77"/>
      <c r="E123" s="7"/>
      <c r="F123" s="69"/>
      <c r="G123" s="7">
        <f t="shared" si="3"/>
        <v>0</v>
      </c>
    </row>
    <row r="124" spans="1:7" ht="15.6">
      <c r="A124" s="12">
        <v>2186</v>
      </c>
      <c r="B124" s="12" t="s">
        <v>459</v>
      </c>
      <c r="C124" s="8" t="s">
        <v>101</v>
      </c>
      <c r="D124" s="77"/>
      <c r="E124" s="7"/>
      <c r="F124" s="69"/>
      <c r="G124" s="7">
        <f t="shared" si="3"/>
        <v>0</v>
      </c>
    </row>
    <row r="125" spans="1:7" ht="15.6">
      <c r="A125" s="12">
        <v>1972</v>
      </c>
      <c r="B125" s="12" t="s">
        <v>460</v>
      </c>
      <c r="C125" s="8" t="s">
        <v>446</v>
      </c>
      <c r="D125" s="77"/>
      <c r="E125" s="7"/>
      <c r="F125" s="69"/>
      <c r="G125" s="7">
        <f t="shared" si="3"/>
        <v>0</v>
      </c>
    </row>
    <row r="126" spans="1:7" ht="15.6">
      <c r="A126" s="12">
        <v>2136</v>
      </c>
      <c r="B126" s="12" t="s">
        <v>461</v>
      </c>
      <c r="C126" s="8" t="s">
        <v>462</v>
      </c>
      <c r="D126" s="77"/>
      <c r="E126" s="7"/>
      <c r="F126" s="69"/>
      <c r="G126" s="7">
        <f t="shared" si="3"/>
        <v>0</v>
      </c>
    </row>
    <row r="127" spans="1:7" ht="15.6">
      <c r="A127" s="12">
        <v>336</v>
      </c>
      <c r="B127" s="12" t="s">
        <v>463</v>
      </c>
      <c r="C127" s="8" t="s">
        <v>234</v>
      </c>
      <c r="D127" s="77"/>
      <c r="E127" s="7"/>
      <c r="F127" s="69"/>
      <c r="G127" s="7">
        <f t="shared" si="3"/>
        <v>0</v>
      </c>
    </row>
    <row r="128" spans="1:7" ht="15.6">
      <c r="A128" s="12">
        <v>312</v>
      </c>
      <c r="B128" s="12" t="s">
        <v>464</v>
      </c>
      <c r="C128" s="8" t="s">
        <v>446</v>
      </c>
      <c r="D128" s="77"/>
      <c r="E128" s="7"/>
      <c r="F128" s="69"/>
      <c r="G128" s="7">
        <f t="shared" si="3"/>
        <v>0</v>
      </c>
    </row>
    <row r="129" spans="1:7" ht="15.6">
      <c r="A129" s="12">
        <v>2340</v>
      </c>
      <c r="B129" s="12" t="s">
        <v>465</v>
      </c>
      <c r="C129" s="8" t="s">
        <v>462</v>
      </c>
      <c r="D129" s="77"/>
      <c r="E129" s="7"/>
      <c r="F129" s="69"/>
      <c r="G129" s="7">
        <f t="shared" si="3"/>
        <v>0</v>
      </c>
    </row>
    <row r="130" spans="1:7" ht="15.6">
      <c r="A130" s="12">
        <v>345</v>
      </c>
      <c r="B130" s="12" t="s">
        <v>466</v>
      </c>
      <c r="C130" s="8" t="s">
        <v>446</v>
      </c>
      <c r="D130" s="77"/>
      <c r="E130" s="7"/>
      <c r="F130" s="69"/>
      <c r="G130" s="7">
        <f t="shared" si="3"/>
        <v>0</v>
      </c>
    </row>
    <row r="131" spans="1:7" ht="15.6">
      <c r="A131" s="160" t="s">
        <v>467</v>
      </c>
      <c r="B131" s="160"/>
      <c r="C131" s="21"/>
      <c r="D131" s="78"/>
      <c r="E131" s="64"/>
      <c r="F131" s="70"/>
      <c r="G131" s="7" t="s">
        <v>344</v>
      </c>
    </row>
    <row r="132" spans="1:7" ht="15.6">
      <c r="A132" s="12">
        <v>181</v>
      </c>
      <c r="B132" s="12" t="s">
        <v>353</v>
      </c>
      <c r="C132" s="8" t="s">
        <v>234</v>
      </c>
      <c r="D132" s="77"/>
      <c r="E132" s="7"/>
      <c r="F132" s="69"/>
      <c r="G132" s="7">
        <f t="shared" si="3"/>
        <v>0</v>
      </c>
    </row>
    <row r="133" spans="1:7" ht="15.6">
      <c r="A133" s="12">
        <v>137</v>
      </c>
      <c r="B133" s="12" t="s">
        <v>468</v>
      </c>
      <c r="C133" s="8" t="s">
        <v>234</v>
      </c>
      <c r="D133" s="77"/>
      <c r="E133" s="62"/>
      <c r="F133" s="69"/>
      <c r="G133" s="7">
        <f t="shared" si="3"/>
        <v>0</v>
      </c>
    </row>
    <row r="134" spans="1:7" ht="15.6">
      <c r="A134" s="10">
        <v>84</v>
      </c>
      <c r="B134" s="10" t="s">
        <v>303</v>
      </c>
      <c r="C134" s="8" t="s">
        <v>411</v>
      </c>
      <c r="D134" s="77"/>
      <c r="E134" s="7"/>
      <c r="F134" s="69"/>
      <c r="G134" s="7">
        <f t="shared" si="3"/>
        <v>0</v>
      </c>
    </row>
    <row r="135" spans="1:7" ht="15.6">
      <c r="A135" s="12">
        <v>1726</v>
      </c>
      <c r="B135" s="12" t="s">
        <v>469</v>
      </c>
      <c r="C135" s="8" t="s">
        <v>411</v>
      </c>
      <c r="D135" s="77"/>
      <c r="E135" s="7"/>
      <c r="F135" s="69"/>
      <c r="G135" s="7">
        <f t="shared" si="3"/>
        <v>0</v>
      </c>
    </row>
    <row r="136" spans="1:7" ht="15.6">
      <c r="A136" s="12">
        <v>1817</v>
      </c>
      <c r="B136" s="12" t="s">
        <v>470</v>
      </c>
      <c r="C136" s="8" t="s">
        <v>234</v>
      </c>
      <c r="D136" s="77">
        <v>0</v>
      </c>
      <c r="E136" s="62" t="e">
        <f>SUMIFS('DATA ENTRY - REQUEST'!#REF!,'DATA ENTRY - REQUEST'!E:E,"=Toner, Samsung 2850 for ML 2851 Ip")</f>
        <v>#REF!</v>
      </c>
      <c r="F136" s="69" t="e">
        <f>SUMIFS('DATA ENTRY - REQUEST'!#REF!,'DATA ENTRY - REQUEST'!E:E,"=Toner, Samsung 2850 for ML 2851 Ip")</f>
        <v>#REF!</v>
      </c>
      <c r="G136" s="7" t="e">
        <f t="shared" si="3"/>
        <v>#REF!</v>
      </c>
    </row>
    <row r="137" spans="1:7" ht="15.6">
      <c r="A137" s="12">
        <v>2201</v>
      </c>
      <c r="B137" s="12" t="s">
        <v>434</v>
      </c>
      <c r="C137" s="8" t="s">
        <v>234</v>
      </c>
      <c r="D137" s="77">
        <v>5</v>
      </c>
      <c r="E137" s="62" t="e">
        <f>SUMIFS('DATA ENTRY - REQUEST'!#REF!,'DATA ENTRY - REQUEST'!E:E,"=Toner for Brother HL-5450DN")</f>
        <v>#REF!</v>
      </c>
      <c r="F137" s="69" t="e">
        <f>SUMIFS('DATA ENTRY - REQUEST'!#REF!,'DATA ENTRY - REQUEST'!E:E,"=Toner for Brother HL-5450DN")</f>
        <v>#REF!</v>
      </c>
      <c r="G137" s="7" t="e">
        <f t="shared" si="3"/>
        <v>#REF!</v>
      </c>
    </row>
    <row r="138" spans="1:7" ht="15.6">
      <c r="A138" s="12">
        <v>2252</v>
      </c>
      <c r="B138" s="12" t="s">
        <v>471</v>
      </c>
      <c r="C138" s="8" t="s">
        <v>234</v>
      </c>
      <c r="D138" s="77"/>
      <c r="E138" s="7"/>
      <c r="F138" s="69"/>
      <c r="G138" s="7">
        <f t="shared" si="3"/>
        <v>0</v>
      </c>
    </row>
    <row r="139" spans="1:7" ht="15.6">
      <c r="A139" s="12">
        <v>1818</v>
      </c>
      <c r="B139" s="12" t="s">
        <v>472</v>
      </c>
      <c r="C139" s="8" t="s">
        <v>234</v>
      </c>
      <c r="D139" s="77"/>
      <c r="E139" s="7"/>
      <c r="F139" s="69"/>
      <c r="G139" s="7">
        <f t="shared" si="3"/>
        <v>0</v>
      </c>
    </row>
    <row r="140" spans="1:7" ht="15.6">
      <c r="A140" s="12">
        <v>2157</v>
      </c>
      <c r="B140" s="12" t="s">
        <v>433</v>
      </c>
      <c r="C140" s="8" t="s">
        <v>234</v>
      </c>
      <c r="D140" s="77">
        <v>3</v>
      </c>
      <c r="E140" s="62" t="e">
        <f>SUMIFS('DATA ENTRY - REQUEST'!#REF!,'DATA ENTRY - REQUEST'!E:E,"=Toner Samsung M3820ND")</f>
        <v>#REF!</v>
      </c>
      <c r="F140" s="69" t="e">
        <f>SUMIFS('DATA ENTRY - REQUEST'!#REF!,'DATA ENTRY - REQUEST'!E:E,"=Toner Samsung M3820ND")</f>
        <v>#REF!</v>
      </c>
      <c r="G140" s="7" t="e">
        <f t="shared" si="3"/>
        <v>#REF!</v>
      </c>
    </row>
    <row r="141" spans="1:7" ht="15.6">
      <c r="A141" s="12">
        <v>2177</v>
      </c>
      <c r="B141" s="12" t="s">
        <v>473</v>
      </c>
      <c r="C141" s="8" t="s">
        <v>234</v>
      </c>
      <c r="D141" s="77"/>
      <c r="E141" s="7"/>
      <c r="F141" s="69"/>
      <c r="G141" s="7">
        <f t="shared" si="3"/>
        <v>0</v>
      </c>
    </row>
    <row r="142" spans="1:7" ht="15.6">
      <c r="A142" s="12">
        <v>2317</v>
      </c>
      <c r="B142" s="12" t="s">
        <v>474</v>
      </c>
      <c r="C142" s="8" t="s">
        <v>234</v>
      </c>
      <c r="D142" s="77"/>
      <c r="E142" s="7"/>
      <c r="F142" s="69"/>
      <c r="G142" s="7">
        <f t="shared" si="3"/>
        <v>0</v>
      </c>
    </row>
    <row r="143" spans="1:7" ht="15.6">
      <c r="A143" s="80">
        <v>0</v>
      </c>
      <c r="B143" s="80" t="s">
        <v>201</v>
      </c>
      <c r="C143" s="81" t="s">
        <v>234</v>
      </c>
      <c r="D143" s="82">
        <v>75</v>
      </c>
      <c r="E143" s="83">
        <v>0</v>
      </c>
      <c r="F143" s="84">
        <v>0</v>
      </c>
      <c r="G143" s="83">
        <f t="shared" si="3"/>
        <v>75</v>
      </c>
    </row>
    <row r="144" spans="1:7" ht="15.6">
      <c r="A144" s="12">
        <v>1956</v>
      </c>
      <c r="B144" s="12" t="s">
        <v>475</v>
      </c>
      <c r="C144" s="8" t="s">
        <v>234</v>
      </c>
      <c r="D144" s="77">
        <v>0</v>
      </c>
      <c r="E144" s="7"/>
      <c r="F144" s="69"/>
      <c r="G144" s="7">
        <f>D144+E144-F144</f>
        <v>0</v>
      </c>
    </row>
    <row r="146" spans="1:7" ht="15.6">
      <c r="A146" s="141" t="s">
        <v>476</v>
      </c>
      <c r="B146" s="141"/>
      <c r="C146" s="141" t="s">
        <v>6</v>
      </c>
      <c r="D146" s="142" t="s">
        <v>477</v>
      </c>
      <c r="E146" s="141" t="s">
        <v>478</v>
      </c>
      <c r="F146" s="143" t="s">
        <v>479</v>
      </c>
      <c r="G146" s="153" t="s">
        <v>480</v>
      </c>
    </row>
    <row r="147" spans="1:7" ht="15.6">
      <c r="A147" s="154" t="s">
        <v>481</v>
      </c>
      <c r="B147" s="154" t="s">
        <v>165</v>
      </c>
      <c r="C147" s="154" t="s">
        <v>233</v>
      </c>
      <c r="D147" s="155"/>
      <c r="E147" s="156">
        <f>SUMIFS('DATA ENTRY - JANITORIAL'!M:M,'DATA ENTRY - JANITORIAL'!E:E,"=AIR FRESHENER (GEL)")</f>
        <v>12</v>
      </c>
      <c r="F147" s="157">
        <f>SUMIFS('DATA ENTRY - JANITORIAL'!O:O,'DATA ENTRY - JANITORIAL'!E:E,"=AIR FRESHENER (GEL)")</f>
        <v>10</v>
      </c>
      <c r="G147" s="158">
        <f t="shared" ref="G147:G167" si="6">D147+E147-F147</f>
        <v>2</v>
      </c>
    </row>
    <row r="148" spans="1:7" ht="15.6">
      <c r="A148" s="154" t="s">
        <v>482</v>
      </c>
      <c r="B148" s="154" t="s">
        <v>152</v>
      </c>
      <c r="C148" s="154" t="s">
        <v>233</v>
      </c>
      <c r="D148" s="155"/>
      <c r="E148" s="156">
        <f>SUMIFS('DATA ENTRY - JANITORIAL'!M:M,'DATA ENTRY - JANITORIAL'!E:E,"=BAYGON MULTI INSECT SPRAY")</f>
        <v>8</v>
      </c>
      <c r="F148" s="157">
        <f>SUMIFS('DATA ENTRY - JANITORIAL'!O:O,'DATA ENTRY - JANITORIAL'!E:E,"=BAYGON MULTI INSECT SPRAY")</f>
        <v>3</v>
      </c>
      <c r="G148" s="158">
        <f t="shared" si="6"/>
        <v>5</v>
      </c>
    </row>
    <row r="149" spans="1:7" ht="15.6">
      <c r="A149" s="154" t="s">
        <v>483</v>
      </c>
      <c r="B149" s="154" t="s">
        <v>185</v>
      </c>
      <c r="C149" s="154" t="s">
        <v>233</v>
      </c>
      <c r="D149" s="155"/>
      <c r="E149" s="156"/>
      <c r="F149" s="157"/>
      <c r="G149" s="158">
        <f t="shared" si="6"/>
        <v>0</v>
      </c>
    </row>
    <row r="150" spans="1:7" ht="15.6">
      <c r="A150" s="154" t="s">
        <v>484</v>
      </c>
      <c r="B150" s="154" t="s">
        <v>186</v>
      </c>
      <c r="C150" s="154" t="s">
        <v>233</v>
      </c>
      <c r="D150" s="155"/>
      <c r="E150" s="156"/>
      <c r="F150" s="157"/>
      <c r="G150" s="158">
        <f t="shared" si="6"/>
        <v>0</v>
      </c>
    </row>
    <row r="151" spans="1:7" ht="15.6">
      <c r="A151" s="154" t="s">
        <v>485</v>
      </c>
      <c r="B151" s="154" t="s">
        <v>187</v>
      </c>
      <c r="C151" s="154" t="s">
        <v>233</v>
      </c>
      <c r="D151" s="155"/>
      <c r="E151" s="156"/>
      <c r="F151" s="157"/>
      <c r="G151" s="158">
        <f t="shared" si="6"/>
        <v>0</v>
      </c>
    </row>
    <row r="152" spans="1:7" ht="15.6">
      <c r="A152" s="154" t="s">
        <v>486</v>
      </c>
      <c r="B152" s="154" t="s">
        <v>168</v>
      </c>
      <c r="C152" s="154" t="s">
        <v>233</v>
      </c>
      <c r="D152" s="155"/>
      <c r="E152" s="156">
        <f>SUMIFS('DATA ENTRY - JANITORIAL'!M:M,'DATA ENTRY - JANITORIAL'!E:E,"=CAR FRESHENER")</f>
        <v>4</v>
      </c>
      <c r="F152" s="157">
        <f>SUMIFS('DATA ENTRY - JANITORIAL'!O:O,'DATA ENTRY - JANITORIAL'!E:E,"=CAR FRESHENER")</f>
        <v>1</v>
      </c>
      <c r="G152" s="158">
        <f t="shared" si="6"/>
        <v>3</v>
      </c>
    </row>
    <row r="153" spans="1:7" ht="15.6">
      <c r="A153" s="154" t="s">
        <v>487</v>
      </c>
      <c r="B153" s="154" t="s">
        <v>188</v>
      </c>
      <c r="C153" s="154" t="s">
        <v>488</v>
      </c>
      <c r="D153" s="155"/>
      <c r="E153" s="156"/>
      <c r="F153" s="157"/>
      <c r="G153" s="158">
        <f t="shared" si="6"/>
        <v>0</v>
      </c>
    </row>
    <row r="154" spans="1:7" ht="15.6">
      <c r="A154" s="154" t="s">
        <v>489</v>
      </c>
      <c r="B154" s="154" t="s">
        <v>162</v>
      </c>
      <c r="C154" s="154" t="s">
        <v>233</v>
      </c>
      <c r="D154" s="155"/>
      <c r="E154" s="156">
        <f>SUMIFS('DATA ENTRY - JANITORIAL'!M:M,'DATA ENTRY - JANITORIAL'!E:E,"=DEODORANT CAKE")</f>
        <v>54</v>
      </c>
      <c r="F154" s="157">
        <f>SUMIFS('DATA ENTRY - JANITORIAL'!O:O,'DATA ENTRY - JANITORIAL'!E:E,"=DEODORANT CAKE")</f>
        <v>26</v>
      </c>
      <c r="G154" s="158">
        <f t="shared" si="6"/>
        <v>28</v>
      </c>
    </row>
    <row r="155" spans="1:7" ht="15.6">
      <c r="A155" s="154" t="s">
        <v>490</v>
      </c>
      <c r="B155" s="154" t="s">
        <v>169</v>
      </c>
      <c r="C155" s="154" t="s">
        <v>233</v>
      </c>
      <c r="D155" s="155"/>
      <c r="E155" s="156">
        <f>SUMIFS('DATA ENTRY - JANITORIAL'!M:M,'DATA ENTRY - JANITORIAL'!E:E,"=DISHWASHING LIQUID (L)")</f>
        <v>3</v>
      </c>
      <c r="F155" s="157">
        <f>SUMIFS('DATA ENTRY - JANITORIAL'!O:O,'DATA ENTRY - JANITORIAL'!E:E,"=DISHWASHING LIQUID (L)")</f>
        <v>3</v>
      </c>
      <c r="G155" s="158">
        <f t="shared" si="6"/>
        <v>0</v>
      </c>
    </row>
    <row r="156" spans="1:7" ht="15.6">
      <c r="A156" s="154" t="s">
        <v>491</v>
      </c>
      <c r="B156" s="154" t="s">
        <v>189</v>
      </c>
      <c r="C156" s="154" t="s">
        <v>233</v>
      </c>
      <c r="D156" s="155"/>
      <c r="E156" s="156"/>
      <c r="F156" s="157"/>
      <c r="G156" s="158">
        <f t="shared" si="6"/>
        <v>0</v>
      </c>
    </row>
    <row r="157" spans="1:7" ht="15.6">
      <c r="A157" s="154" t="s">
        <v>492</v>
      </c>
      <c r="B157" s="154" t="s">
        <v>190</v>
      </c>
      <c r="C157" s="154" t="s">
        <v>233</v>
      </c>
      <c r="D157" s="155"/>
      <c r="E157" s="156"/>
      <c r="F157" s="157"/>
      <c r="G157" s="158">
        <f t="shared" si="6"/>
        <v>0</v>
      </c>
    </row>
    <row r="158" spans="1:7" ht="15.6">
      <c r="A158" s="154" t="s">
        <v>493</v>
      </c>
      <c r="B158" s="154" t="s">
        <v>156</v>
      </c>
      <c r="C158" s="154" t="s">
        <v>494</v>
      </c>
      <c r="D158" s="155"/>
      <c r="E158" s="156">
        <f>SUMIFS('DATA ENTRY - JANITORIAL'!M:M,'DATA ENTRY - JANITORIAL'!E:E,"=HAND LIQUID SOAP (BOT)")</f>
        <v>10</v>
      </c>
      <c r="F158" s="157">
        <f>SUMIFS('DATA ENTRY - JANITORIAL'!O:O,'DATA ENTRY - JANITORIAL'!E:E,"=HAND LIQUID SOAP (BOT)")</f>
        <v>5</v>
      </c>
      <c r="G158" s="158">
        <f t="shared" si="6"/>
        <v>5</v>
      </c>
    </row>
    <row r="159" spans="1:7" ht="15.6">
      <c r="A159" s="154" t="s">
        <v>495</v>
      </c>
      <c r="B159" s="154" t="s">
        <v>167</v>
      </c>
      <c r="C159" s="154" t="s">
        <v>494</v>
      </c>
      <c r="D159" s="155"/>
      <c r="E159" s="156">
        <f>SUMIFS('DATA ENTRY - JANITORIAL'!M:M,'DATA ENTRY - JANITORIAL'!E:E,"=LYSOL DISINFECTANT SPRAY &amp; AIR FRESHENER/DEODORIZER")</f>
        <v>6</v>
      </c>
      <c r="F159" s="157">
        <f>SUMIFS('DATA ENTRY - JANITORIAL'!O:O,'DATA ENTRY - JANITORIAL'!E:E,"=LYSOL DISINFECTANT SPRAY &amp; AIR FRESHENER/DEODORIZER")</f>
        <v>5</v>
      </c>
      <c r="G159" s="158">
        <f t="shared" si="6"/>
        <v>1</v>
      </c>
    </row>
    <row r="160" spans="1:7" ht="15.6">
      <c r="A160" s="154" t="s">
        <v>496</v>
      </c>
      <c r="B160" s="154" t="s">
        <v>155</v>
      </c>
      <c r="C160" s="154" t="s">
        <v>494</v>
      </c>
      <c r="D160" s="155"/>
      <c r="E160" s="156">
        <f>SUMIFS('DATA ENTRY - JANITORIAL'!M:M,'DATA ENTRY - JANITORIAL'!E:E,"=LYSOL TIOLET CLEANER")</f>
        <v>11</v>
      </c>
      <c r="F160" s="157">
        <f>SUMIFS('DATA ENTRY - JANITORIAL'!O:O,'DATA ENTRY - JANITORIAL'!E:E,"=LYSOL TIOLET CLEANER")</f>
        <v>5</v>
      </c>
      <c r="G160" s="158">
        <f t="shared" si="6"/>
        <v>6</v>
      </c>
    </row>
    <row r="161" spans="1:7" ht="15.6">
      <c r="A161" s="154" t="s">
        <v>497</v>
      </c>
      <c r="B161" s="154" t="s">
        <v>183</v>
      </c>
      <c r="C161" s="154" t="s">
        <v>233</v>
      </c>
      <c r="D161" s="155"/>
      <c r="E161" s="156"/>
      <c r="F161" s="157"/>
      <c r="G161" s="158">
        <f t="shared" si="6"/>
        <v>0</v>
      </c>
    </row>
    <row r="162" spans="1:7" ht="15.6">
      <c r="A162" s="154" t="s">
        <v>498</v>
      </c>
      <c r="B162" s="154" t="s">
        <v>191</v>
      </c>
      <c r="C162" s="154" t="s">
        <v>233</v>
      </c>
      <c r="D162" s="155"/>
      <c r="E162" s="156"/>
      <c r="F162" s="157"/>
      <c r="G162" s="158">
        <f t="shared" si="6"/>
        <v>0</v>
      </c>
    </row>
    <row r="163" spans="1:7" ht="15.6">
      <c r="A163" s="154" t="s">
        <v>499</v>
      </c>
      <c r="B163" s="154" t="s">
        <v>160</v>
      </c>
      <c r="C163" s="154" t="s">
        <v>233</v>
      </c>
      <c r="D163" s="155"/>
      <c r="E163" s="156">
        <f>SUMIFS('DATA ENTRY - JANITORIAL'!M:M,'DATA ENTRY - JANITORIAL'!E:E,"=MOP HEAD")</f>
        <v>5</v>
      </c>
      <c r="F163" s="157">
        <f>SUMIFS('DATA ENTRY - JANITORIAL'!O:O,'DATA ENTRY - JANITORIAL'!E:E,"=MOP HEAD")</f>
        <v>3</v>
      </c>
      <c r="G163" s="158">
        <f t="shared" si="6"/>
        <v>2</v>
      </c>
    </row>
    <row r="164" spans="1:7" ht="15.6">
      <c r="A164" s="154" t="s">
        <v>500</v>
      </c>
      <c r="B164" s="154" t="s">
        <v>163</v>
      </c>
      <c r="C164" s="154" t="s">
        <v>233</v>
      </c>
      <c r="D164" s="155"/>
      <c r="E164" s="156">
        <f>SUMIFS('DATA ENTRY - JANITORIAL'!M:M,'DATA ENTRY - JANITORIAL'!E:E,"=MOUSE BAIT")</f>
        <v>5</v>
      </c>
      <c r="F164" s="157">
        <f>SUMIFS('DATA ENTRY - JANITORIAL'!O:O,'DATA ENTRY - JANITORIAL'!E:E,"=MOUSE BAIT")</f>
        <v>0</v>
      </c>
      <c r="G164" s="158">
        <f t="shared" si="6"/>
        <v>5</v>
      </c>
    </row>
    <row r="165" spans="1:7" ht="15.6">
      <c r="A165" s="154" t="s">
        <v>501</v>
      </c>
      <c r="B165" s="154" t="s">
        <v>158</v>
      </c>
      <c r="C165" s="154" t="s">
        <v>494</v>
      </c>
      <c r="D165" s="155"/>
      <c r="E165" s="156">
        <f>SUMIFS('DATA ENTRY - JANITORIAL'!M:M,'DATA ENTRY - JANITORIAL'!E:E,"=MULTI PURP CLEANER LIQUID DOMEX")</f>
        <v>5</v>
      </c>
      <c r="F165" s="157">
        <f>SUMIFS('DATA ENTRY - JANITORIAL'!O:O,'DATA ENTRY - JANITORIAL'!E:E,"=MULTI PURP CLEANER LIQUID DOMEX")</f>
        <v>3</v>
      </c>
      <c r="G165" s="158">
        <f t="shared" si="6"/>
        <v>2</v>
      </c>
    </row>
    <row r="166" spans="1:7" ht="15.6">
      <c r="A166" s="154" t="s">
        <v>502</v>
      </c>
      <c r="B166" s="154" t="s">
        <v>153</v>
      </c>
      <c r="C166" s="154" t="s">
        <v>494</v>
      </c>
      <c r="D166" s="155"/>
      <c r="E166" s="156">
        <f>SUMIFS('DATA ENTRY - JANITORIAL'!M:M,'DATA ENTRY - JANITORIAL'!E:E,"=MULTI PURP CLEANER LIQUID PUREBASICS")</f>
        <v>4</v>
      </c>
      <c r="F166" s="157">
        <f>SUMIFS('DATA ENTRY - JANITORIAL'!O:O,'DATA ENTRY - JANITORIAL'!E:E,"=MULTI PURP CLEANER LIQUID PUREBASICS")</f>
        <v>1</v>
      </c>
      <c r="G166" s="158">
        <f t="shared" si="6"/>
        <v>3</v>
      </c>
    </row>
    <row r="167" spans="1:7" ht="15.6">
      <c r="A167" s="154" t="s">
        <v>503</v>
      </c>
      <c r="B167" s="154" t="s">
        <v>157</v>
      </c>
      <c r="C167" s="154" t="s">
        <v>233</v>
      </c>
      <c r="D167" s="155"/>
      <c r="E167" s="156">
        <f>SUMIFS('DATA ENTRY - JANITORIAL'!M:M,'DATA ENTRY - JANITORIAL'!E:E,"=MURIATIC ACID (L)")</f>
        <v>2</v>
      </c>
      <c r="F167" s="157">
        <f>SUMIFS('DATA ENTRY - JANITORIAL'!O:O,'DATA ENTRY - JANITORIAL'!E:E,"=MURIATIC ACID (L)")</f>
        <v>0</v>
      </c>
      <c r="G167" s="158">
        <f t="shared" si="6"/>
        <v>2</v>
      </c>
    </row>
    <row r="168" spans="1:7" ht="15.6">
      <c r="A168" s="154" t="s">
        <v>504</v>
      </c>
      <c r="B168" s="154" t="s">
        <v>192</v>
      </c>
      <c r="C168" s="154" t="s">
        <v>233</v>
      </c>
      <c r="D168" s="155"/>
      <c r="E168" s="156"/>
      <c r="F168" s="157"/>
      <c r="G168" s="158">
        <f t="shared" ref="G168:G180" si="7">D168+E168-F168</f>
        <v>0</v>
      </c>
    </row>
    <row r="169" spans="1:7" ht="15.6">
      <c r="A169" s="154" t="s">
        <v>505</v>
      </c>
      <c r="B169" s="154" t="s">
        <v>170</v>
      </c>
      <c r="C169" s="154" t="s">
        <v>233</v>
      </c>
      <c r="D169" s="155"/>
      <c r="E169" s="156">
        <f>SUMIFS('DATA ENTRY - JANITORIAL'!M:M,'DATA ENTRY - JANITORIAL'!E:E,"=RUG")</f>
        <v>9</v>
      </c>
      <c r="F169" s="157">
        <f>SUMIFS('DATA ENTRY - JANITORIAL'!O:O,'DATA ENTRY - JANITORIAL'!E:E,"=RUG")</f>
        <v>3</v>
      </c>
      <c r="G169" s="158">
        <f t="shared" si="7"/>
        <v>6</v>
      </c>
    </row>
    <row r="170" spans="1:7" ht="15.6">
      <c r="A170" s="154" t="s">
        <v>506</v>
      </c>
      <c r="B170" s="154" t="s">
        <v>193</v>
      </c>
      <c r="C170" s="154" t="s">
        <v>233</v>
      </c>
      <c r="D170" s="155"/>
      <c r="E170" s="156"/>
      <c r="F170" s="157"/>
      <c r="G170" s="158">
        <f t="shared" si="7"/>
        <v>0</v>
      </c>
    </row>
    <row r="171" spans="1:7" ht="15.6">
      <c r="A171" s="154" t="s">
        <v>507</v>
      </c>
      <c r="B171" s="154" t="s">
        <v>151</v>
      </c>
      <c r="C171" s="154" t="s">
        <v>233</v>
      </c>
      <c r="D171" s="155"/>
      <c r="E171" s="156">
        <f>SUMIFS('DATA ENTRY - JANITORIAL'!M:M,'DATA ENTRY - JANITORIAL'!E:E,"=SCRUB SPONGE")</f>
        <v>26</v>
      </c>
      <c r="F171" s="157">
        <f>SUMIFS('DATA ENTRY - JANITORIAL'!O:O,'DATA ENTRY - JANITORIAL'!E:E,"=SCRUB SPONGE")</f>
        <v>2</v>
      </c>
      <c r="G171" s="158">
        <f t="shared" si="7"/>
        <v>24</v>
      </c>
    </row>
    <row r="172" spans="1:7" ht="15.6">
      <c r="A172" s="154" t="s">
        <v>508</v>
      </c>
      <c r="B172" s="154" t="s">
        <v>171</v>
      </c>
      <c r="C172" s="154" t="s">
        <v>233</v>
      </c>
      <c r="D172" s="155"/>
      <c r="E172" s="156">
        <f>SUMIFS('DATA ENTRY - JANITORIAL'!M:M,'DATA ENTRY - JANITORIAL'!E:E,"=SOFT BROOM")</f>
        <v>2</v>
      </c>
      <c r="F172" s="157">
        <f>SUMIFS('DATA ENTRY - JANITORIAL'!O:O,'DATA ENTRY - JANITORIAL'!E:E,"=SOFT BROOM")</f>
        <v>1</v>
      </c>
      <c r="G172" s="158">
        <f t="shared" si="7"/>
        <v>1</v>
      </c>
    </row>
    <row r="173" spans="1:7" ht="15.6">
      <c r="A173" s="154" t="s">
        <v>509</v>
      </c>
      <c r="B173" s="154" t="s">
        <v>154</v>
      </c>
      <c r="C173" s="154" t="s">
        <v>510</v>
      </c>
      <c r="D173" s="155"/>
      <c r="E173" s="156">
        <f>SUMIFS('DATA ENTRY - JANITORIAL'!M:M,'DATA ENTRY - JANITORIAL'!E:E,"=SURF POWDER DETERGENT")</f>
        <v>12</v>
      </c>
      <c r="F173" s="157">
        <f>SUMIFS('DATA ENTRY - JANITORIAL'!O:O,'DATA ENTRY - JANITORIAL'!E:E,"=SURF POWDER DETERGENT")</f>
        <v>4</v>
      </c>
      <c r="G173" s="158">
        <f t="shared" si="7"/>
        <v>8</v>
      </c>
    </row>
    <row r="174" spans="1:7" ht="15.6">
      <c r="A174" s="154" t="s">
        <v>511</v>
      </c>
      <c r="B174" s="154" t="s">
        <v>166</v>
      </c>
      <c r="C174" s="154" t="s">
        <v>233</v>
      </c>
      <c r="D174" s="155"/>
      <c r="E174" s="156">
        <f>SUMIFS('DATA ENTRY - JANITORIAL'!M:M,'DATA ENTRY - JANITORIAL'!E:E,"=TISSUE (PAPER TOWEL)")</f>
        <v>6</v>
      </c>
      <c r="F174" s="157">
        <f>SUMIFS('DATA ENTRY - JANITORIAL'!O:O,'DATA ENTRY - JANITORIAL'!E:E,"=TISSUE (PAPER TOWEL)")</f>
        <v>4</v>
      </c>
      <c r="G174" s="158">
        <f t="shared" si="7"/>
        <v>2</v>
      </c>
    </row>
    <row r="175" spans="1:7" ht="15.6">
      <c r="A175" s="159" t="s">
        <v>512</v>
      </c>
      <c r="B175" s="159" t="s">
        <v>164</v>
      </c>
      <c r="C175" s="159" t="s">
        <v>233</v>
      </c>
      <c r="D175" s="155"/>
      <c r="E175" s="156">
        <f>SUMIFS('DATA ENTRY - JANITORIAL'!M:M,'DATA ENTRY - JANITORIAL'!E:E,"=TOILET BOWL CLEANER DOMEX (L)")</f>
        <v>6</v>
      </c>
      <c r="F175" s="157">
        <f>SUMIFS('DATA ENTRY - JANITORIAL'!O:O,'DATA ENTRY - JANITORIAL'!E:E,"=TOILET BOWL CLEANER DOMEX (L)")</f>
        <v>3</v>
      </c>
      <c r="G175" s="158">
        <f t="shared" si="7"/>
        <v>3</v>
      </c>
    </row>
    <row r="176" spans="1:7" ht="15.6">
      <c r="A176" s="159" t="s">
        <v>513</v>
      </c>
      <c r="B176" s="159" t="s">
        <v>161</v>
      </c>
      <c r="C176" s="159" t="s">
        <v>514</v>
      </c>
      <c r="D176" s="155"/>
      <c r="E176" s="156">
        <f>SUMIFS('DATA ENTRY - JANITORIAL'!M:M,'DATA ENTRY - JANITORIAL'!E:E,"=TRASH BAG XL-XXL")</f>
        <v>170</v>
      </c>
      <c r="F176" s="157">
        <f>SUMIFS('DATA ENTRY - JANITORIAL'!O:O,'DATA ENTRY - JANITORIAL'!E:E,"=TRASH BAG XL-XXL")</f>
        <v>6</v>
      </c>
      <c r="G176" s="158">
        <f t="shared" si="7"/>
        <v>164</v>
      </c>
    </row>
    <row r="177" spans="1:7" ht="15.6">
      <c r="A177" s="159" t="s">
        <v>515</v>
      </c>
      <c r="B177" s="159" t="s">
        <v>172</v>
      </c>
      <c r="C177" s="159" t="s">
        <v>488</v>
      </c>
      <c r="D177" s="155"/>
      <c r="E177" s="156">
        <f>SUMIFS('DATA ENTRY - JANITORIAL'!M:M,'DATA ENTRY - JANITORIAL'!E:E,"=DISINFECTANT &amp; CLEANING SOLUTION (GAL)")</f>
        <v>10</v>
      </c>
      <c r="F177" s="157">
        <f>SUMIFS('DATA ENTRY - JANITORIAL'!O:O,'DATA ENTRY - JANITORIAL'!E:E,"=DISINFECTANT &amp; CLEANING SOLUTION (GAL)")</f>
        <v>4</v>
      </c>
      <c r="G177" s="158">
        <f t="shared" si="7"/>
        <v>6</v>
      </c>
    </row>
    <row r="178" spans="1:7" ht="15.6">
      <c r="A178" s="159" t="s">
        <v>516</v>
      </c>
      <c r="B178" s="159" t="s">
        <v>173</v>
      </c>
      <c r="C178" s="159" t="s">
        <v>488</v>
      </c>
      <c r="D178" s="155"/>
      <c r="E178" s="156">
        <f>SUMIFS('DATA ENTRY - JANITORIAL'!M:M,'DATA ENTRY - JANITORIAL'!E:E,"=HAND SANITIZER (GAL)")</f>
        <v>4</v>
      </c>
      <c r="F178" s="157">
        <f>SUMIFS('DATA ENTRY - JANITORIAL'!O:O,'DATA ENTRY - JANITORIAL'!E:E,"=HAND SANITIZER (GAL)")</f>
        <v>4</v>
      </c>
      <c r="G178" s="158">
        <f t="shared" si="7"/>
        <v>0</v>
      </c>
    </row>
    <row r="179" spans="1:7" ht="15.6">
      <c r="A179" s="159" t="s">
        <v>517</v>
      </c>
      <c r="B179" s="159" t="s">
        <v>174</v>
      </c>
      <c r="C179" s="159" t="s">
        <v>488</v>
      </c>
      <c r="D179" s="155"/>
      <c r="E179" s="156">
        <f>SUMIFS('DATA ENTRY - JANITORIAL'!M:M,'DATA ENTRY - JANITORIAL'!E:E,"=ALCOHOL ETHYL (GAL)")</f>
        <v>6</v>
      </c>
      <c r="F179" s="157">
        <f>SUMIFS('DATA ENTRY - JANITORIAL'!O:O,'DATA ENTRY - JANITORIAL'!E:E,"=ALCOHOL ETHYL (GAL)")</f>
        <v>12</v>
      </c>
      <c r="G179" s="158">
        <f t="shared" si="7"/>
        <v>-6</v>
      </c>
    </row>
    <row r="180" spans="1:7" ht="15.6">
      <c r="A180" s="159" t="s">
        <v>518</v>
      </c>
      <c r="B180" s="159" t="s">
        <v>159</v>
      </c>
      <c r="C180" s="159" t="s">
        <v>488</v>
      </c>
      <c r="D180" s="155"/>
      <c r="E180" s="156">
        <f>SUMIFS('DATA ENTRY - JANITORIAL'!M:M,'DATA ENTRY - JANITORIAL'!E:E,"=ZONROX (GAL)")</f>
        <v>5</v>
      </c>
      <c r="F180" s="157">
        <f>SUMIFS('DATA ENTRY - JANITORIAL'!O:O,'DATA ENTRY - JANITORIAL'!E:E,"=ZONROX (GAL)")</f>
        <v>2</v>
      </c>
      <c r="G180" s="158">
        <f t="shared" si="7"/>
        <v>3</v>
      </c>
    </row>
  </sheetData>
  <autoFilter ref="A1:G144" xr:uid="{00000000-0009-0000-0000-000002000000}"/>
  <phoneticPr fontId="40" type="noConversion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4D8B-3C7E-4AE9-933D-4C2B77A7A07B}">
  <sheetPr>
    <tabColor rgb="FFC00000"/>
    <pageSetUpPr fitToPage="1"/>
  </sheetPr>
  <dimension ref="A1:BI70"/>
  <sheetViews>
    <sheetView view="pageBreakPreview" topLeftCell="D1" zoomScale="85" zoomScaleNormal="100" zoomScaleSheetLayoutView="85" workbookViewId="0">
      <selection activeCell="BN14" sqref="BN14"/>
    </sheetView>
  </sheetViews>
  <sheetFormatPr defaultColWidth="9.109375" defaultRowHeight="13.8"/>
  <cols>
    <col min="1" max="2" width="9.109375" style="177" hidden="1" customWidth="1"/>
    <col min="3" max="3" width="45.88671875" style="177" hidden="1" customWidth="1"/>
    <col min="4" max="4" width="2.6640625" style="177" customWidth="1"/>
    <col min="5" max="5" width="1.44140625" style="177" customWidth="1"/>
    <col min="6" max="8" width="2.88671875" style="177" customWidth="1"/>
    <col min="9" max="10" width="1.44140625" style="177" customWidth="1"/>
    <col min="11" max="11" width="2.88671875" style="177" customWidth="1"/>
    <col min="12" max="15" width="1.44140625" style="177" customWidth="1"/>
    <col min="16" max="18" width="2.88671875" style="177" customWidth="1"/>
    <col min="19" max="26" width="1.44140625" style="177" customWidth="1"/>
    <col min="27" max="28" width="2.88671875" style="177" customWidth="1"/>
    <col min="29" max="30" width="1.44140625" style="177" customWidth="1"/>
    <col min="31" max="31" width="2.88671875" style="177" customWidth="1"/>
    <col min="32" max="34" width="1.44140625" style="177" customWidth="1"/>
    <col min="35" max="35" width="11.109375" style="177" customWidth="1"/>
    <col min="36" max="37" width="1.44140625" style="177" customWidth="1"/>
    <col min="38" max="38" width="2.88671875" style="177" customWidth="1"/>
    <col min="39" max="44" width="1.44140625" style="177" customWidth="1"/>
    <col min="45" max="45" width="2.88671875" style="177" customWidth="1"/>
    <col min="46" max="49" width="1.44140625" style="177" customWidth="1"/>
    <col min="50" max="51" width="2.88671875" style="177" customWidth="1"/>
    <col min="52" max="53" width="1.44140625" style="177" customWidth="1"/>
    <col min="54" max="55" width="2.88671875" style="177" customWidth="1"/>
    <col min="56" max="57" width="1.44140625" style="177" customWidth="1"/>
    <col min="58" max="58" width="12.109375" style="177" customWidth="1"/>
    <col min="59" max="60" width="2.88671875" style="177" customWidth="1"/>
    <col min="61" max="16384" width="9.109375" style="177"/>
  </cols>
  <sheetData>
    <row r="1" spans="1:61" ht="13.5" customHeight="1">
      <c r="D1" s="450" t="s">
        <v>519</v>
      </c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279" t="s">
        <v>83</v>
      </c>
    </row>
    <row r="2" spans="1:61" ht="15" customHeight="1">
      <c r="D2" s="451" t="s">
        <v>520</v>
      </c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  <c r="AA2" s="451"/>
      <c r="AB2" s="451"/>
      <c r="AC2" s="451"/>
      <c r="AD2" s="451"/>
      <c r="AE2" s="451"/>
      <c r="AF2" s="451"/>
      <c r="AG2" s="451"/>
      <c r="AH2" s="451"/>
      <c r="AI2" s="451"/>
      <c r="AJ2" s="451"/>
      <c r="AK2" s="451"/>
      <c r="AL2" s="451"/>
      <c r="AM2" s="451"/>
      <c r="AN2" s="451"/>
      <c r="AO2" s="451"/>
      <c r="AP2" s="451"/>
      <c r="AQ2" s="451"/>
      <c r="AR2" s="451"/>
      <c r="AS2" s="451"/>
      <c r="AT2" s="451"/>
      <c r="AU2" s="451"/>
      <c r="AV2" s="451"/>
      <c r="AW2" s="451"/>
      <c r="AX2" s="451"/>
      <c r="AY2" s="451"/>
      <c r="AZ2" s="451"/>
      <c r="BA2" s="451"/>
      <c r="BB2" s="451"/>
      <c r="BC2" s="451"/>
      <c r="BD2" s="451"/>
      <c r="BE2" s="451"/>
    </row>
    <row r="3" spans="1:61" ht="11.25" customHeight="1">
      <c r="D3" s="452" t="s">
        <v>521</v>
      </c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</row>
    <row r="4" spans="1:61" ht="18.75" customHeight="1">
      <c r="D4" s="453" t="s">
        <v>306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53"/>
      <c r="AN4" s="453"/>
      <c r="AO4" s="453"/>
      <c r="AP4" s="453"/>
      <c r="AQ4" s="453"/>
      <c r="AR4" s="453"/>
      <c r="AS4" s="453"/>
      <c r="AT4" s="453"/>
      <c r="AU4" s="453"/>
      <c r="AV4" s="453"/>
      <c r="AW4" s="453"/>
      <c r="AX4" s="453"/>
      <c r="AY4" s="453"/>
      <c r="AZ4" s="453"/>
      <c r="BA4" s="453"/>
      <c r="BB4" s="453"/>
      <c r="BC4" s="453"/>
      <c r="BD4" s="453"/>
      <c r="BE4" s="453"/>
    </row>
    <row r="5" spans="1:61" ht="11.25" customHeight="1"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0"/>
      <c r="AK5" s="290"/>
      <c r="AL5" s="290"/>
      <c r="AM5" s="290"/>
      <c r="AN5" s="290"/>
      <c r="AO5" s="290"/>
      <c r="AP5" s="290"/>
      <c r="AQ5" s="290"/>
      <c r="AR5" s="290"/>
      <c r="AS5" s="290"/>
      <c r="AT5" s="290"/>
      <c r="AU5" s="290"/>
      <c r="AV5" s="290"/>
      <c r="AW5" s="290"/>
      <c r="AX5" s="290"/>
      <c r="AY5" s="290"/>
      <c r="AZ5" s="290"/>
      <c r="BA5" s="290"/>
      <c r="BB5" s="290"/>
      <c r="BC5" s="290"/>
      <c r="BD5" s="290"/>
      <c r="BE5" s="290"/>
      <c r="BF5" s="290"/>
      <c r="BG5" s="290"/>
      <c r="BH5" s="290"/>
      <c r="BI5" s="290"/>
    </row>
    <row r="6" spans="1:61" s="179" customFormat="1" ht="11.25" customHeight="1">
      <c r="D6" s="454" t="s">
        <v>522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/>
      <c r="P6" s="455"/>
      <c r="Q6" s="455"/>
      <c r="R6" s="455"/>
      <c r="S6" s="455"/>
      <c r="T6" s="455"/>
      <c r="U6" s="455"/>
      <c r="V6" s="455"/>
      <c r="W6" s="455"/>
      <c r="X6" s="455"/>
      <c r="Y6" s="455"/>
      <c r="Z6" s="455"/>
      <c r="AA6" s="455"/>
      <c r="AB6" s="455"/>
      <c r="AC6" s="456"/>
      <c r="AD6" s="457" t="s">
        <v>523</v>
      </c>
      <c r="AE6" s="458"/>
      <c r="AF6" s="458"/>
      <c r="AG6" s="458"/>
      <c r="AH6" s="458"/>
      <c r="AI6" s="458"/>
      <c r="AJ6" s="458"/>
      <c r="AK6" s="458"/>
      <c r="AL6" s="458"/>
      <c r="AM6" s="458"/>
      <c r="AN6" s="458"/>
      <c r="AO6" s="458"/>
      <c r="AP6" s="459"/>
      <c r="AQ6" s="460" t="s">
        <v>524</v>
      </c>
      <c r="AR6" s="461"/>
      <c r="AS6" s="461"/>
      <c r="AT6" s="461"/>
      <c r="AU6" s="461"/>
      <c r="AV6" s="461"/>
      <c r="AW6" s="461"/>
      <c r="AX6" s="461"/>
      <c r="AY6" s="461"/>
      <c r="AZ6" s="461"/>
      <c r="BA6" s="461"/>
      <c r="BB6" s="461"/>
      <c r="BC6" s="461"/>
      <c r="BD6" s="461"/>
      <c r="BE6" s="462"/>
      <c r="BF6" s="178"/>
    </row>
    <row r="7" spans="1:61" s="180" customFormat="1" ht="18.75" customHeight="1" thickBot="1">
      <c r="D7" s="463" t="s">
        <v>316</v>
      </c>
      <c r="E7" s="464"/>
      <c r="F7" s="464"/>
      <c r="G7" s="464"/>
      <c r="H7" s="464"/>
      <c r="I7" s="464"/>
      <c r="J7" s="464"/>
      <c r="K7" s="464"/>
      <c r="L7" s="464"/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5"/>
      <c r="AD7" s="466">
        <v>121410014</v>
      </c>
      <c r="AE7" s="467"/>
      <c r="AF7" s="467"/>
      <c r="AG7" s="467"/>
      <c r="AH7" s="467"/>
      <c r="AI7" s="467"/>
      <c r="AJ7" s="467"/>
      <c r="AK7" s="467"/>
      <c r="AL7" s="467"/>
      <c r="AM7" s="467"/>
      <c r="AN7" s="467"/>
      <c r="AO7" s="467"/>
      <c r="AP7" s="468"/>
      <c r="AQ7" s="469" t="s">
        <v>525</v>
      </c>
      <c r="AR7" s="470"/>
      <c r="AS7" s="470"/>
      <c r="AT7" s="470"/>
      <c r="AU7" s="470"/>
      <c r="AV7" s="471" t="str">
        <f>BF1</f>
        <v>2026-007</v>
      </c>
      <c r="AW7" s="471"/>
      <c r="AX7" s="471"/>
      <c r="AY7" s="471"/>
      <c r="AZ7" s="471"/>
      <c r="BA7" s="471"/>
      <c r="BB7" s="471"/>
      <c r="BC7" s="471"/>
      <c r="BD7" s="471"/>
      <c r="BE7" s="472"/>
    </row>
    <row r="8" spans="1:61" s="180" customFormat="1" ht="11.25" customHeight="1">
      <c r="D8" s="429" t="s">
        <v>526</v>
      </c>
      <c r="E8" s="430"/>
      <c r="F8" s="430"/>
      <c r="G8" s="430"/>
      <c r="H8" s="430"/>
      <c r="I8" s="430"/>
      <c r="J8" s="430"/>
      <c r="K8" s="430"/>
      <c r="L8" s="430"/>
      <c r="M8" s="430"/>
      <c r="N8" s="430"/>
      <c r="O8" s="430"/>
      <c r="P8" s="430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0"/>
      <c r="AK8" s="430"/>
      <c r="AL8" s="430"/>
      <c r="AM8" s="430"/>
      <c r="AN8" s="430"/>
      <c r="AO8" s="430"/>
      <c r="AP8" s="432"/>
      <c r="AQ8" s="433" t="s">
        <v>527</v>
      </c>
      <c r="AR8" s="434"/>
      <c r="AS8" s="434"/>
      <c r="AT8" s="434"/>
      <c r="AU8" s="434"/>
      <c r="AV8" s="434"/>
      <c r="AW8" s="434"/>
      <c r="AX8" s="434"/>
      <c r="AY8" s="434"/>
      <c r="AZ8" s="434"/>
      <c r="BA8" s="434"/>
      <c r="BB8" s="434"/>
      <c r="BC8" s="434"/>
      <c r="BD8" s="434"/>
      <c r="BE8" s="435"/>
    </row>
    <row r="9" spans="1:61" s="181" customFormat="1" ht="29.25" customHeight="1">
      <c r="D9" s="436"/>
      <c r="E9" s="437"/>
      <c r="F9" s="438" t="s">
        <v>7</v>
      </c>
      <c r="G9" s="439"/>
      <c r="H9" s="439"/>
      <c r="I9" s="440"/>
      <c r="J9" s="439" t="s">
        <v>528</v>
      </c>
      <c r="K9" s="439"/>
      <c r="L9" s="439"/>
      <c r="M9" s="439"/>
      <c r="N9" s="439"/>
      <c r="O9" s="439"/>
      <c r="P9" s="439"/>
      <c r="Q9" s="441" t="s">
        <v>4</v>
      </c>
      <c r="R9" s="441"/>
      <c r="S9" s="441"/>
      <c r="T9" s="441"/>
      <c r="U9" s="441"/>
      <c r="V9" s="441"/>
      <c r="W9" s="441"/>
      <c r="X9" s="441"/>
      <c r="Y9" s="441"/>
      <c r="Z9" s="441"/>
      <c r="AA9" s="441"/>
      <c r="AB9" s="441"/>
      <c r="AC9" s="441"/>
      <c r="AD9" s="441"/>
      <c r="AE9" s="441"/>
      <c r="AF9" s="441"/>
      <c r="AG9" s="441"/>
      <c r="AH9" s="441"/>
      <c r="AI9" s="441"/>
      <c r="AJ9" s="442" t="s">
        <v>319</v>
      </c>
      <c r="AK9" s="443"/>
      <c r="AL9" s="443"/>
      <c r="AM9" s="443"/>
      <c r="AN9" s="444"/>
      <c r="AO9" s="444"/>
      <c r="AP9" s="445"/>
      <c r="AQ9" s="436" t="s">
        <v>529</v>
      </c>
      <c r="AR9" s="446"/>
      <c r="AS9" s="446"/>
      <c r="AT9" s="446"/>
      <c r="AU9" s="446"/>
      <c r="AV9" s="446"/>
      <c r="AW9" s="446"/>
      <c r="AX9" s="446"/>
      <c r="AY9" s="447"/>
      <c r="AZ9" s="448" t="s">
        <v>319</v>
      </c>
      <c r="BA9" s="448"/>
      <c r="BB9" s="448"/>
      <c r="BC9" s="448"/>
      <c r="BD9" s="448"/>
      <c r="BE9" s="449"/>
    </row>
    <row r="10" spans="1:61" s="182" customFormat="1" ht="40.5" customHeight="1">
      <c r="A10" s="182">
        <v>1</v>
      </c>
      <c r="B10" s="182" t="str">
        <f t="shared" ref="B10:B24" si="0">CONCATENATE(BF$1,A10)</f>
        <v>2026-0071</v>
      </c>
      <c r="C10" s="182" t="str">
        <f t="shared" ref="C10:C24" si="1">IFERROR(VLOOKUP(B10,REQUEST1,3,0),"-")</f>
        <v>Bond copy paper, A4 size,70gsm 500shts/rm</v>
      </c>
      <c r="D10" s="384">
        <v>1</v>
      </c>
      <c r="E10" s="385"/>
      <c r="F10" s="426">
        <f>IFERROR(VLOOKUP(Q10,SUPPLY2,4,0),"-")</f>
        <v>2276</v>
      </c>
      <c r="G10" s="427"/>
      <c r="H10" s="427"/>
      <c r="I10" s="428"/>
      <c r="J10" s="426" t="str">
        <f t="shared" ref="J10:J14" si="2">IFERROR(VLOOKUP(Q10,SUPPLY2,3,0),"-")</f>
        <v>Ream</v>
      </c>
      <c r="K10" s="427"/>
      <c r="L10" s="427"/>
      <c r="M10" s="427"/>
      <c r="N10" s="427"/>
      <c r="O10" s="427"/>
      <c r="P10" s="428"/>
      <c r="Q10" s="419" t="str">
        <f t="shared" ref="Q10:Q14" si="3">C10</f>
        <v>Bond copy paper, A4 size,70gsm 500shts/rm</v>
      </c>
      <c r="R10" s="420"/>
      <c r="S10" s="420"/>
      <c r="T10" s="420"/>
      <c r="U10" s="420"/>
      <c r="V10" s="420"/>
      <c r="W10" s="420"/>
      <c r="X10" s="420"/>
      <c r="Y10" s="420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391">
        <f>IFERROR(VLOOKUP(B10,REQUEST2,4,0),"-")</f>
        <v>50</v>
      </c>
      <c r="AK10" s="391"/>
      <c r="AL10" s="391"/>
      <c r="AM10" s="391"/>
      <c r="AN10" s="391"/>
      <c r="AO10" s="391"/>
      <c r="AP10" s="391"/>
      <c r="AQ10" s="392"/>
      <c r="AR10" s="392"/>
      <c r="AS10" s="392"/>
      <c r="AT10" s="392"/>
      <c r="AU10" s="392"/>
      <c r="AV10" s="392"/>
      <c r="AW10" s="392"/>
      <c r="AX10" s="392"/>
      <c r="AY10" s="393"/>
      <c r="AZ10" s="394"/>
      <c r="BA10" s="394"/>
      <c r="BB10" s="394"/>
      <c r="BC10" s="394"/>
      <c r="BD10" s="394"/>
      <c r="BE10" s="395"/>
    </row>
    <row r="11" spans="1:61" s="182" customFormat="1" ht="22.5" customHeight="1">
      <c r="A11" s="182">
        <v>2</v>
      </c>
      <c r="B11" s="182" t="str">
        <f t="shared" si="0"/>
        <v>2026-0072</v>
      </c>
      <c r="C11" s="182" t="str">
        <f t="shared" si="1"/>
        <v>Bond prem,LEGAL SIZE, 216x330mm,70gsm 500shts/rm</v>
      </c>
      <c r="D11" s="384">
        <v>2</v>
      </c>
      <c r="E11" s="385"/>
      <c r="F11" s="386">
        <f t="shared" ref="F11:F14" si="4">IFERROR(VLOOKUP(Q11,SUPPLY2,4,0),"-")</f>
        <v>2067</v>
      </c>
      <c r="G11" s="387"/>
      <c r="H11" s="387"/>
      <c r="I11" s="388"/>
      <c r="J11" s="387" t="str">
        <f t="shared" si="2"/>
        <v>Ream</v>
      </c>
      <c r="K11" s="387"/>
      <c r="L11" s="387"/>
      <c r="M11" s="387"/>
      <c r="N11" s="387"/>
      <c r="O11" s="387"/>
      <c r="P11" s="387"/>
      <c r="Q11" s="422" t="str">
        <f t="shared" si="3"/>
        <v>Bond prem,LEGAL SIZE, 216x330mm,70gsm 500shts/rm</v>
      </c>
      <c r="R11" s="422"/>
      <c r="S11" s="422"/>
      <c r="T11" s="422"/>
      <c r="U11" s="422"/>
      <c r="V11" s="422"/>
      <c r="W11" s="422"/>
      <c r="X11" s="422"/>
      <c r="Y11" s="422"/>
      <c r="Z11" s="422"/>
      <c r="AA11" s="422"/>
      <c r="AB11" s="422"/>
      <c r="AC11" s="422"/>
      <c r="AD11" s="422"/>
      <c r="AE11" s="422"/>
      <c r="AF11" s="422"/>
      <c r="AG11" s="422"/>
      <c r="AH11" s="422"/>
      <c r="AI11" s="425"/>
      <c r="AJ11" s="391">
        <f>IFERROR(VLOOKUP(B11,REQUEST2,4,0),"-")</f>
        <v>30</v>
      </c>
      <c r="AK11" s="391"/>
      <c r="AL11" s="391"/>
      <c r="AM11" s="391"/>
      <c r="AN11" s="391"/>
      <c r="AO11" s="391"/>
      <c r="AP11" s="391"/>
      <c r="AQ11" s="392"/>
      <c r="AR11" s="392"/>
      <c r="AS11" s="392"/>
      <c r="AT11" s="392"/>
      <c r="AU11" s="392"/>
      <c r="AV11" s="392"/>
      <c r="AW11" s="392"/>
      <c r="AX11" s="392"/>
      <c r="AY11" s="393"/>
      <c r="AZ11" s="394"/>
      <c r="BA11" s="394"/>
      <c r="BB11" s="394"/>
      <c r="BC11" s="394"/>
      <c r="BD11" s="394"/>
      <c r="BE11" s="395"/>
    </row>
    <row r="12" spans="1:61" s="182" customFormat="1" ht="22.5" customHeight="1">
      <c r="A12" s="182">
        <v>3</v>
      </c>
      <c r="B12" s="182" t="str">
        <f t="shared" si="0"/>
        <v>2026-0073</v>
      </c>
      <c r="C12" s="182" t="str">
        <f t="shared" si="1"/>
        <v>MEMBER DATA CHANGE REQUEST PAGE 1&amp;2</v>
      </c>
      <c r="D12" s="384">
        <v>3</v>
      </c>
      <c r="E12" s="385"/>
      <c r="F12" s="386">
        <f t="shared" si="4"/>
        <v>0</v>
      </c>
      <c r="G12" s="387"/>
      <c r="H12" s="387"/>
      <c r="I12" s="388"/>
      <c r="J12" s="387" t="str">
        <f t="shared" si="2"/>
        <v>Ream</v>
      </c>
      <c r="K12" s="387"/>
      <c r="L12" s="387"/>
      <c r="M12" s="387"/>
      <c r="N12" s="387"/>
      <c r="O12" s="387"/>
      <c r="P12" s="387"/>
      <c r="Q12" s="422" t="str">
        <f t="shared" si="3"/>
        <v>MEMBER DATA CHANGE REQUEST PAGE 1&amp;2</v>
      </c>
      <c r="R12" s="422"/>
      <c r="S12" s="422"/>
      <c r="T12" s="422"/>
      <c r="U12" s="422"/>
      <c r="V12" s="422"/>
      <c r="W12" s="422"/>
      <c r="X12" s="422"/>
      <c r="Y12" s="422"/>
      <c r="Z12" s="422"/>
      <c r="AA12" s="422"/>
      <c r="AB12" s="422"/>
      <c r="AC12" s="422"/>
      <c r="AD12" s="422"/>
      <c r="AE12" s="422"/>
      <c r="AF12" s="422"/>
      <c r="AG12" s="422"/>
      <c r="AH12" s="422"/>
      <c r="AI12" s="422"/>
      <c r="AJ12" s="424">
        <f>IFERROR(VLOOKUP(B12,REQUEST2,4,0),"-")</f>
        <v>50</v>
      </c>
      <c r="AK12" s="397"/>
      <c r="AL12" s="397"/>
      <c r="AM12" s="397"/>
      <c r="AN12" s="398"/>
      <c r="AO12" s="398"/>
      <c r="AP12" s="399"/>
      <c r="AQ12" s="400"/>
      <c r="AR12" s="392"/>
      <c r="AS12" s="392"/>
      <c r="AT12" s="392"/>
      <c r="AU12" s="392"/>
      <c r="AV12" s="392"/>
      <c r="AW12" s="392"/>
      <c r="AX12" s="392"/>
      <c r="AY12" s="393"/>
      <c r="AZ12" s="394"/>
      <c r="BA12" s="394"/>
      <c r="BB12" s="394"/>
      <c r="BC12" s="394"/>
      <c r="BD12" s="394"/>
      <c r="BE12" s="395"/>
    </row>
    <row r="13" spans="1:61" s="182" customFormat="1" ht="22.5" customHeight="1">
      <c r="A13" s="182">
        <v>4</v>
      </c>
      <c r="B13" s="182" t="str">
        <f t="shared" si="0"/>
        <v>2026-0074</v>
      </c>
      <c r="C13" s="182" t="str">
        <f t="shared" si="1"/>
        <v xml:space="preserve">ACOP- SURVIVING LEGAL SPOUSE </v>
      </c>
      <c r="D13" s="384">
        <v>4</v>
      </c>
      <c r="E13" s="385"/>
      <c r="F13" s="386">
        <f t="shared" si="4"/>
        <v>0</v>
      </c>
      <c r="G13" s="387"/>
      <c r="H13" s="387"/>
      <c r="I13" s="388"/>
      <c r="J13" s="387" t="str">
        <f t="shared" si="2"/>
        <v>Ream</v>
      </c>
      <c r="K13" s="387"/>
      <c r="L13" s="387"/>
      <c r="M13" s="387"/>
      <c r="N13" s="387"/>
      <c r="O13" s="387"/>
      <c r="P13" s="387"/>
      <c r="Q13" s="422" t="str">
        <f t="shared" si="3"/>
        <v xml:space="preserve">ACOP- SURVIVING LEGAL SPOUSE </v>
      </c>
      <c r="R13" s="422"/>
      <c r="S13" s="422"/>
      <c r="T13" s="422"/>
      <c r="U13" s="422"/>
      <c r="V13" s="422"/>
      <c r="W13" s="422"/>
      <c r="X13" s="422"/>
      <c r="Y13" s="422"/>
      <c r="Z13" s="422"/>
      <c r="AA13" s="422"/>
      <c r="AB13" s="422"/>
      <c r="AC13" s="422"/>
      <c r="AD13" s="422"/>
      <c r="AE13" s="422"/>
      <c r="AF13" s="422"/>
      <c r="AG13" s="422"/>
      <c r="AH13" s="422"/>
      <c r="AI13" s="422"/>
      <c r="AJ13" s="423">
        <f>IFERROR(VLOOKUP(B13,REQUEST2,4,0),"-")</f>
        <v>10</v>
      </c>
      <c r="AK13" s="416"/>
      <c r="AL13" s="416"/>
      <c r="AM13" s="416"/>
      <c r="AN13" s="417"/>
      <c r="AO13" s="417"/>
      <c r="AP13" s="418"/>
      <c r="AQ13" s="400"/>
      <c r="AR13" s="392"/>
      <c r="AS13" s="392"/>
      <c r="AT13" s="392"/>
      <c r="AU13" s="392"/>
      <c r="AV13" s="392"/>
      <c r="AW13" s="392"/>
      <c r="AX13" s="392"/>
      <c r="AY13" s="393"/>
      <c r="AZ13" s="394"/>
      <c r="BA13" s="394"/>
      <c r="BB13" s="394"/>
      <c r="BC13" s="394"/>
      <c r="BD13" s="394"/>
      <c r="BE13" s="395"/>
    </row>
    <row r="14" spans="1:61" s="182" customFormat="1" ht="22.5" customHeight="1">
      <c r="A14" s="182">
        <v>5</v>
      </c>
      <c r="B14" s="182" t="str">
        <f t="shared" si="0"/>
        <v>2026-0075</v>
      </c>
      <c r="C14" s="182" t="str">
        <f t="shared" si="1"/>
        <v>Envelope - document, 10 x 15</v>
      </c>
      <c r="D14" s="384">
        <v>5</v>
      </c>
      <c r="E14" s="385"/>
      <c r="F14" s="386">
        <f t="shared" si="4"/>
        <v>46</v>
      </c>
      <c r="G14" s="387"/>
      <c r="H14" s="387"/>
      <c r="I14" s="388"/>
      <c r="J14" s="387" t="str">
        <f t="shared" si="2"/>
        <v>C</v>
      </c>
      <c r="K14" s="387"/>
      <c r="L14" s="387"/>
      <c r="M14" s="387"/>
      <c r="N14" s="387"/>
      <c r="O14" s="387"/>
      <c r="P14" s="387"/>
      <c r="Q14" s="422" t="str">
        <f t="shared" si="3"/>
        <v>Envelope - document, 10 x 15</v>
      </c>
      <c r="R14" s="422"/>
      <c r="S14" s="422"/>
      <c r="T14" s="422"/>
      <c r="U14" s="422"/>
      <c r="V14" s="422"/>
      <c r="W14" s="422"/>
      <c r="X14" s="422"/>
      <c r="Y14" s="422"/>
      <c r="Z14" s="422"/>
      <c r="AA14" s="422"/>
      <c r="AB14" s="422"/>
      <c r="AC14" s="422"/>
      <c r="AD14" s="422"/>
      <c r="AE14" s="422"/>
      <c r="AF14" s="422"/>
      <c r="AG14" s="422"/>
      <c r="AH14" s="422"/>
      <c r="AI14" s="422"/>
      <c r="AJ14" s="423">
        <f>IFERROR(VLOOKUP(B14,REQUEST2,4,0),"-")</f>
        <v>10</v>
      </c>
      <c r="AK14" s="416"/>
      <c r="AL14" s="416"/>
      <c r="AM14" s="416"/>
      <c r="AN14" s="417"/>
      <c r="AO14" s="417"/>
      <c r="AP14" s="418"/>
      <c r="AQ14" s="400"/>
      <c r="AR14" s="392"/>
      <c r="AS14" s="392"/>
      <c r="AT14" s="392"/>
      <c r="AU14" s="392"/>
      <c r="AV14" s="392"/>
      <c r="AW14" s="392"/>
      <c r="AX14" s="392"/>
      <c r="AY14" s="393"/>
      <c r="AZ14" s="394"/>
      <c r="BA14" s="394"/>
      <c r="BB14" s="394"/>
      <c r="BC14" s="394"/>
      <c r="BD14" s="394"/>
      <c r="BE14" s="395"/>
    </row>
    <row r="15" spans="1:61" s="182" customFormat="1" ht="26.25" customHeight="1">
      <c r="A15" s="182">
        <v>6</v>
      </c>
      <c r="B15" s="182" t="str">
        <f t="shared" si="0"/>
        <v>2026-0076</v>
      </c>
      <c r="C15" s="182" t="str">
        <f t="shared" si="1"/>
        <v>Folder - legal size, 36mm thick (14pts)</v>
      </c>
      <c r="D15" s="384">
        <v>6</v>
      </c>
      <c r="E15" s="385"/>
      <c r="F15" s="386">
        <f t="shared" ref="F15:F20" si="5">IFERROR(VLOOKUP(Q15,SUPPLY2,4,0),"-")</f>
        <v>330</v>
      </c>
      <c r="G15" s="387"/>
      <c r="H15" s="387"/>
      <c r="I15" s="388"/>
      <c r="J15" s="387" t="str">
        <f t="shared" ref="J15:J20" si="6">IFERROR(VLOOKUP(Q15,SUPPLY2,3,0),"-")</f>
        <v>C</v>
      </c>
      <c r="K15" s="387"/>
      <c r="L15" s="387"/>
      <c r="M15" s="387"/>
      <c r="N15" s="387"/>
      <c r="O15" s="387"/>
      <c r="P15" s="387"/>
      <c r="Q15" s="422" t="str">
        <f t="shared" ref="Q15:Q20" si="7">C15</f>
        <v>Folder - legal size, 36mm thick (14pts)</v>
      </c>
      <c r="R15" s="422"/>
      <c r="S15" s="422"/>
      <c r="T15" s="422"/>
      <c r="U15" s="422"/>
      <c r="V15" s="422"/>
      <c r="W15" s="422"/>
      <c r="X15" s="422"/>
      <c r="Y15" s="422"/>
      <c r="Z15" s="422"/>
      <c r="AA15" s="422"/>
      <c r="AB15" s="422"/>
      <c r="AC15" s="422"/>
      <c r="AD15" s="422"/>
      <c r="AE15" s="422"/>
      <c r="AF15" s="422"/>
      <c r="AG15" s="422"/>
      <c r="AH15" s="422"/>
      <c r="AI15" s="425"/>
      <c r="AJ15" s="391">
        <f t="shared" ref="AJ15:AJ20" si="8">IFERROR(VLOOKUP(B15,REQUEST2,4,0),"-")</f>
        <v>10</v>
      </c>
      <c r="AK15" s="391"/>
      <c r="AL15" s="391"/>
      <c r="AM15" s="391"/>
      <c r="AN15" s="391"/>
      <c r="AO15" s="391"/>
      <c r="AP15" s="391"/>
      <c r="AQ15" s="392"/>
      <c r="AR15" s="392"/>
      <c r="AS15" s="392"/>
      <c r="AT15" s="392"/>
      <c r="AU15" s="392"/>
      <c r="AV15" s="392"/>
      <c r="AW15" s="392"/>
      <c r="AX15" s="392"/>
      <c r="AY15" s="393"/>
      <c r="AZ15" s="394"/>
      <c r="BA15" s="394"/>
      <c r="BB15" s="394"/>
      <c r="BC15" s="394"/>
      <c r="BD15" s="394"/>
      <c r="BE15" s="395"/>
    </row>
    <row r="16" spans="1:61" s="182" customFormat="1" ht="22.5" customHeight="1">
      <c r="A16" s="182">
        <v>7</v>
      </c>
      <c r="B16" s="182" t="str">
        <f t="shared" si="0"/>
        <v>2026-0077</v>
      </c>
      <c r="C16" s="182" t="str">
        <f t="shared" si="1"/>
        <v>Tape - transparent 1</v>
      </c>
      <c r="D16" s="384">
        <v>7</v>
      </c>
      <c r="E16" s="385"/>
      <c r="F16" s="386">
        <f t="shared" si="5"/>
        <v>301</v>
      </c>
      <c r="G16" s="387"/>
      <c r="H16" s="387"/>
      <c r="I16" s="388"/>
      <c r="J16" s="387" t="str">
        <f t="shared" si="6"/>
        <v>Roll</v>
      </c>
      <c r="K16" s="387"/>
      <c r="L16" s="387"/>
      <c r="M16" s="387"/>
      <c r="N16" s="387"/>
      <c r="O16" s="387"/>
      <c r="P16" s="387"/>
      <c r="Q16" s="422" t="str">
        <f t="shared" si="7"/>
        <v>Tape - transparent 1</v>
      </c>
      <c r="R16" s="422"/>
      <c r="S16" s="422"/>
      <c r="T16" s="422"/>
      <c r="U16" s="422"/>
      <c r="V16" s="422"/>
      <c r="W16" s="422"/>
      <c r="X16" s="422"/>
      <c r="Y16" s="422"/>
      <c r="Z16" s="422"/>
      <c r="AA16" s="422"/>
      <c r="AB16" s="422"/>
      <c r="AC16" s="422"/>
      <c r="AD16" s="422"/>
      <c r="AE16" s="422"/>
      <c r="AF16" s="422"/>
      <c r="AG16" s="422"/>
      <c r="AH16" s="422"/>
      <c r="AI16" s="422"/>
      <c r="AJ16" s="424">
        <f t="shared" si="8"/>
        <v>20</v>
      </c>
      <c r="AK16" s="397"/>
      <c r="AL16" s="397"/>
      <c r="AM16" s="397"/>
      <c r="AN16" s="398"/>
      <c r="AO16" s="398"/>
      <c r="AP16" s="399"/>
      <c r="AQ16" s="400"/>
      <c r="AR16" s="392"/>
      <c r="AS16" s="392"/>
      <c r="AT16" s="392"/>
      <c r="AU16" s="392"/>
      <c r="AV16" s="392"/>
      <c r="AW16" s="392"/>
      <c r="AX16" s="392"/>
      <c r="AY16" s="393"/>
      <c r="AZ16" s="394"/>
      <c r="BA16" s="394"/>
      <c r="BB16" s="394"/>
      <c r="BC16" s="394"/>
      <c r="BD16" s="394"/>
      <c r="BE16" s="395"/>
    </row>
    <row r="17" spans="1:57" s="182" customFormat="1" ht="22.5" customHeight="1">
      <c r="A17" s="182">
        <v>8</v>
      </c>
      <c r="B17" s="182" t="str">
        <f t="shared" si="0"/>
        <v>2026-0078</v>
      </c>
      <c r="C17" s="182" t="str">
        <f t="shared" si="1"/>
        <v>Alcohol, ethyl, 68%-72% (500ml)</v>
      </c>
      <c r="D17" s="384">
        <v>8</v>
      </c>
      <c r="E17" s="385"/>
      <c r="F17" s="386">
        <f t="shared" si="5"/>
        <v>2618</v>
      </c>
      <c r="G17" s="387"/>
      <c r="H17" s="387"/>
      <c r="I17" s="388"/>
      <c r="J17" s="387" t="str">
        <f t="shared" si="6"/>
        <v>Bottle</v>
      </c>
      <c r="K17" s="387"/>
      <c r="L17" s="387"/>
      <c r="M17" s="387"/>
      <c r="N17" s="387"/>
      <c r="O17" s="387"/>
      <c r="P17" s="387"/>
      <c r="Q17" s="422" t="str">
        <f t="shared" si="7"/>
        <v>Alcohol, ethyl, 68%-72% (500ml)</v>
      </c>
      <c r="R17" s="422"/>
      <c r="S17" s="422"/>
      <c r="T17" s="422"/>
      <c r="U17" s="422"/>
      <c r="V17" s="422"/>
      <c r="W17" s="422"/>
      <c r="X17" s="422"/>
      <c r="Y17" s="422"/>
      <c r="Z17" s="422"/>
      <c r="AA17" s="422"/>
      <c r="AB17" s="422"/>
      <c r="AC17" s="422"/>
      <c r="AD17" s="422"/>
      <c r="AE17" s="422"/>
      <c r="AF17" s="422"/>
      <c r="AG17" s="422"/>
      <c r="AH17" s="422"/>
      <c r="AI17" s="422"/>
      <c r="AJ17" s="423">
        <f t="shared" si="8"/>
        <v>50</v>
      </c>
      <c r="AK17" s="416"/>
      <c r="AL17" s="416"/>
      <c r="AM17" s="416"/>
      <c r="AN17" s="417"/>
      <c r="AO17" s="417"/>
      <c r="AP17" s="418"/>
      <c r="AQ17" s="400"/>
      <c r="AR17" s="392"/>
      <c r="AS17" s="392"/>
      <c r="AT17" s="392"/>
      <c r="AU17" s="392"/>
      <c r="AV17" s="392"/>
      <c r="AW17" s="392"/>
      <c r="AX17" s="392"/>
      <c r="AY17" s="393"/>
      <c r="AZ17" s="394"/>
      <c r="BA17" s="394"/>
      <c r="BB17" s="394"/>
      <c r="BC17" s="394"/>
      <c r="BD17" s="394"/>
      <c r="BE17" s="395"/>
    </row>
    <row r="18" spans="1:57" s="182" customFormat="1" ht="22.5" customHeight="1">
      <c r="A18" s="182">
        <v>9</v>
      </c>
      <c r="B18" s="182" t="str">
        <f t="shared" si="0"/>
        <v>2026-0079</v>
      </c>
      <c r="C18" s="182" t="str">
        <f t="shared" si="1"/>
        <v>PAYMENT SLIP-CONTRIBUTION 1</v>
      </c>
      <c r="D18" s="384">
        <v>9</v>
      </c>
      <c r="E18" s="385"/>
      <c r="F18" s="386">
        <f>IFERROR(VLOOKUP(Q18,SUPPLY2,4,0),"-")</f>
        <v>2521</v>
      </c>
      <c r="G18" s="387"/>
      <c r="H18" s="387"/>
      <c r="I18" s="388"/>
      <c r="J18" s="387" t="str">
        <f t="shared" si="6"/>
        <v>Ream</v>
      </c>
      <c r="K18" s="387"/>
      <c r="L18" s="387"/>
      <c r="M18" s="387"/>
      <c r="N18" s="387"/>
      <c r="O18" s="387"/>
      <c r="P18" s="387"/>
      <c r="Q18" s="422" t="str">
        <f t="shared" si="7"/>
        <v>PAYMENT SLIP-CONTRIBUTION 1</v>
      </c>
      <c r="R18" s="422"/>
      <c r="S18" s="422"/>
      <c r="T18" s="422"/>
      <c r="U18" s="422"/>
      <c r="V18" s="422"/>
      <c r="W18" s="422"/>
      <c r="X18" s="422"/>
      <c r="Y18" s="422"/>
      <c r="Z18" s="422"/>
      <c r="AA18" s="422"/>
      <c r="AB18" s="422"/>
      <c r="AC18" s="422"/>
      <c r="AD18" s="422"/>
      <c r="AE18" s="422"/>
      <c r="AF18" s="422"/>
      <c r="AG18" s="422"/>
      <c r="AH18" s="422"/>
      <c r="AI18" s="422"/>
      <c r="AJ18" s="423">
        <f t="shared" si="8"/>
        <v>50</v>
      </c>
      <c r="AK18" s="416"/>
      <c r="AL18" s="416"/>
      <c r="AM18" s="416"/>
      <c r="AN18" s="417"/>
      <c r="AO18" s="417"/>
      <c r="AP18" s="418"/>
      <c r="AQ18" s="400"/>
      <c r="AR18" s="392"/>
      <c r="AS18" s="392"/>
      <c r="AT18" s="392"/>
      <c r="AU18" s="392"/>
      <c r="AV18" s="392"/>
      <c r="AW18" s="392"/>
      <c r="AX18" s="392"/>
      <c r="AY18" s="393"/>
      <c r="AZ18" s="394"/>
      <c r="BA18" s="394"/>
      <c r="BB18" s="394"/>
      <c r="BC18" s="394"/>
      <c r="BD18" s="394"/>
      <c r="BE18" s="395"/>
    </row>
    <row r="19" spans="1:57" s="182" customFormat="1" ht="22.5" customHeight="1">
      <c r="A19" s="182">
        <v>10</v>
      </c>
      <c r="B19" s="182" t="str">
        <f t="shared" si="0"/>
        <v>2026-00710</v>
      </c>
      <c r="C19" s="182" t="str">
        <f t="shared" si="1"/>
        <v>Staple wire, 5000 pcs</v>
      </c>
      <c r="D19" s="384">
        <v>10</v>
      </c>
      <c r="E19" s="385"/>
      <c r="F19" s="386">
        <f t="shared" si="5"/>
        <v>310</v>
      </c>
      <c r="G19" s="387"/>
      <c r="H19" s="387"/>
      <c r="I19" s="388"/>
      <c r="J19" s="387" t="str">
        <f t="shared" si="6"/>
        <v>Box</v>
      </c>
      <c r="K19" s="387"/>
      <c r="L19" s="387"/>
      <c r="M19" s="387"/>
      <c r="N19" s="387"/>
      <c r="O19" s="387"/>
      <c r="P19" s="388"/>
      <c r="Q19" s="419" t="str">
        <f t="shared" si="7"/>
        <v>Staple wire, 5000 pcs</v>
      </c>
      <c r="R19" s="420"/>
      <c r="S19" s="420"/>
      <c r="T19" s="420"/>
      <c r="U19" s="420"/>
      <c r="V19" s="420"/>
      <c r="W19" s="420"/>
      <c r="X19" s="420"/>
      <c r="Y19" s="420"/>
      <c r="Z19" s="420"/>
      <c r="AA19" s="420"/>
      <c r="AB19" s="420"/>
      <c r="AC19" s="420"/>
      <c r="AD19" s="420"/>
      <c r="AE19" s="420"/>
      <c r="AF19" s="420"/>
      <c r="AG19" s="420"/>
      <c r="AH19" s="420"/>
      <c r="AI19" s="421"/>
      <c r="AJ19" s="416">
        <f t="shared" si="8"/>
        <v>50</v>
      </c>
      <c r="AK19" s="416"/>
      <c r="AL19" s="416"/>
      <c r="AM19" s="416"/>
      <c r="AN19" s="417"/>
      <c r="AO19" s="417"/>
      <c r="AP19" s="418"/>
      <c r="AQ19" s="400"/>
      <c r="AR19" s="392"/>
      <c r="AS19" s="392"/>
      <c r="AT19" s="392"/>
      <c r="AU19" s="392"/>
      <c r="AV19" s="392"/>
      <c r="AW19" s="392"/>
      <c r="AX19" s="392"/>
      <c r="AY19" s="393"/>
      <c r="AZ19" s="394"/>
      <c r="BA19" s="394"/>
      <c r="BB19" s="394"/>
      <c r="BC19" s="394"/>
      <c r="BD19" s="394"/>
      <c r="BE19" s="395"/>
    </row>
    <row r="20" spans="1:57" s="182" customFormat="1" ht="22.5" customHeight="1">
      <c r="A20" s="182">
        <v>11</v>
      </c>
      <c r="B20" s="182" t="str">
        <f t="shared" si="0"/>
        <v>2026-00711</v>
      </c>
      <c r="C20" s="182" t="str">
        <f t="shared" si="1"/>
        <v>Ballpoint pen</v>
      </c>
      <c r="D20" s="384">
        <v>11</v>
      </c>
      <c r="E20" s="385"/>
      <c r="F20" s="386">
        <f t="shared" si="5"/>
        <v>337</v>
      </c>
      <c r="G20" s="387"/>
      <c r="H20" s="387"/>
      <c r="I20" s="388"/>
      <c r="J20" s="387" t="str">
        <f t="shared" si="6"/>
        <v>Piece</v>
      </c>
      <c r="K20" s="387"/>
      <c r="L20" s="387"/>
      <c r="M20" s="387"/>
      <c r="N20" s="387"/>
      <c r="O20" s="387"/>
      <c r="P20" s="388"/>
      <c r="Q20" s="389" t="str">
        <f t="shared" si="7"/>
        <v>Ballpoint pen</v>
      </c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6"/>
      <c r="AJ20" s="416">
        <f t="shared" si="8"/>
        <v>100</v>
      </c>
      <c r="AK20" s="416"/>
      <c r="AL20" s="416"/>
      <c r="AM20" s="416"/>
      <c r="AN20" s="417"/>
      <c r="AO20" s="417"/>
      <c r="AP20" s="418"/>
      <c r="AQ20" s="400"/>
      <c r="AR20" s="392"/>
      <c r="AS20" s="392"/>
      <c r="AT20" s="392"/>
      <c r="AU20" s="392"/>
      <c r="AV20" s="392"/>
      <c r="AW20" s="392"/>
      <c r="AX20" s="392"/>
      <c r="AY20" s="393"/>
      <c r="AZ20" s="394"/>
      <c r="BA20" s="394"/>
      <c r="BB20" s="394"/>
      <c r="BC20" s="394"/>
      <c r="BD20" s="394"/>
      <c r="BE20" s="395"/>
    </row>
    <row r="21" spans="1:57" s="182" customFormat="1" ht="22.5" customHeight="1">
      <c r="A21" s="182">
        <v>12</v>
      </c>
      <c r="B21" s="182" t="str">
        <f t="shared" si="0"/>
        <v>2026-00712</v>
      </c>
      <c r="C21" s="182" t="str">
        <f t="shared" si="1"/>
        <v>ACOP-  REPRESENTATIVE PAYEE OF DEPENDENT</v>
      </c>
      <c r="D21" s="384">
        <v>12</v>
      </c>
      <c r="E21" s="385"/>
      <c r="F21" s="386">
        <f t="shared" ref="F21:F24" si="9">IFERROR(VLOOKUP(Q21,SUPPLY2,4,0),"-")</f>
        <v>0</v>
      </c>
      <c r="G21" s="387"/>
      <c r="H21" s="387"/>
      <c r="I21" s="388"/>
      <c r="J21" s="387" t="str">
        <f t="shared" ref="J21:J24" si="10">IFERROR(VLOOKUP(Q21,SUPPLY2,3,0),"-")</f>
        <v>Ream</v>
      </c>
      <c r="K21" s="387"/>
      <c r="L21" s="387"/>
      <c r="M21" s="387"/>
      <c r="N21" s="387"/>
      <c r="O21" s="387"/>
      <c r="P21" s="388"/>
      <c r="Q21" s="389" t="str">
        <f t="shared" ref="Q21:Q24" si="11">C21</f>
        <v>ACOP-  REPRESENTATIVE PAYEE OF DEPENDENT</v>
      </c>
      <c r="R21" s="390"/>
      <c r="S21" s="390"/>
      <c r="T21" s="390"/>
      <c r="U21" s="390"/>
      <c r="V21" s="390"/>
      <c r="W21" s="390"/>
      <c r="X21" s="390"/>
      <c r="Y21" s="390"/>
      <c r="Z21" s="390"/>
      <c r="AA21" s="390"/>
      <c r="AB21" s="390"/>
      <c r="AC21" s="390"/>
      <c r="AD21" s="390"/>
      <c r="AE21" s="390"/>
      <c r="AF21" s="390"/>
      <c r="AG21" s="390"/>
      <c r="AH21" s="390"/>
      <c r="AI21" s="390"/>
      <c r="AJ21" s="391">
        <f t="shared" ref="AJ21:AJ24" si="12">IFERROR(VLOOKUP(B21,REQUEST2,4,0),"-")</f>
        <v>10</v>
      </c>
      <c r="AK21" s="391"/>
      <c r="AL21" s="391"/>
      <c r="AM21" s="391"/>
      <c r="AN21" s="391"/>
      <c r="AO21" s="391"/>
      <c r="AP21" s="391"/>
      <c r="AQ21" s="392"/>
      <c r="AR21" s="392"/>
      <c r="AS21" s="392"/>
      <c r="AT21" s="392"/>
      <c r="AU21" s="392"/>
      <c r="AV21" s="392"/>
      <c r="AW21" s="392"/>
      <c r="AX21" s="392"/>
      <c r="AY21" s="393"/>
      <c r="AZ21" s="394"/>
      <c r="BA21" s="394"/>
      <c r="BB21" s="394"/>
      <c r="BC21" s="394"/>
      <c r="BD21" s="394"/>
      <c r="BE21" s="395"/>
    </row>
    <row r="22" spans="1:57" s="182" customFormat="1" ht="22.5" customHeight="1">
      <c r="A22" s="182">
        <v>13</v>
      </c>
      <c r="B22" s="182" t="str">
        <f t="shared" si="0"/>
        <v>2026-00713</v>
      </c>
      <c r="C22" s="182" t="str">
        <f t="shared" si="1"/>
        <v>Correction tape</v>
      </c>
      <c r="D22" s="384">
        <v>13</v>
      </c>
      <c r="E22" s="385"/>
      <c r="F22" s="386">
        <f t="shared" si="9"/>
        <v>1960</v>
      </c>
      <c r="G22" s="387"/>
      <c r="H22" s="387"/>
      <c r="I22" s="388"/>
      <c r="J22" s="387" t="str">
        <f t="shared" si="10"/>
        <v>Piece</v>
      </c>
      <c r="K22" s="387"/>
      <c r="L22" s="387"/>
      <c r="M22" s="387"/>
      <c r="N22" s="387"/>
      <c r="O22" s="387"/>
      <c r="P22" s="388"/>
      <c r="Q22" s="389" t="str">
        <f t="shared" si="11"/>
        <v>Correction tape</v>
      </c>
      <c r="R22" s="390"/>
      <c r="S22" s="390"/>
      <c r="T22" s="390"/>
      <c r="U22" s="390"/>
      <c r="V22" s="390"/>
      <c r="W22" s="390"/>
      <c r="X22" s="390"/>
      <c r="Y22" s="390"/>
      <c r="Z22" s="390"/>
      <c r="AA22" s="390"/>
      <c r="AB22" s="390"/>
      <c r="AC22" s="390"/>
      <c r="AD22" s="390"/>
      <c r="AE22" s="390"/>
      <c r="AF22" s="390"/>
      <c r="AG22" s="390"/>
      <c r="AH22" s="390"/>
      <c r="AI22" s="396"/>
      <c r="AJ22" s="397">
        <f t="shared" si="12"/>
        <v>20</v>
      </c>
      <c r="AK22" s="397"/>
      <c r="AL22" s="397"/>
      <c r="AM22" s="397"/>
      <c r="AN22" s="398"/>
      <c r="AO22" s="398"/>
      <c r="AP22" s="399"/>
      <c r="AQ22" s="400"/>
      <c r="AR22" s="392"/>
      <c r="AS22" s="392"/>
      <c r="AT22" s="392"/>
      <c r="AU22" s="392"/>
      <c r="AV22" s="392"/>
      <c r="AW22" s="392"/>
      <c r="AX22" s="392"/>
      <c r="AY22" s="393"/>
      <c r="AZ22" s="394"/>
      <c r="BA22" s="394"/>
      <c r="BB22" s="394"/>
      <c r="BC22" s="394"/>
      <c r="BD22" s="394"/>
      <c r="BE22" s="395"/>
    </row>
    <row r="23" spans="1:57" s="182" customFormat="1" ht="22.5" customHeight="1">
      <c r="A23" s="182">
        <v>14</v>
      </c>
      <c r="B23" s="182" t="str">
        <f t="shared" si="0"/>
        <v>2026-00714</v>
      </c>
      <c r="C23" s="182" t="str">
        <f t="shared" si="1"/>
        <v>Binder clip 3/4”</v>
      </c>
      <c r="D23" s="384">
        <v>14</v>
      </c>
      <c r="E23" s="385"/>
      <c r="F23" s="386">
        <f t="shared" si="9"/>
        <v>2546</v>
      </c>
      <c r="G23" s="387"/>
      <c r="H23" s="387"/>
      <c r="I23" s="388"/>
      <c r="J23" s="387" t="str">
        <f>IFERROR(VLOOKUP(Q23,SUPPLY2,3,0),"-")</f>
        <v>Box</v>
      </c>
      <c r="K23" s="387"/>
      <c r="L23" s="387"/>
      <c r="M23" s="387"/>
      <c r="N23" s="387"/>
      <c r="O23" s="387"/>
      <c r="P23" s="388"/>
      <c r="Q23" s="389" t="str">
        <f t="shared" si="11"/>
        <v>Binder clip 3/4”</v>
      </c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1">
        <f t="shared" si="12"/>
        <v>10</v>
      </c>
      <c r="AK23" s="391"/>
      <c r="AL23" s="391"/>
      <c r="AM23" s="391"/>
      <c r="AN23" s="391"/>
      <c r="AO23" s="391"/>
      <c r="AP23" s="391"/>
      <c r="AQ23" s="392"/>
      <c r="AR23" s="392"/>
      <c r="AS23" s="392"/>
      <c r="AT23" s="392"/>
      <c r="AU23" s="392"/>
      <c r="AV23" s="392"/>
      <c r="AW23" s="392"/>
      <c r="AX23" s="392"/>
      <c r="AY23" s="393"/>
      <c r="AZ23" s="394"/>
      <c r="BA23" s="394"/>
      <c r="BB23" s="394"/>
      <c r="BC23" s="394"/>
      <c r="BD23" s="394"/>
      <c r="BE23" s="395"/>
    </row>
    <row r="24" spans="1:57" s="182" customFormat="1" ht="22.5" customHeight="1">
      <c r="A24" s="182">
        <v>15</v>
      </c>
      <c r="B24" s="182" t="str">
        <f t="shared" si="0"/>
        <v>2026-00715</v>
      </c>
      <c r="C24" s="182" t="str">
        <f t="shared" si="1"/>
        <v>Binder clip 2”</v>
      </c>
      <c r="D24" s="384">
        <v>15</v>
      </c>
      <c r="E24" s="385"/>
      <c r="F24" s="386">
        <f t="shared" si="9"/>
        <v>2552</v>
      </c>
      <c r="G24" s="387"/>
      <c r="H24" s="387"/>
      <c r="I24" s="388"/>
      <c r="J24" s="387" t="str">
        <f t="shared" si="10"/>
        <v>Box</v>
      </c>
      <c r="K24" s="387"/>
      <c r="L24" s="387"/>
      <c r="M24" s="387"/>
      <c r="N24" s="387"/>
      <c r="O24" s="387"/>
      <c r="P24" s="388"/>
      <c r="Q24" s="389" t="str">
        <f t="shared" si="11"/>
        <v>Binder clip 2”</v>
      </c>
      <c r="R24" s="390"/>
      <c r="S24" s="390"/>
      <c r="T24" s="390"/>
      <c r="U24" s="390"/>
      <c r="V24" s="390"/>
      <c r="W24" s="390"/>
      <c r="X24" s="390"/>
      <c r="Y24" s="390"/>
      <c r="Z24" s="390"/>
      <c r="AA24" s="390"/>
      <c r="AB24" s="390"/>
      <c r="AC24" s="390"/>
      <c r="AD24" s="390"/>
      <c r="AE24" s="390"/>
      <c r="AF24" s="390"/>
      <c r="AG24" s="390"/>
      <c r="AH24" s="390"/>
      <c r="AI24" s="390"/>
      <c r="AJ24" s="391">
        <f t="shared" si="12"/>
        <v>10</v>
      </c>
      <c r="AK24" s="391"/>
      <c r="AL24" s="391"/>
      <c r="AM24" s="391"/>
      <c r="AN24" s="391"/>
      <c r="AO24" s="391"/>
      <c r="AP24" s="391"/>
      <c r="AQ24" s="392"/>
      <c r="AR24" s="392"/>
      <c r="AS24" s="392"/>
      <c r="AT24" s="392"/>
      <c r="AU24" s="392"/>
      <c r="AV24" s="392"/>
      <c r="AW24" s="392"/>
      <c r="AX24" s="392"/>
      <c r="AY24" s="393"/>
      <c r="AZ24" s="394"/>
      <c r="BA24" s="394"/>
      <c r="BB24" s="394"/>
      <c r="BC24" s="394"/>
      <c r="BD24" s="394"/>
      <c r="BE24" s="395"/>
    </row>
    <row r="25" spans="1:57" s="182" customFormat="1" ht="22.5" customHeight="1">
      <c r="A25" s="182">
        <v>16</v>
      </c>
      <c r="B25" s="182" t="str">
        <f t="shared" ref="B25:B36" si="13">CONCATENATE(BF$1,A25)</f>
        <v>2026-00716</v>
      </c>
      <c r="C25" s="182" t="str">
        <f t="shared" ref="C25:C36" si="14">IFERROR(VLOOKUP(B25,REQUEST1,3,0),"-")</f>
        <v>Binder clip 1”</v>
      </c>
      <c r="D25" s="384">
        <v>16</v>
      </c>
      <c r="E25" s="385"/>
      <c r="F25" s="386">
        <f t="shared" ref="F25:F36" si="15">IFERROR(VLOOKUP(Q25,SUPPLY2,4,0),"-")</f>
        <v>2550</v>
      </c>
      <c r="G25" s="387"/>
      <c r="H25" s="387"/>
      <c r="I25" s="388"/>
      <c r="J25" s="387" t="str">
        <f t="shared" ref="J25:J36" si="16">IFERROR(VLOOKUP(Q25,SUPPLY2,3,0),"-")</f>
        <v>Box</v>
      </c>
      <c r="K25" s="387"/>
      <c r="L25" s="387"/>
      <c r="M25" s="387"/>
      <c r="N25" s="387"/>
      <c r="O25" s="387"/>
      <c r="P25" s="388"/>
      <c r="Q25" s="389" t="str">
        <f t="shared" ref="Q25:Q36" si="17">C25</f>
        <v>Binder clip 1”</v>
      </c>
      <c r="R25" s="390"/>
      <c r="S25" s="390"/>
      <c r="T25" s="390"/>
      <c r="U25" s="390"/>
      <c r="V25" s="390"/>
      <c r="W25" s="390"/>
      <c r="X25" s="390"/>
      <c r="Y25" s="390"/>
      <c r="Z25" s="390"/>
      <c r="AA25" s="390"/>
      <c r="AB25" s="390"/>
      <c r="AC25" s="390"/>
      <c r="AD25" s="390"/>
      <c r="AE25" s="390"/>
      <c r="AF25" s="390"/>
      <c r="AG25" s="390"/>
      <c r="AH25" s="390"/>
      <c r="AI25" s="390"/>
      <c r="AJ25" s="391">
        <f t="shared" ref="AJ25:AJ36" si="18">IFERROR(VLOOKUP(B25,REQUEST2,4,0),"-")</f>
        <v>10</v>
      </c>
      <c r="AK25" s="391"/>
      <c r="AL25" s="391"/>
      <c r="AM25" s="391"/>
      <c r="AN25" s="391"/>
      <c r="AO25" s="391"/>
      <c r="AP25" s="391"/>
      <c r="AQ25" s="392"/>
      <c r="AR25" s="392"/>
      <c r="AS25" s="392"/>
      <c r="AT25" s="392"/>
      <c r="AU25" s="392"/>
      <c r="AV25" s="392"/>
      <c r="AW25" s="392"/>
      <c r="AX25" s="392"/>
      <c r="AY25" s="393"/>
      <c r="AZ25" s="394"/>
      <c r="BA25" s="394"/>
      <c r="BB25" s="394"/>
      <c r="BC25" s="394"/>
      <c r="BD25" s="394"/>
      <c r="BE25" s="395"/>
    </row>
    <row r="26" spans="1:57" s="182" customFormat="1" ht="22.5" customHeight="1">
      <c r="A26" s="182">
        <v>17</v>
      </c>
      <c r="B26" s="182" t="str">
        <f t="shared" si="13"/>
        <v>2026-00717</v>
      </c>
      <c r="C26" s="182" t="str">
        <f t="shared" si="14"/>
        <v>Packaging tape 2”</v>
      </c>
      <c r="D26" s="384">
        <v>17</v>
      </c>
      <c r="E26" s="385"/>
      <c r="F26" s="386">
        <f t="shared" si="15"/>
        <v>2537</v>
      </c>
      <c r="G26" s="387"/>
      <c r="H26" s="387"/>
      <c r="I26" s="388"/>
      <c r="J26" s="387" t="str">
        <f t="shared" si="16"/>
        <v>Roll</v>
      </c>
      <c r="K26" s="387"/>
      <c r="L26" s="387"/>
      <c r="M26" s="387"/>
      <c r="N26" s="387"/>
      <c r="O26" s="387"/>
      <c r="P26" s="388"/>
      <c r="Q26" s="389" t="str">
        <f t="shared" si="17"/>
        <v>Packaging tape 2”</v>
      </c>
      <c r="R26" s="390"/>
      <c r="S26" s="390"/>
      <c r="T26" s="390"/>
      <c r="U26" s="390"/>
      <c r="V26" s="390"/>
      <c r="W26" s="390"/>
      <c r="X26" s="390"/>
      <c r="Y26" s="390"/>
      <c r="Z26" s="390"/>
      <c r="AA26" s="390"/>
      <c r="AB26" s="390"/>
      <c r="AC26" s="390"/>
      <c r="AD26" s="390"/>
      <c r="AE26" s="390"/>
      <c r="AF26" s="390"/>
      <c r="AG26" s="390"/>
      <c r="AH26" s="390"/>
      <c r="AI26" s="396"/>
      <c r="AJ26" s="397">
        <f t="shared" si="18"/>
        <v>20</v>
      </c>
      <c r="AK26" s="397"/>
      <c r="AL26" s="397"/>
      <c r="AM26" s="397"/>
      <c r="AN26" s="398"/>
      <c r="AO26" s="398"/>
      <c r="AP26" s="399"/>
      <c r="AQ26" s="400"/>
      <c r="AR26" s="392"/>
      <c r="AS26" s="392"/>
      <c r="AT26" s="392"/>
      <c r="AU26" s="392"/>
      <c r="AV26" s="392"/>
      <c r="AW26" s="392"/>
      <c r="AX26" s="392"/>
      <c r="AY26" s="393"/>
      <c r="AZ26" s="394"/>
      <c r="BA26" s="394"/>
      <c r="BB26" s="394"/>
      <c r="BC26" s="394"/>
      <c r="BD26" s="394"/>
      <c r="BE26" s="395"/>
    </row>
    <row r="27" spans="1:57" s="182" customFormat="1" ht="22.5" hidden="1" customHeight="1">
      <c r="A27" s="182">
        <v>18</v>
      </c>
      <c r="B27" s="182" t="str">
        <f t="shared" si="13"/>
        <v>2026-00718</v>
      </c>
      <c r="C27" s="182" t="str">
        <f t="shared" si="14"/>
        <v>-</v>
      </c>
      <c r="D27" s="384">
        <v>18</v>
      </c>
      <c r="E27" s="385"/>
      <c r="F27" s="426" t="str">
        <f t="shared" si="15"/>
        <v>-</v>
      </c>
      <c r="G27" s="427"/>
      <c r="H27" s="427"/>
      <c r="I27" s="428"/>
      <c r="J27" s="387" t="str">
        <f t="shared" si="16"/>
        <v>-</v>
      </c>
      <c r="K27" s="387"/>
      <c r="L27" s="387"/>
      <c r="M27" s="387"/>
      <c r="N27" s="387"/>
      <c r="O27" s="387"/>
      <c r="P27" s="388"/>
      <c r="Q27" s="389" t="str">
        <f t="shared" si="17"/>
        <v>-</v>
      </c>
      <c r="R27" s="390"/>
      <c r="S27" s="390"/>
      <c r="T27" s="390"/>
      <c r="U27" s="390"/>
      <c r="V27" s="390"/>
      <c r="W27" s="390"/>
      <c r="X27" s="390"/>
      <c r="Y27" s="390"/>
      <c r="Z27" s="390"/>
      <c r="AA27" s="390"/>
      <c r="AB27" s="390"/>
      <c r="AC27" s="390"/>
      <c r="AD27" s="390"/>
      <c r="AE27" s="390"/>
      <c r="AF27" s="390"/>
      <c r="AG27" s="390"/>
      <c r="AH27" s="390"/>
      <c r="AI27" s="396"/>
      <c r="AJ27" s="416" t="str">
        <f t="shared" si="18"/>
        <v>-</v>
      </c>
      <c r="AK27" s="416"/>
      <c r="AL27" s="416"/>
      <c r="AM27" s="416"/>
      <c r="AN27" s="417"/>
      <c r="AO27" s="417"/>
      <c r="AP27" s="418"/>
      <c r="AQ27" s="400"/>
      <c r="AR27" s="392"/>
      <c r="AS27" s="392"/>
      <c r="AT27" s="392"/>
      <c r="AU27" s="392"/>
      <c r="AV27" s="392"/>
      <c r="AW27" s="392"/>
      <c r="AX27" s="392"/>
      <c r="AY27" s="393"/>
      <c r="AZ27" s="394"/>
      <c r="BA27" s="394"/>
      <c r="BB27" s="394"/>
      <c r="BC27" s="394"/>
      <c r="BD27" s="394"/>
      <c r="BE27" s="395"/>
    </row>
    <row r="28" spans="1:57" s="182" customFormat="1" ht="22.5" hidden="1" customHeight="1">
      <c r="A28" s="182">
        <v>19</v>
      </c>
      <c r="B28" s="182" t="str">
        <f t="shared" si="13"/>
        <v>2026-00719</v>
      </c>
      <c r="C28" s="182" t="str">
        <f t="shared" si="14"/>
        <v>-</v>
      </c>
      <c r="D28" s="384">
        <v>19</v>
      </c>
      <c r="E28" s="385"/>
      <c r="F28" s="386" t="str">
        <f t="shared" si="15"/>
        <v>-</v>
      </c>
      <c r="G28" s="387"/>
      <c r="H28" s="387"/>
      <c r="I28" s="388"/>
      <c r="J28" s="387" t="str">
        <f t="shared" si="16"/>
        <v>-</v>
      </c>
      <c r="K28" s="387"/>
      <c r="L28" s="387"/>
      <c r="M28" s="387"/>
      <c r="N28" s="387"/>
      <c r="O28" s="387"/>
      <c r="P28" s="388"/>
      <c r="Q28" s="389" t="str">
        <f t="shared" si="17"/>
        <v>-</v>
      </c>
      <c r="R28" s="390"/>
      <c r="S28" s="390"/>
      <c r="T28" s="390"/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6"/>
      <c r="AJ28" s="416" t="str">
        <f t="shared" si="18"/>
        <v>-</v>
      </c>
      <c r="AK28" s="416"/>
      <c r="AL28" s="416"/>
      <c r="AM28" s="416"/>
      <c r="AN28" s="417"/>
      <c r="AO28" s="417"/>
      <c r="AP28" s="418"/>
      <c r="AQ28" s="400"/>
      <c r="AR28" s="392"/>
      <c r="AS28" s="392"/>
      <c r="AT28" s="392"/>
      <c r="AU28" s="392"/>
      <c r="AV28" s="392"/>
      <c r="AW28" s="392"/>
      <c r="AX28" s="392"/>
      <c r="AY28" s="393"/>
      <c r="AZ28" s="394"/>
      <c r="BA28" s="394"/>
      <c r="BB28" s="394"/>
      <c r="BC28" s="394"/>
      <c r="BD28" s="394"/>
      <c r="BE28" s="395"/>
    </row>
    <row r="29" spans="1:57" s="182" customFormat="1" ht="22.5" hidden="1" customHeight="1">
      <c r="A29" s="182">
        <v>20</v>
      </c>
      <c r="B29" s="182" t="str">
        <f t="shared" si="13"/>
        <v>2026-00720</v>
      </c>
      <c r="C29" s="182" t="str">
        <f t="shared" si="14"/>
        <v>-</v>
      </c>
      <c r="D29" s="384">
        <v>20</v>
      </c>
      <c r="E29" s="385"/>
      <c r="F29" s="386" t="str">
        <f t="shared" si="15"/>
        <v>-</v>
      </c>
      <c r="G29" s="387"/>
      <c r="H29" s="387"/>
      <c r="I29" s="388"/>
      <c r="J29" s="387" t="str">
        <f t="shared" si="16"/>
        <v>-</v>
      </c>
      <c r="K29" s="387"/>
      <c r="L29" s="387"/>
      <c r="M29" s="387"/>
      <c r="N29" s="387"/>
      <c r="O29" s="387"/>
      <c r="P29" s="388"/>
      <c r="Q29" s="389" t="str">
        <f t="shared" si="17"/>
        <v>-</v>
      </c>
      <c r="R29" s="390"/>
      <c r="S29" s="390"/>
      <c r="T29" s="390"/>
      <c r="U29" s="390"/>
      <c r="V29" s="390"/>
      <c r="W29" s="390"/>
      <c r="X29" s="390"/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6"/>
      <c r="AJ29" s="416" t="str">
        <f t="shared" si="18"/>
        <v>-</v>
      </c>
      <c r="AK29" s="416"/>
      <c r="AL29" s="416"/>
      <c r="AM29" s="416"/>
      <c r="AN29" s="417"/>
      <c r="AO29" s="417"/>
      <c r="AP29" s="418"/>
      <c r="AQ29" s="400"/>
      <c r="AR29" s="392"/>
      <c r="AS29" s="392"/>
      <c r="AT29" s="392"/>
      <c r="AU29" s="392"/>
      <c r="AV29" s="392"/>
      <c r="AW29" s="392"/>
      <c r="AX29" s="392"/>
      <c r="AY29" s="393"/>
      <c r="AZ29" s="394"/>
      <c r="BA29" s="394"/>
      <c r="BB29" s="394"/>
      <c r="BC29" s="394"/>
      <c r="BD29" s="394"/>
      <c r="BE29" s="395"/>
    </row>
    <row r="30" spans="1:57" s="182" customFormat="1" ht="22.5" hidden="1" customHeight="1">
      <c r="A30" s="182">
        <v>22</v>
      </c>
      <c r="B30" s="182" t="str">
        <f t="shared" si="13"/>
        <v>2026-00722</v>
      </c>
      <c r="C30" s="182" t="str">
        <f t="shared" si="14"/>
        <v>-</v>
      </c>
      <c r="D30" s="384">
        <v>22</v>
      </c>
      <c r="E30" s="385"/>
      <c r="F30" s="386" t="str">
        <f t="shared" si="15"/>
        <v>-</v>
      </c>
      <c r="G30" s="387"/>
      <c r="H30" s="387"/>
      <c r="I30" s="388"/>
      <c r="J30" s="387" t="str">
        <f t="shared" si="16"/>
        <v>-</v>
      </c>
      <c r="K30" s="387"/>
      <c r="L30" s="387"/>
      <c r="M30" s="387"/>
      <c r="N30" s="387"/>
      <c r="O30" s="387"/>
      <c r="P30" s="388"/>
      <c r="Q30" s="389" t="str">
        <f t="shared" si="17"/>
        <v>-</v>
      </c>
      <c r="R30" s="390"/>
      <c r="S30" s="390"/>
      <c r="T30" s="390"/>
      <c r="U30" s="390"/>
      <c r="V30" s="390"/>
      <c r="W30" s="390"/>
      <c r="X30" s="390"/>
      <c r="Y30" s="390"/>
      <c r="Z30" s="390"/>
      <c r="AA30" s="390"/>
      <c r="AB30" s="390"/>
      <c r="AC30" s="390"/>
      <c r="AD30" s="390"/>
      <c r="AE30" s="390"/>
      <c r="AF30" s="390"/>
      <c r="AG30" s="390"/>
      <c r="AH30" s="390"/>
      <c r="AI30" s="396"/>
      <c r="AJ30" s="416" t="str">
        <f t="shared" si="18"/>
        <v>-</v>
      </c>
      <c r="AK30" s="416"/>
      <c r="AL30" s="416"/>
      <c r="AM30" s="416"/>
      <c r="AN30" s="417"/>
      <c r="AO30" s="417"/>
      <c r="AP30" s="418"/>
      <c r="AQ30" s="400"/>
      <c r="AR30" s="392"/>
      <c r="AS30" s="392"/>
      <c r="AT30" s="392"/>
      <c r="AU30" s="392"/>
      <c r="AV30" s="392"/>
      <c r="AW30" s="392"/>
      <c r="AX30" s="392"/>
      <c r="AY30" s="393"/>
      <c r="AZ30" s="394"/>
      <c r="BA30" s="394"/>
      <c r="BB30" s="394"/>
      <c r="BC30" s="394"/>
      <c r="BD30" s="394"/>
      <c r="BE30" s="395"/>
    </row>
    <row r="31" spans="1:57" s="182" customFormat="1" ht="22.5" hidden="1" customHeight="1">
      <c r="A31" s="182">
        <v>23</v>
      </c>
      <c r="B31" s="182" t="str">
        <f t="shared" si="13"/>
        <v>2026-00723</v>
      </c>
      <c r="C31" s="182" t="str">
        <f t="shared" si="14"/>
        <v>-</v>
      </c>
      <c r="D31" s="384">
        <v>23</v>
      </c>
      <c r="E31" s="385"/>
      <c r="F31" s="386" t="str">
        <f t="shared" si="15"/>
        <v>-</v>
      </c>
      <c r="G31" s="387"/>
      <c r="H31" s="387"/>
      <c r="I31" s="388"/>
      <c r="J31" s="387" t="str">
        <f t="shared" si="16"/>
        <v>-</v>
      </c>
      <c r="K31" s="387"/>
      <c r="L31" s="387"/>
      <c r="M31" s="387"/>
      <c r="N31" s="387"/>
      <c r="O31" s="387"/>
      <c r="P31" s="388"/>
      <c r="Q31" s="389" t="str">
        <f t="shared" si="17"/>
        <v>-</v>
      </c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6"/>
      <c r="AJ31" s="416" t="str">
        <f t="shared" si="18"/>
        <v>-</v>
      </c>
      <c r="AK31" s="416"/>
      <c r="AL31" s="416"/>
      <c r="AM31" s="416"/>
      <c r="AN31" s="417"/>
      <c r="AO31" s="417"/>
      <c r="AP31" s="418"/>
      <c r="AQ31" s="400"/>
      <c r="AR31" s="392"/>
      <c r="AS31" s="392"/>
      <c r="AT31" s="392"/>
      <c r="AU31" s="392"/>
      <c r="AV31" s="392"/>
      <c r="AW31" s="392"/>
      <c r="AX31" s="392"/>
      <c r="AY31" s="393"/>
      <c r="AZ31" s="394"/>
      <c r="BA31" s="394"/>
      <c r="BB31" s="394"/>
      <c r="BC31" s="394"/>
      <c r="BD31" s="394"/>
      <c r="BE31" s="395"/>
    </row>
    <row r="32" spans="1:57" s="182" customFormat="1" ht="22.5" hidden="1" customHeight="1">
      <c r="A32" s="182">
        <v>24</v>
      </c>
      <c r="B32" s="182" t="str">
        <f t="shared" si="13"/>
        <v>2026-00724</v>
      </c>
      <c r="C32" s="182" t="str">
        <f t="shared" si="14"/>
        <v>-</v>
      </c>
      <c r="D32" s="384">
        <v>24</v>
      </c>
      <c r="E32" s="385"/>
      <c r="F32" s="386" t="str">
        <f t="shared" si="15"/>
        <v>-</v>
      </c>
      <c r="G32" s="387"/>
      <c r="H32" s="387"/>
      <c r="I32" s="388"/>
      <c r="J32" s="387" t="str">
        <f t="shared" si="16"/>
        <v>-</v>
      </c>
      <c r="K32" s="387"/>
      <c r="L32" s="387"/>
      <c r="M32" s="387"/>
      <c r="N32" s="387"/>
      <c r="O32" s="387"/>
      <c r="P32" s="388"/>
      <c r="Q32" s="389" t="str">
        <f t="shared" si="17"/>
        <v>-</v>
      </c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0"/>
      <c r="AD32" s="390"/>
      <c r="AE32" s="390"/>
      <c r="AF32" s="390"/>
      <c r="AG32" s="390"/>
      <c r="AH32" s="390"/>
      <c r="AI32" s="396"/>
      <c r="AJ32" s="416" t="str">
        <f t="shared" si="18"/>
        <v>-</v>
      </c>
      <c r="AK32" s="416"/>
      <c r="AL32" s="416"/>
      <c r="AM32" s="416"/>
      <c r="AN32" s="417"/>
      <c r="AO32" s="417"/>
      <c r="AP32" s="418"/>
      <c r="AQ32" s="400"/>
      <c r="AR32" s="392"/>
      <c r="AS32" s="392"/>
      <c r="AT32" s="392"/>
      <c r="AU32" s="392"/>
      <c r="AV32" s="392"/>
      <c r="AW32" s="392"/>
      <c r="AX32" s="392"/>
      <c r="AY32" s="393"/>
      <c r="AZ32" s="394"/>
      <c r="BA32" s="394"/>
      <c r="BB32" s="394"/>
      <c r="BC32" s="394"/>
      <c r="BD32" s="394"/>
      <c r="BE32" s="395"/>
    </row>
    <row r="33" spans="1:57" s="182" customFormat="1" ht="22.5" hidden="1" customHeight="1">
      <c r="A33" s="182">
        <v>25</v>
      </c>
      <c r="B33" s="182" t="str">
        <f t="shared" si="13"/>
        <v>2026-00725</v>
      </c>
      <c r="C33" s="182" t="str">
        <f t="shared" si="14"/>
        <v>-</v>
      </c>
      <c r="D33" s="384">
        <v>25</v>
      </c>
      <c r="E33" s="385"/>
      <c r="F33" s="386" t="str">
        <f t="shared" si="15"/>
        <v>-</v>
      </c>
      <c r="G33" s="387"/>
      <c r="H33" s="387"/>
      <c r="I33" s="388"/>
      <c r="J33" s="387" t="str">
        <f t="shared" si="16"/>
        <v>-</v>
      </c>
      <c r="K33" s="387"/>
      <c r="L33" s="387"/>
      <c r="M33" s="387"/>
      <c r="N33" s="387"/>
      <c r="O33" s="387"/>
      <c r="P33" s="388"/>
      <c r="Q33" s="389" t="str">
        <f t="shared" si="17"/>
        <v>-</v>
      </c>
      <c r="R33" s="390"/>
      <c r="S33" s="390"/>
      <c r="T33" s="390"/>
      <c r="U33" s="390"/>
      <c r="V33" s="390"/>
      <c r="W33" s="390"/>
      <c r="X33" s="390"/>
      <c r="Y33" s="390"/>
      <c r="Z33" s="390"/>
      <c r="AA33" s="390"/>
      <c r="AB33" s="390"/>
      <c r="AC33" s="390"/>
      <c r="AD33" s="390"/>
      <c r="AE33" s="390"/>
      <c r="AF33" s="390"/>
      <c r="AG33" s="390"/>
      <c r="AH33" s="390"/>
      <c r="AI33" s="396"/>
      <c r="AJ33" s="416" t="str">
        <f t="shared" si="18"/>
        <v>-</v>
      </c>
      <c r="AK33" s="416"/>
      <c r="AL33" s="416"/>
      <c r="AM33" s="416"/>
      <c r="AN33" s="417"/>
      <c r="AO33" s="417"/>
      <c r="AP33" s="418"/>
      <c r="AQ33" s="400"/>
      <c r="AR33" s="392"/>
      <c r="AS33" s="392"/>
      <c r="AT33" s="392"/>
      <c r="AU33" s="392"/>
      <c r="AV33" s="392"/>
      <c r="AW33" s="392"/>
      <c r="AX33" s="392"/>
      <c r="AY33" s="393"/>
      <c r="AZ33" s="394"/>
      <c r="BA33" s="394"/>
      <c r="BB33" s="394"/>
      <c r="BC33" s="394"/>
      <c r="BD33" s="394"/>
      <c r="BE33" s="395"/>
    </row>
    <row r="34" spans="1:57" s="182" customFormat="1" ht="22.5" hidden="1" customHeight="1">
      <c r="A34" s="182">
        <v>26</v>
      </c>
      <c r="B34" s="182" t="str">
        <f t="shared" si="13"/>
        <v>2026-00726</v>
      </c>
      <c r="C34" s="182" t="str">
        <f t="shared" si="14"/>
        <v>-</v>
      </c>
      <c r="D34" s="384">
        <v>26</v>
      </c>
      <c r="E34" s="385"/>
      <c r="F34" s="386" t="str">
        <f t="shared" si="15"/>
        <v>-</v>
      </c>
      <c r="G34" s="387"/>
      <c r="H34" s="387"/>
      <c r="I34" s="388"/>
      <c r="J34" s="387" t="str">
        <f t="shared" si="16"/>
        <v>-</v>
      </c>
      <c r="K34" s="387"/>
      <c r="L34" s="387"/>
      <c r="M34" s="387"/>
      <c r="N34" s="387"/>
      <c r="O34" s="387"/>
      <c r="P34" s="388"/>
      <c r="Q34" s="389" t="str">
        <f t="shared" si="17"/>
        <v>-</v>
      </c>
      <c r="R34" s="390"/>
      <c r="S34" s="390"/>
      <c r="T34" s="390"/>
      <c r="U34" s="390"/>
      <c r="V34" s="390"/>
      <c r="W34" s="390"/>
      <c r="X34" s="390"/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6"/>
      <c r="AJ34" s="416" t="str">
        <f t="shared" si="18"/>
        <v>-</v>
      </c>
      <c r="AK34" s="416"/>
      <c r="AL34" s="416"/>
      <c r="AM34" s="416"/>
      <c r="AN34" s="417"/>
      <c r="AO34" s="417"/>
      <c r="AP34" s="418"/>
      <c r="AQ34" s="400"/>
      <c r="AR34" s="392"/>
      <c r="AS34" s="392"/>
      <c r="AT34" s="392"/>
      <c r="AU34" s="392"/>
      <c r="AV34" s="392"/>
      <c r="AW34" s="392"/>
      <c r="AX34" s="392"/>
      <c r="AY34" s="393"/>
      <c r="AZ34" s="394"/>
      <c r="BA34" s="394"/>
      <c r="BB34" s="394"/>
      <c r="BC34" s="394"/>
      <c r="BD34" s="394"/>
      <c r="BE34" s="395"/>
    </row>
    <row r="35" spans="1:57" s="182" customFormat="1" ht="22.5" hidden="1" customHeight="1">
      <c r="A35" s="182">
        <v>27</v>
      </c>
      <c r="B35" s="182" t="str">
        <f t="shared" si="13"/>
        <v>2026-00727</v>
      </c>
      <c r="C35" s="182" t="str">
        <f t="shared" si="14"/>
        <v>-</v>
      </c>
      <c r="D35" s="384">
        <v>27</v>
      </c>
      <c r="E35" s="385"/>
      <c r="F35" s="386" t="str">
        <f t="shared" si="15"/>
        <v>-</v>
      </c>
      <c r="G35" s="387"/>
      <c r="H35" s="387"/>
      <c r="I35" s="388"/>
      <c r="J35" s="387" t="str">
        <f t="shared" si="16"/>
        <v>-</v>
      </c>
      <c r="K35" s="387"/>
      <c r="L35" s="387"/>
      <c r="M35" s="387"/>
      <c r="N35" s="387"/>
      <c r="O35" s="387"/>
      <c r="P35" s="388"/>
      <c r="Q35" s="389" t="str">
        <f t="shared" si="17"/>
        <v>-</v>
      </c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6"/>
      <c r="AJ35" s="416" t="str">
        <f t="shared" si="18"/>
        <v>-</v>
      </c>
      <c r="AK35" s="416"/>
      <c r="AL35" s="416"/>
      <c r="AM35" s="416"/>
      <c r="AN35" s="417"/>
      <c r="AO35" s="417"/>
      <c r="AP35" s="418"/>
      <c r="AQ35" s="400"/>
      <c r="AR35" s="392"/>
      <c r="AS35" s="392"/>
      <c r="AT35" s="392"/>
      <c r="AU35" s="392"/>
      <c r="AV35" s="392"/>
      <c r="AW35" s="392"/>
      <c r="AX35" s="392"/>
      <c r="AY35" s="393"/>
      <c r="AZ35" s="394"/>
      <c r="BA35" s="394"/>
      <c r="BB35" s="394"/>
      <c r="BC35" s="394"/>
      <c r="BD35" s="394"/>
      <c r="BE35" s="395"/>
    </row>
    <row r="36" spans="1:57" s="182" customFormat="1" ht="22.5" hidden="1" customHeight="1">
      <c r="A36" s="182">
        <v>28</v>
      </c>
      <c r="B36" s="182" t="str">
        <f t="shared" si="13"/>
        <v>2026-00728</v>
      </c>
      <c r="C36" s="182" t="str">
        <f t="shared" si="14"/>
        <v>-</v>
      </c>
      <c r="D36" s="384">
        <v>28</v>
      </c>
      <c r="E36" s="385"/>
      <c r="F36" s="386" t="str">
        <f t="shared" si="15"/>
        <v>-</v>
      </c>
      <c r="G36" s="387"/>
      <c r="H36" s="387"/>
      <c r="I36" s="388"/>
      <c r="J36" s="387" t="str">
        <f t="shared" si="16"/>
        <v>-</v>
      </c>
      <c r="K36" s="387"/>
      <c r="L36" s="387"/>
      <c r="M36" s="387"/>
      <c r="N36" s="387"/>
      <c r="O36" s="387"/>
      <c r="P36" s="388"/>
      <c r="Q36" s="389" t="str">
        <f t="shared" si="17"/>
        <v>-</v>
      </c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6"/>
      <c r="AJ36" s="416" t="str">
        <f t="shared" si="18"/>
        <v>-</v>
      </c>
      <c r="AK36" s="416"/>
      <c r="AL36" s="416"/>
      <c r="AM36" s="416"/>
      <c r="AN36" s="417"/>
      <c r="AO36" s="417"/>
      <c r="AP36" s="418"/>
      <c r="AQ36" s="400"/>
      <c r="AR36" s="392"/>
      <c r="AS36" s="392"/>
      <c r="AT36" s="392"/>
      <c r="AU36" s="392"/>
      <c r="AV36" s="392"/>
      <c r="AW36" s="392"/>
      <c r="AX36" s="392"/>
      <c r="AY36" s="393"/>
      <c r="AZ36" s="394"/>
      <c r="BA36" s="394"/>
      <c r="BB36" s="394"/>
      <c r="BC36" s="394"/>
      <c r="BD36" s="394"/>
      <c r="BE36" s="395"/>
    </row>
    <row r="37" spans="1:57" s="182" customFormat="1" ht="22.5" hidden="1" customHeight="1">
      <c r="A37" s="182">
        <v>29</v>
      </c>
      <c r="B37" s="182" t="str">
        <f t="shared" ref="B37:B54" si="19">CONCATENATE(BF$1,A37)</f>
        <v>2026-00729</v>
      </c>
      <c r="C37" s="182" t="str">
        <f t="shared" ref="C37:C54" si="20">IFERROR(VLOOKUP(B37,REQUEST1,3,0),"-")</f>
        <v>-</v>
      </c>
      <c r="D37" s="384">
        <v>29</v>
      </c>
      <c r="E37" s="385"/>
      <c r="F37" s="386" t="str">
        <f t="shared" ref="F37:F54" si="21">IFERROR(VLOOKUP(Q37,SUPPLY2,4,0),"-")</f>
        <v>-</v>
      </c>
      <c r="G37" s="387"/>
      <c r="H37" s="387"/>
      <c r="I37" s="388"/>
      <c r="J37" s="387" t="str">
        <f t="shared" ref="J37:J54" si="22">IFERROR(VLOOKUP(Q37,SUPPLY2,3,0),"-")</f>
        <v>-</v>
      </c>
      <c r="K37" s="387"/>
      <c r="L37" s="387"/>
      <c r="M37" s="387"/>
      <c r="N37" s="387"/>
      <c r="O37" s="387"/>
      <c r="P37" s="388"/>
      <c r="Q37" s="389" t="str">
        <f t="shared" ref="Q37:Q54" si="23">C37</f>
        <v>-</v>
      </c>
      <c r="R37" s="390"/>
      <c r="S37" s="390"/>
      <c r="T37" s="390"/>
      <c r="U37" s="390"/>
      <c r="V37" s="390"/>
      <c r="W37" s="390"/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6"/>
      <c r="AJ37" s="416" t="str">
        <f t="shared" ref="AJ37:AJ54" si="24">IFERROR(VLOOKUP(B37,REQUEST2,4,0),"-")</f>
        <v>-</v>
      </c>
      <c r="AK37" s="416"/>
      <c r="AL37" s="416"/>
      <c r="AM37" s="416"/>
      <c r="AN37" s="417"/>
      <c r="AO37" s="417"/>
      <c r="AP37" s="418"/>
      <c r="AQ37" s="400"/>
      <c r="AR37" s="392"/>
      <c r="AS37" s="392"/>
      <c r="AT37" s="392"/>
      <c r="AU37" s="392"/>
      <c r="AV37" s="392"/>
      <c r="AW37" s="392"/>
      <c r="AX37" s="392"/>
      <c r="AY37" s="393"/>
      <c r="AZ37" s="394"/>
      <c r="BA37" s="394"/>
      <c r="BB37" s="394"/>
      <c r="BC37" s="394"/>
      <c r="BD37" s="394"/>
      <c r="BE37" s="395"/>
    </row>
    <row r="38" spans="1:57" s="182" customFormat="1" ht="22.5" hidden="1" customHeight="1">
      <c r="A38" s="182">
        <v>30</v>
      </c>
      <c r="B38" s="182" t="str">
        <f t="shared" si="19"/>
        <v>2026-00730</v>
      </c>
      <c r="C38" s="182" t="str">
        <f t="shared" si="20"/>
        <v>-</v>
      </c>
      <c r="D38" s="384">
        <v>30</v>
      </c>
      <c r="E38" s="385"/>
      <c r="F38" s="386" t="str">
        <f t="shared" si="21"/>
        <v>-</v>
      </c>
      <c r="G38" s="387"/>
      <c r="H38" s="387"/>
      <c r="I38" s="388"/>
      <c r="J38" s="387" t="str">
        <f t="shared" si="22"/>
        <v>-</v>
      </c>
      <c r="K38" s="387"/>
      <c r="L38" s="387"/>
      <c r="M38" s="387"/>
      <c r="N38" s="387"/>
      <c r="O38" s="387"/>
      <c r="P38" s="388"/>
      <c r="Q38" s="389" t="str">
        <f t="shared" si="23"/>
        <v>-</v>
      </c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6"/>
      <c r="AJ38" s="416" t="str">
        <f t="shared" si="24"/>
        <v>-</v>
      </c>
      <c r="AK38" s="416"/>
      <c r="AL38" s="416"/>
      <c r="AM38" s="416"/>
      <c r="AN38" s="417"/>
      <c r="AO38" s="417"/>
      <c r="AP38" s="418"/>
      <c r="AQ38" s="400"/>
      <c r="AR38" s="392"/>
      <c r="AS38" s="392"/>
      <c r="AT38" s="392"/>
      <c r="AU38" s="392"/>
      <c r="AV38" s="392"/>
      <c r="AW38" s="392"/>
      <c r="AX38" s="392"/>
      <c r="AY38" s="393"/>
      <c r="AZ38" s="394"/>
      <c r="BA38" s="394"/>
      <c r="BB38" s="394"/>
      <c r="BC38" s="394"/>
      <c r="BD38" s="394"/>
      <c r="BE38" s="395"/>
    </row>
    <row r="39" spans="1:57" s="182" customFormat="1" ht="22.5" hidden="1" customHeight="1">
      <c r="A39" s="182">
        <v>31</v>
      </c>
      <c r="B39" s="182" t="str">
        <f t="shared" si="19"/>
        <v>2026-00731</v>
      </c>
      <c r="C39" s="182" t="str">
        <f t="shared" si="20"/>
        <v>-</v>
      </c>
      <c r="D39" s="384">
        <v>31</v>
      </c>
      <c r="E39" s="385"/>
      <c r="F39" s="386" t="str">
        <f t="shared" si="21"/>
        <v>-</v>
      </c>
      <c r="G39" s="387"/>
      <c r="H39" s="387"/>
      <c r="I39" s="388"/>
      <c r="J39" s="387" t="str">
        <f t="shared" si="22"/>
        <v>-</v>
      </c>
      <c r="K39" s="387"/>
      <c r="L39" s="387"/>
      <c r="M39" s="387"/>
      <c r="N39" s="387"/>
      <c r="O39" s="387"/>
      <c r="P39" s="388"/>
      <c r="Q39" s="389" t="str">
        <f t="shared" si="23"/>
        <v>-</v>
      </c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6"/>
      <c r="AJ39" s="416" t="str">
        <f t="shared" si="24"/>
        <v>-</v>
      </c>
      <c r="AK39" s="416"/>
      <c r="AL39" s="416"/>
      <c r="AM39" s="416"/>
      <c r="AN39" s="417"/>
      <c r="AO39" s="417"/>
      <c r="AP39" s="418"/>
      <c r="AQ39" s="400"/>
      <c r="AR39" s="392"/>
      <c r="AS39" s="392"/>
      <c r="AT39" s="392"/>
      <c r="AU39" s="392"/>
      <c r="AV39" s="392"/>
      <c r="AW39" s="392"/>
      <c r="AX39" s="392"/>
      <c r="AY39" s="393"/>
      <c r="AZ39" s="394"/>
      <c r="BA39" s="394"/>
      <c r="BB39" s="394"/>
      <c r="BC39" s="394"/>
      <c r="BD39" s="394"/>
      <c r="BE39" s="395"/>
    </row>
    <row r="40" spans="1:57" s="182" customFormat="1" ht="22.5" hidden="1" customHeight="1">
      <c r="A40" s="182">
        <v>32</v>
      </c>
      <c r="B40" s="182" t="str">
        <f t="shared" si="19"/>
        <v>2026-00732</v>
      </c>
      <c r="C40" s="182" t="str">
        <f t="shared" si="20"/>
        <v>-</v>
      </c>
      <c r="D40" s="384">
        <v>32</v>
      </c>
      <c r="E40" s="385"/>
      <c r="F40" s="386" t="str">
        <f t="shared" si="21"/>
        <v>-</v>
      </c>
      <c r="G40" s="387"/>
      <c r="H40" s="387"/>
      <c r="I40" s="388"/>
      <c r="J40" s="387" t="str">
        <f t="shared" si="22"/>
        <v>-</v>
      </c>
      <c r="K40" s="387"/>
      <c r="L40" s="387"/>
      <c r="M40" s="387"/>
      <c r="N40" s="387"/>
      <c r="O40" s="387"/>
      <c r="P40" s="388"/>
      <c r="Q40" s="473" t="str">
        <f t="shared" si="23"/>
        <v>-</v>
      </c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5"/>
      <c r="AJ40" s="416" t="str">
        <f t="shared" si="24"/>
        <v>-</v>
      </c>
      <c r="AK40" s="416"/>
      <c r="AL40" s="416"/>
      <c r="AM40" s="416"/>
      <c r="AN40" s="417"/>
      <c r="AO40" s="417"/>
      <c r="AP40" s="418"/>
      <c r="AQ40" s="400"/>
      <c r="AR40" s="392"/>
      <c r="AS40" s="392"/>
      <c r="AT40" s="392"/>
      <c r="AU40" s="392"/>
      <c r="AV40" s="392"/>
      <c r="AW40" s="392"/>
      <c r="AX40" s="392"/>
      <c r="AY40" s="393"/>
      <c r="AZ40" s="394"/>
      <c r="BA40" s="394"/>
      <c r="BB40" s="394"/>
      <c r="BC40" s="394"/>
      <c r="BD40" s="394"/>
      <c r="BE40" s="395"/>
    </row>
    <row r="41" spans="1:57" s="182" customFormat="1" ht="22.5" hidden="1" customHeight="1">
      <c r="A41" s="182">
        <v>33</v>
      </c>
      <c r="B41" s="182" t="str">
        <f t="shared" si="19"/>
        <v>2026-00733</v>
      </c>
      <c r="C41" s="182" t="str">
        <f t="shared" si="20"/>
        <v>-</v>
      </c>
      <c r="D41" s="384">
        <v>33</v>
      </c>
      <c r="E41" s="385"/>
      <c r="F41" s="386" t="str">
        <f t="shared" si="21"/>
        <v>-</v>
      </c>
      <c r="G41" s="387"/>
      <c r="H41" s="387"/>
      <c r="I41" s="388"/>
      <c r="J41" s="387" t="str">
        <f t="shared" si="22"/>
        <v>-</v>
      </c>
      <c r="K41" s="387"/>
      <c r="L41" s="387"/>
      <c r="M41" s="387"/>
      <c r="N41" s="387"/>
      <c r="O41" s="387"/>
      <c r="P41" s="387"/>
      <c r="Q41" s="422" t="str">
        <f t="shared" si="23"/>
        <v>-</v>
      </c>
      <c r="R41" s="422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  <c r="AC41" s="422"/>
      <c r="AD41" s="422"/>
      <c r="AE41" s="422"/>
      <c r="AF41" s="422"/>
      <c r="AG41" s="422"/>
      <c r="AH41" s="422"/>
      <c r="AI41" s="422"/>
      <c r="AJ41" s="391" t="str">
        <f t="shared" si="24"/>
        <v>-</v>
      </c>
      <c r="AK41" s="391"/>
      <c r="AL41" s="391"/>
      <c r="AM41" s="391"/>
      <c r="AN41" s="391"/>
      <c r="AO41" s="391"/>
      <c r="AP41" s="391"/>
      <c r="AQ41" s="392"/>
      <c r="AR41" s="392"/>
      <c r="AS41" s="392"/>
      <c r="AT41" s="392"/>
      <c r="AU41" s="392"/>
      <c r="AV41" s="392"/>
      <c r="AW41" s="392"/>
      <c r="AX41" s="392"/>
      <c r="AY41" s="393"/>
      <c r="AZ41" s="394"/>
      <c r="BA41" s="394"/>
      <c r="BB41" s="394"/>
      <c r="BC41" s="394"/>
      <c r="BD41" s="394"/>
      <c r="BE41" s="395"/>
    </row>
    <row r="42" spans="1:57" s="182" customFormat="1" ht="22.5" hidden="1" customHeight="1">
      <c r="A42" s="182">
        <v>34</v>
      </c>
      <c r="B42" s="182" t="str">
        <f t="shared" si="19"/>
        <v>2026-00734</v>
      </c>
      <c r="C42" s="182" t="str">
        <f t="shared" si="20"/>
        <v>-</v>
      </c>
      <c r="D42" s="384">
        <v>34</v>
      </c>
      <c r="E42" s="385"/>
      <c r="F42" s="386" t="str">
        <f t="shared" si="21"/>
        <v>-</v>
      </c>
      <c r="G42" s="387"/>
      <c r="H42" s="387"/>
      <c r="I42" s="388"/>
      <c r="J42" s="387" t="str">
        <f t="shared" si="22"/>
        <v>-</v>
      </c>
      <c r="K42" s="387"/>
      <c r="L42" s="387"/>
      <c r="M42" s="387"/>
      <c r="N42" s="387"/>
      <c r="O42" s="387"/>
      <c r="P42" s="387"/>
      <c r="Q42" s="422" t="str">
        <f t="shared" si="23"/>
        <v>-</v>
      </c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2"/>
      <c r="AE42" s="422"/>
      <c r="AF42" s="422"/>
      <c r="AG42" s="422"/>
      <c r="AH42" s="422"/>
      <c r="AI42" s="422"/>
      <c r="AJ42" s="391" t="str">
        <f t="shared" si="24"/>
        <v>-</v>
      </c>
      <c r="AK42" s="391"/>
      <c r="AL42" s="391"/>
      <c r="AM42" s="391"/>
      <c r="AN42" s="391"/>
      <c r="AO42" s="391"/>
      <c r="AP42" s="391"/>
      <c r="AQ42" s="392"/>
      <c r="AR42" s="392"/>
      <c r="AS42" s="392"/>
      <c r="AT42" s="392"/>
      <c r="AU42" s="392"/>
      <c r="AV42" s="392"/>
      <c r="AW42" s="392"/>
      <c r="AX42" s="392"/>
      <c r="AY42" s="393"/>
      <c r="AZ42" s="394"/>
      <c r="BA42" s="394"/>
      <c r="BB42" s="394"/>
      <c r="BC42" s="394"/>
      <c r="BD42" s="394"/>
      <c r="BE42" s="395"/>
    </row>
    <row r="43" spans="1:57" s="182" customFormat="1" ht="22.5" hidden="1" customHeight="1">
      <c r="A43" s="182">
        <v>35</v>
      </c>
      <c r="B43" s="182" t="str">
        <f t="shared" si="19"/>
        <v>2026-00735</v>
      </c>
      <c r="C43" s="182" t="str">
        <f t="shared" si="20"/>
        <v>-</v>
      </c>
      <c r="D43" s="384">
        <v>35</v>
      </c>
      <c r="E43" s="385"/>
      <c r="F43" s="386" t="str">
        <f t="shared" si="21"/>
        <v>-</v>
      </c>
      <c r="G43" s="387"/>
      <c r="H43" s="387"/>
      <c r="I43" s="388"/>
      <c r="J43" s="387" t="str">
        <f t="shared" si="22"/>
        <v>-</v>
      </c>
      <c r="K43" s="387"/>
      <c r="L43" s="387"/>
      <c r="M43" s="387"/>
      <c r="N43" s="387"/>
      <c r="O43" s="387"/>
      <c r="P43" s="387"/>
      <c r="Q43" s="422" t="str">
        <f t="shared" si="23"/>
        <v>-</v>
      </c>
      <c r="R43" s="422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  <c r="AC43" s="422"/>
      <c r="AD43" s="422"/>
      <c r="AE43" s="422"/>
      <c r="AF43" s="422"/>
      <c r="AG43" s="422"/>
      <c r="AH43" s="422"/>
      <c r="AI43" s="422"/>
      <c r="AJ43" s="391" t="str">
        <f t="shared" si="24"/>
        <v>-</v>
      </c>
      <c r="AK43" s="391"/>
      <c r="AL43" s="391"/>
      <c r="AM43" s="391"/>
      <c r="AN43" s="391"/>
      <c r="AO43" s="391"/>
      <c r="AP43" s="391"/>
      <c r="AQ43" s="392"/>
      <c r="AR43" s="392"/>
      <c r="AS43" s="392"/>
      <c r="AT43" s="392"/>
      <c r="AU43" s="392"/>
      <c r="AV43" s="392"/>
      <c r="AW43" s="392"/>
      <c r="AX43" s="392"/>
      <c r="AY43" s="393"/>
      <c r="AZ43" s="394"/>
      <c r="BA43" s="394"/>
      <c r="BB43" s="394"/>
      <c r="BC43" s="394"/>
      <c r="BD43" s="394"/>
      <c r="BE43" s="395"/>
    </row>
    <row r="44" spans="1:57" s="182" customFormat="1" ht="22.5" hidden="1" customHeight="1">
      <c r="A44" s="182">
        <v>36</v>
      </c>
      <c r="B44" s="182" t="str">
        <f t="shared" si="19"/>
        <v>2026-00736</v>
      </c>
      <c r="C44" s="182" t="str">
        <f t="shared" si="20"/>
        <v>-</v>
      </c>
      <c r="D44" s="384">
        <v>36</v>
      </c>
      <c r="E44" s="385"/>
      <c r="F44" s="386" t="str">
        <f t="shared" si="21"/>
        <v>-</v>
      </c>
      <c r="G44" s="387"/>
      <c r="H44" s="387"/>
      <c r="I44" s="388"/>
      <c r="J44" s="387" t="str">
        <f t="shared" si="22"/>
        <v>-</v>
      </c>
      <c r="K44" s="387"/>
      <c r="L44" s="387"/>
      <c r="M44" s="387"/>
      <c r="N44" s="387"/>
      <c r="O44" s="387"/>
      <c r="P44" s="387"/>
      <c r="Q44" s="422" t="str">
        <f t="shared" si="23"/>
        <v>-</v>
      </c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391" t="str">
        <f t="shared" si="24"/>
        <v>-</v>
      </c>
      <c r="AK44" s="391"/>
      <c r="AL44" s="391"/>
      <c r="AM44" s="391"/>
      <c r="AN44" s="391"/>
      <c r="AO44" s="391"/>
      <c r="AP44" s="391"/>
      <c r="AQ44" s="392"/>
      <c r="AR44" s="392"/>
      <c r="AS44" s="392"/>
      <c r="AT44" s="392"/>
      <c r="AU44" s="392"/>
      <c r="AV44" s="392"/>
      <c r="AW44" s="392"/>
      <c r="AX44" s="392"/>
      <c r="AY44" s="393"/>
      <c r="AZ44" s="394"/>
      <c r="BA44" s="394"/>
      <c r="BB44" s="394"/>
      <c r="BC44" s="394"/>
      <c r="BD44" s="394"/>
      <c r="BE44" s="395"/>
    </row>
    <row r="45" spans="1:57" s="182" customFormat="1" ht="22.5" hidden="1" customHeight="1">
      <c r="A45" s="182">
        <v>37</v>
      </c>
      <c r="B45" s="182" t="str">
        <f t="shared" si="19"/>
        <v>2026-00737</v>
      </c>
      <c r="C45" s="182" t="str">
        <f t="shared" si="20"/>
        <v>-</v>
      </c>
      <c r="D45" s="384">
        <v>37</v>
      </c>
      <c r="E45" s="385"/>
      <c r="F45" s="386" t="str">
        <f t="shared" si="21"/>
        <v>-</v>
      </c>
      <c r="G45" s="387"/>
      <c r="H45" s="387"/>
      <c r="I45" s="388"/>
      <c r="J45" s="387" t="str">
        <f t="shared" si="22"/>
        <v>-</v>
      </c>
      <c r="K45" s="387"/>
      <c r="L45" s="387"/>
      <c r="M45" s="387"/>
      <c r="N45" s="387"/>
      <c r="O45" s="387"/>
      <c r="P45" s="387"/>
      <c r="Q45" s="422" t="str">
        <f t="shared" si="23"/>
        <v>-</v>
      </c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391" t="str">
        <f t="shared" si="24"/>
        <v>-</v>
      </c>
      <c r="AK45" s="391"/>
      <c r="AL45" s="391"/>
      <c r="AM45" s="391"/>
      <c r="AN45" s="391"/>
      <c r="AO45" s="391"/>
      <c r="AP45" s="391"/>
      <c r="AQ45" s="392"/>
      <c r="AR45" s="392"/>
      <c r="AS45" s="392"/>
      <c r="AT45" s="392"/>
      <c r="AU45" s="392"/>
      <c r="AV45" s="392"/>
      <c r="AW45" s="392"/>
      <c r="AX45" s="392"/>
      <c r="AY45" s="393"/>
      <c r="AZ45" s="394"/>
      <c r="BA45" s="394"/>
      <c r="BB45" s="394"/>
      <c r="BC45" s="394"/>
      <c r="BD45" s="394"/>
      <c r="BE45" s="395"/>
    </row>
    <row r="46" spans="1:57" s="182" customFormat="1" ht="22.5" hidden="1" customHeight="1">
      <c r="A46" s="182">
        <v>38</v>
      </c>
      <c r="B46" s="182" t="str">
        <f t="shared" si="19"/>
        <v>2026-00738</v>
      </c>
      <c r="C46" s="182" t="str">
        <f t="shared" si="20"/>
        <v>-</v>
      </c>
      <c r="D46" s="384">
        <v>38</v>
      </c>
      <c r="E46" s="385"/>
      <c r="F46" s="386" t="str">
        <f t="shared" si="21"/>
        <v>-</v>
      </c>
      <c r="G46" s="387"/>
      <c r="H46" s="387"/>
      <c r="I46" s="388"/>
      <c r="J46" s="387" t="str">
        <f t="shared" si="22"/>
        <v>-</v>
      </c>
      <c r="K46" s="387"/>
      <c r="L46" s="387"/>
      <c r="M46" s="387"/>
      <c r="N46" s="387"/>
      <c r="O46" s="387"/>
      <c r="P46" s="387"/>
      <c r="Q46" s="422" t="str">
        <f t="shared" si="23"/>
        <v>-</v>
      </c>
      <c r="R46" s="422"/>
      <c r="S46" s="422"/>
      <c r="T46" s="422"/>
      <c r="U46" s="422"/>
      <c r="V46" s="422"/>
      <c r="W46" s="422"/>
      <c r="X46" s="422"/>
      <c r="Y46" s="422"/>
      <c r="Z46" s="422"/>
      <c r="AA46" s="422"/>
      <c r="AB46" s="422"/>
      <c r="AC46" s="422"/>
      <c r="AD46" s="422"/>
      <c r="AE46" s="422"/>
      <c r="AF46" s="422"/>
      <c r="AG46" s="422"/>
      <c r="AH46" s="422"/>
      <c r="AI46" s="422"/>
      <c r="AJ46" s="391" t="str">
        <f t="shared" si="24"/>
        <v>-</v>
      </c>
      <c r="AK46" s="391"/>
      <c r="AL46" s="391"/>
      <c r="AM46" s="391"/>
      <c r="AN46" s="391"/>
      <c r="AO46" s="391"/>
      <c r="AP46" s="391"/>
      <c r="AQ46" s="392"/>
      <c r="AR46" s="392"/>
      <c r="AS46" s="392"/>
      <c r="AT46" s="392"/>
      <c r="AU46" s="392"/>
      <c r="AV46" s="392"/>
      <c r="AW46" s="392"/>
      <c r="AX46" s="392"/>
      <c r="AY46" s="393"/>
      <c r="AZ46" s="394"/>
      <c r="BA46" s="394"/>
      <c r="BB46" s="394"/>
      <c r="BC46" s="394"/>
      <c r="BD46" s="394"/>
      <c r="BE46" s="395"/>
    </row>
    <row r="47" spans="1:57" s="182" customFormat="1" ht="22.5" hidden="1" customHeight="1">
      <c r="A47" s="182">
        <v>39</v>
      </c>
      <c r="B47" s="182" t="str">
        <f t="shared" si="19"/>
        <v>2026-00739</v>
      </c>
      <c r="C47" s="182" t="str">
        <f t="shared" si="20"/>
        <v>-</v>
      </c>
      <c r="D47" s="384">
        <v>39</v>
      </c>
      <c r="E47" s="385"/>
      <c r="F47" s="386" t="str">
        <f t="shared" si="21"/>
        <v>-</v>
      </c>
      <c r="G47" s="387"/>
      <c r="H47" s="387"/>
      <c r="I47" s="388"/>
      <c r="J47" s="387" t="str">
        <f t="shared" si="22"/>
        <v>-</v>
      </c>
      <c r="K47" s="387"/>
      <c r="L47" s="387"/>
      <c r="M47" s="387"/>
      <c r="N47" s="387"/>
      <c r="O47" s="387"/>
      <c r="P47" s="387"/>
      <c r="Q47" s="422" t="str">
        <f t="shared" si="23"/>
        <v>-</v>
      </c>
      <c r="R47" s="422"/>
      <c r="S47" s="422"/>
      <c r="T47" s="422"/>
      <c r="U47" s="422"/>
      <c r="V47" s="422"/>
      <c r="W47" s="422"/>
      <c r="X47" s="422"/>
      <c r="Y47" s="422"/>
      <c r="Z47" s="422"/>
      <c r="AA47" s="422"/>
      <c r="AB47" s="422"/>
      <c r="AC47" s="422"/>
      <c r="AD47" s="422"/>
      <c r="AE47" s="422"/>
      <c r="AF47" s="422"/>
      <c r="AG47" s="422"/>
      <c r="AH47" s="422"/>
      <c r="AI47" s="422"/>
      <c r="AJ47" s="391" t="str">
        <f t="shared" si="24"/>
        <v>-</v>
      </c>
      <c r="AK47" s="391"/>
      <c r="AL47" s="391"/>
      <c r="AM47" s="391"/>
      <c r="AN47" s="391"/>
      <c r="AO47" s="391"/>
      <c r="AP47" s="391"/>
      <c r="AQ47" s="392"/>
      <c r="AR47" s="392"/>
      <c r="AS47" s="392"/>
      <c r="AT47" s="392"/>
      <c r="AU47" s="392"/>
      <c r="AV47" s="392"/>
      <c r="AW47" s="392"/>
      <c r="AX47" s="392"/>
      <c r="AY47" s="393"/>
      <c r="AZ47" s="394"/>
      <c r="BA47" s="394"/>
      <c r="BB47" s="394"/>
      <c r="BC47" s="394"/>
      <c r="BD47" s="394"/>
      <c r="BE47" s="395"/>
    </row>
    <row r="48" spans="1:57" s="182" customFormat="1" ht="22.5" hidden="1" customHeight="1">
      <c r="A48" s="182">
        <v>40</v>
      </c>
      <c r="B48" s="182" t="str">
        <f t="shared" si="19"/>
        <v>2026-00740</v>
      </c>
      <c r="C48" s="182" t="str">
        <f t="shared" si="20"/>
        <v>-</v>
      </c>
      <c r="D48" s="384">
        <v>40</v>
      </c>
      <c r="E48" s="385"/>
      <c r="F48" s="386" t="str">
        <f t="shared" si="21"/>
        <v>-</v>
      </c>
      <c r="G48" s="387"/>
      <c r="H48" s="387"/>
      <c r="I48" s="388"/>
      <c r="J48" s="387" t="str">
        <f t="shared" si="22"/>
        <v>-</v>
      </c>
      <c r="K48" s="387"/>
      <c r="L48" s="387"/>
      <c r="M48" s="387"/>
      <c r="N48" s="387"/>
      <c r="O48" s="387"/>
      <c r="P48" s="387"/>
      <c r="Q48" s="422" t="str">
        <f t="shared" si="23"/>
        <v>-</v>
      </c>
      <c r="R48" s="422"/>
      <c r="S48" s="422"/>
      <c r="T48" s="422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22"/>
      <c r="AF48" s="422"/>
      <c r="AG48" s="422"/>
      <c r="AH48" s="422"/>
      <c r="AI48" s="422"/>
      <c r="AJ48" s="391" t="str">
        <f t="shared" si="24"/>
        <v>-</v>
      </c>
      <c r="AK48" s="391"/>
      <c r="AL48" s="391"/>
      <c r="AM48" s="391"/>
      <c r="AN48" s="391"/>
      <c r="AO48" s="391"/>
      <c r="AP48" s="391"/>
      <c r="AQ48" s="392"/>
      <c r="AR48" s="392"/>
      <c r="AS48" s="392"/>
      <c r="AT48" s="392"/>
      <c r="AU48" s="392"/>
      <c r="AV48" s="392"/>
      <c r="AW48" s="392"/>
      <c r="AX48" s="392"/>
      <c r="AY48" s="393"/>
      <c r="AZ48" s="394"/>
      <c r="BA48" s="394"/>
      <c r="BB48" s="394"/>
      <c r="BC48" s="394"/>
      <c r="BD48" s="394"/>
      <c r="BE48" s="395"/>
    </row>
    <row r="49" spans="1:57" s="182" customFormat="1" ht="22.5" hidden="1" customHeight="1">
      <c r="A49" s="182">
        <v>41</v>
      </c>
      <c r="B49" s="182" t="str">
        <f t="shared" si="19"/>
        <v>2026-00741</v>
      </c>
      <c r="C49" s="182" t="str">
        <f t="shared" si="20"/>
        <v>-</v>
      </c>
      <c r="D49" s="384">
        <v>41</v>
      </c>
      <c r="E49" s="385"/>
      <c r="F49" s="386" t="str">
        <f t="shared" si="21"/>
        <v>-</v>
      </c>
      <c r="G49" s="387"/>
      <c r="H49" s="387"/>
      <c r="I49" s="388"/>
      <c r="J49" s="387" t="str">
        <f t="shared" si="22"/>
        <v>-</v>
      </c>
      <c r="K49" s="387"/>
      <c r="L49" s="387"/>
      <c r="M49" s="387"/>
      <c r="N49" s="387"/>
      <c r="O49" s="387"/>
      <c r="P49" s="387"/>
      <c r="Q49" s="422" t="str">
        <f t="shared" si="23"/>
        <v>-</v>
      </c>
      <c r="R49" s="422"/>
      <c r="S49" s="422"/>
      <c r="T49" s="422"/>
      <c r="U49" s="422"/>
      <c r="V49" s="422"/>
      <c r="W49" s="422"/>
      <c r="X49" s="422"/>
      <c r="Y49" s="422"/>
      <c r="Z49" s="422"/>
      <c r="AA49" s="422"/>
      <c r="AB49" s="422"/>
      <c r="AC49" s="422"/>
      <c r="AD49" s="422"/>
      <c r="AE49" s="422"/>
      <c r="AF49" s="422"/>
      <c r="AG49" s="422"/>
      <c r="AH49" s="422"/>
      <c r="AI49" s="422"/>
      <c r="AJ49" s="391" t="str">
        <f t="shared" si="24"/>
        <v>-</v>
      </c>
      <c r="AK49" s="391"/>
      <c r="AL49" s="391"/>
      <c r="AM49" s="391"/>
      <c r="AN49" s="391"/>
      <c r="AO49" s="391"/>
      <c r="AP49" s="391"/>
      <c r="AQ49" s="392"/>
      <c r="AR49" s="392"/>
      <c r="AS49" s="392"/>
      <c r="AT49" s="392"/>
      <c r="AU49" s="392"/>
      <c r="AV49" s="392"/>
      <c r="AW49" s="392"/>
      <c r="AX49" s="392"/>
      <c r="AY49" s="393"/>
      <c r="AZ49" s="394"/>
      <c r="BA49" s="394"/>
      <c r="BB49" s="394"/>
      <c r="BC49" s="394"/>
      <c r="BD49" s="394"/>
      <c r="BE49" s="395"/>
    </row>
    <row r="50" spans="1:57" s="182" customFormat="1" ht="22.5" hidden="1" customHeight="1">
      <c r="A50" s="182">
        <v>42</v>
      </c>
      <c r="B50" s="182" t="str">
        <f t="shared" si="19"/>
        <v>2026-00742</v>
      </c>
      <c r="C50" s="182" t="str">
        <f t="shared" si="20"/>
        <v>-</v>
      </c>
      <c r="D50" s="384">
        <v>42</v>
      </c>
      <c r="E50" s="385"/>
      <c r="F50" s="386" t="str">
        <f t="shared" si="21"/>
        <v>-</v>
      </c>
      <c r="G50" s="387"/>
      <c r="H50" s="387"/>
      <c r="I50" s="388"/>
      <c r="J50" s="387" t="str">
        <f t="shared" si="22"/>
        <v>-</v>
      </c>
      <c r="K50" s="387"/>
      <c r="L50" s="387"/>
      <c r="M50" s="387"/>
      <c r="N50" s="387"/>
      <c r="O50" s="387"/>
      <c r="P50" s="387"/>
      <c r="Q50" s="422" t="str">
        <f t="shared" si="23"/>
        <v>-</v>
      </c>
      <c r="R50" s="422"/>
      <c r="S50" s="422"/>
      <c r="T50" s="422"/>
      <c r="U50" s="422"/>
      <c r="V50" s="422"/>
      <c r="W50" s="422"/>
      <c r="X50" s="422"/>
      <c r="Y50" s="422"/>
      <c r="Z50" s="422"/>
      <c r="AA50" s="422"/>
      <c r="AB50" s="422"/>
      <c r="AC50" s="422"/>
      <c r="AD50" s="422"/>
      <c r="AE50" s="422"/>
      <c r="AF50" s="422"/>
      <c r="AG50" s="422"/>
      <c r="AH50" s="422"/>
      <c r="AI50" s="422"/>
      <c r="AJ50" s="391" t="str">
        <f t="shared" si="24"/>
        <v>-</v>
      </c>
      <c r="AK50" s="391"/>
      <c r="AL50" s="391"/>
      <c r="AM50" s="391"/>
      <c r="AN50" s="391"/>
      <c r="AO50" s="391"/>
      <c r="AP50" s="391"/>
      <c r="AQ50" s="392"/>
      <c r="AR50" s="392"/>
      <c r="AS50" s="392"/>
      <c r="AT50" s="392"/>
      <c r="AU50" s="392"/>
      <c r="AV50" s="392"/>
      <c r="AW50" s="392"/>
      <c r="AX50" s="392"/>
      <c r="AY50" s="393"/>
      <c r="AZ50" s="394"/>
      <c r="BA50" s="394"/>
      <c r="BB50" s="394"/>
      <c r="BC50" s="394"/>
      <c r="BD50" s="394"/>
      <c r="BE50" s="395"/>
    </row>
    <row r="51" spans="1:57" s="182" customFormat="1" ht="22.5" hidden="1" customHeight="1">
      <c r="A51" s="182">
        <v>43</v>
      </c>
      <c r="B51" s="182" t="str">
        <f t="shared" si="19"/>
        <v>2026-00743</v>
      </c>
      <c r="C51" s="182" t="str">
        <f t="shared" si="20"/>
        <v>-</v>
      </c>
      <c r="D51" s="384">
        <v>43</v>
      </c>
      <c r="E51" s="385"/>
      <c r="F51" s="386" t="str">
        <f t="shared" si="21"/>
        <v>-</v>
      </c>
      <c r="G51" s="387"/>
      <c r="H51" s="387"/>
      <c r="I51" s="388"/>
      <c r="J51" s="387" t="str">
        <f t="shared" si="22"/>
        <v>-</v>
      </c>
      <c r="K51" s="387"/>
      <c r="L51" s="387"/>
      <c r="M51" s="387"/>
      <c r="N51" s="387"/>
      <c r="O51" s="387"/>
      <c r="P51" s="387"/>
      <c r="Q51" s="422" t="str">
        <f t="shared" si="23"/>
        <v>-</v>
      </c>
      <c r="R51" s="422"/>
      <c r="S51" s="422"/>
      <c r="T51" s="422"/>
      <c r="U51" s="422"/>
      <c r="V51" s="422"/>
      <c r="W51" s="422"/>
      <c r="X51" s="422"/>
      <c r="Y51" s="422"/>
      <c r="Z51" s="422"/>
      <c r="AA51" s="422"/>
      <c r="AB51" s="422"/>
      <c r="AC51" s="422"/>
      <c r="AD51" s="422"/>
      <c r="AE51" s="422"/>
      <c r="AF51" s="422"/>
      <c r="AG51" s="422"/>
      <c r="AH51" s="422"/>
      <c r="AI51" s="422"/>
      <c r="AJ51" s="391" t="str">
        <f t="shared" si="24"/>
        <v>-</v>
      </c>
      <c r="AK51" s="391"/>
      <c r="AL51" s="391"/>
      <c r="AM51" s="391"/>
      <c r="AN51" s="391"/>
      <c r="AO51" s="391"/>
      <c r="AP51" s="391"/>
      <c r="AQ51" s="392"/>
      <c r="AR51" s="392"/>
      <c r="AS51" s="392"/>
      <c r="AT51" s="392"/>
      <c r="AU51" s="392"/>
      <c r="AV51" s="392"/>
      <c r="AW51" s="392"/>
      <c r="AX51" s="392"/>
      <c r="AY51" s="393"/>
      <c r="AZ51" s="394"/>
      <c r="BA51" s="394"/>
      <c r="BB51" s="394"/>
      <c r="BC51" s="394"/>
      <c r="BD51" s="394"/>
      <c r="BE51" s="395"/>
    </row>
    <row r="52" spans="1:57" s="182" customFormat="1" ht="22.5" hidden="1" customHeight="1">
      <c r="A52" s="182">
        <v>44</v>
      </c>
      <c r="B52" s="182" t="str">
        <f t="shared" si="19"/>
        <v>2026-00744</v>
      </c>
      <c r="C52" s="182" t="str">
        <f t="shared" si="20"/>
        <v>-</v>
      </c>
      <c r="D52" s="384">
        <v>44</v>
      </c>
      <c r="E52" s="385"/>
      <c r="F52" s="386" t="str">
        <f t="shared" si="21"/>
        <v>-</v>
      </c>
      <c r="G52" s="387"/>
      <c r="H52" s="387"/>
      <c r="I52" s="388"/>
      <c r="J52" s="387" t="str">
        <f t="shared" si="22"/>
        <v>-</v>
      </c>
      <c r="K52" s="387"/>
      <c r="L52" s="387"/>
      <c r="M52" s="387"/>
      <c r="N52" s="387"/>
      <c r="O52" s="387"/>
      <c r="P52" s="387"/>
      <c r="Q52" s="422" t="str">
        <f t="shared" si="23"/>
        <v>-</v>
      </c>
      <c r="R52" s="422"/>
      <c r="S52" s="422"/>
      <c r="T52" s="422"/>
      <c r="U52" s="422"/>
      <c r="V52" s="422"/>
      <c r="W52" s="422"/>
      <c r="X52" s="422"/>
      <c r="Y52" s="422"/>
      <c r="Z52" s="422"/>
      <c r="AA52" s="422"/>
      <c r="AB52" s="422"/>
      <c r="AC52" s="422"/>
      <c r="AD52" s="422"/>
      <c r="AE52" s="422"/>
      <c r="AF52" s="422"/>
      <c r="AG52" s="422"/>
      <c r="AH52" s="422"/>
      <c r="AI52" s="422"/>
      <c r="AJ52" s="391" t="str">
        <f t="shared" si="24"/>
        <v>-</v>
      </c>
      <c r="AK52" s="391"/>
      <c r="AL52" s="391"/>
      <c r="AM52" s="391"/>
      <c r="AN52" s="391"/>
      <c r="AO52" s="391"/>
      <c r="AP52" s="391"/>
      <c r="AQ52" s="392"/>
      <c r="AR52" s="392"/>
      <c r="AS52" s="392"/>
      <c r="AT52" s="392"/>
      <c r="AU52" s="392"/>
      <c r="AV52" s="392"/>
      <c r="AW52" s="392"/>
      <c r="AX52" s="392"/>
      <c r="AY52" s="393"/>
      <c r="AZ52" s="394"/>
      <c r="BA52" s="394"/>
      <c r="BB52" s="394"/>
      <c r="BC52" s="394"/>
      <c r="BD52" s="394"/>
      <c r="BE52" s="395"/>
    </row>
    <row r="53" spans="1:57" s="182" customFormat="1" ht="22.5" hidden="1" customHeight="1">
      <c r="A53" s="182">
        <v>45</v>
      </c>
      <c r="B53" s="182" t="str">
        <f t="shared" si="19"/>
        <v>2026-00745</v>
      </c>
      <c r="C53" s="182" t="str">
        <f t="shared" si="20"/>
        <v>-</v>
      </c>
      <c r="D53" s="384">
        <v>45</v>
      </c>
      <c r="E53" s="385"/>
      <c r="F53" s="386" t="str">
        <f t="shared" si="21"/>
        <v>-</v>
      </c>
      <c r="G53" s="387"/>
      <c r="H53" s="387"/>
      <c r="I53" s="388"/>
      <c r="J53" s="387" t="str">
        <f t="shared" si="22"/>
        <v>-</v>
      </c>
      <c r="K53" s="387"/>
      <c r="L53" s="387"/>
      <c r="M53" s="387"/>
      <c r="N53" s="387"/>
      <c r="O53" s="387"/>
      <c r="P53" s="388"/>
      <c r="Q53" s="419" t="str">
        <f t="shared" si="23"/>
        <v>-</v>
      </c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420"/>
      <c r="AG53" s="420"/>
      <c r="AH53" s="420"/>
      <c r="AI53" s="421"/>
      <c r="AJ53" s="397" t="str">
        <f t="shared" si="24"/>
        <v>-</v>
      </c>
      <c r="AK53" s="397"/>
      <c r="AL53" s="397"/>
      <c r="AM53" s="397"/>
      <c r="AN53" s="398"/>
      <c r="AO53" s="398"/>
      <c r="AP53" s="399"/>
      <c r="AQ53" s="400"/>
      <c r="AR53" s="392"/>
      <c r="AS53" s="392"/>
      <c r="AT53" s="392"/>
      <c r="AU53" s="392"/>
      <c r="AV53" s="392"/>
      <c r="AW53" s="392"/>
      <c r="AX53" s="392"/>
      <c r="AY53" s="393"/>
      <c r="AZ53" s="394"/>
      <c r="BA53" s="394"/>
      <c r="BB53" s="394"/>
      <c r="BC53" s="394"/>
      <c r="BD53" s="394"/>
      <c r="BE53" s="395"/>
    </row>
    <row r="54" spans="1:57" s="182" customFormat="1" ht="22.5" hidden="1" customHeight="1">
      <c r="A54" s="182">
        <v>46</v>
      </c>
      <c r="B54" s="182" t="str">
        <f t="shared" si="19"/>
        <v>2026-00746</v>
      </c>
      <c r="C54" s="182" t="str">
        <f t="shared" si="20"/>
        <v>-</v>
      </c>
      <c r="D54" s="384">
        <v>46</v>
      </c>
      <c r="E54" s="385"/>
      <c r="F54" s="386" t="str">
        <f t="shared" si="21"/>
        <v>-</v>
      </c>
      <c r="G54" s="387"/>
      <c r="H54" s="387"/>
      <c r="I54" s="388"/>
      <c r="J54" s="387" t="str">
        <f t="shared" si="22"/>
        <v>-</v>
      </c>
      <c r="K54" s="387"/>
      <c r="L54" s="387"/>
      <c r="M54" s="387"/>
      <c r="N54" s="387"/>
      <c r="O54" s="387"/>
      <c r="P54" s="388"/>
      <c r="Q54" s="389" t="str">
        <f t="shared" si="23"/>
        <v>-</v>
      </c>
      <c r="R54" s="390"/>
      <c r="S54" s="390"/>
      <c r="T54" s="390"/>
      <c r="U54" s="390"/>
      <c r="V54" s="390"/>
      <c r="W54" s="390"/>
      <c r="X54" s="390"/>
      <c r="Y54" s="390"/>
      <c r="Z54" s="390"/>
      <c r="AA54" s="390"/>
      <c r="AB54" s="390"/>
      <c r="AC54" s="390"/>
      <c r="AD54" s="390"/>
      <c r="AE54" s="390"/>
      <c r="AF54" s="390"/>
      <c r="AG54" s="390"/>
      <c r="AH54" s="390"/>
      <c r="AI54" s="396"/>
      <c r="AJ54" s="416" t="str">
        <f t="shared" si="24"/>
        <v>-</v>
      </c>
      <c r="AK54" s="416"/>
      <c r="AL54" s="416"/>
      <c r="AM54" s="416"/>
      <c r="AN54" s="417"/>
      <c r="AO54" s="417"/>
      <c r="AP54" s="418"/>
      <c r="AQ54" s="400"/>
      <c r="AR54" s="392"/>
      <c r="AS54" s="392"/>
      <c r="AT54" s="392"/>
      <c r="AU54" s="392"/>
      <c r="AV54" s="392"/>
      <c r="AW54" s="392"/>
      <c r="AX54" s="392"/>
      <c r="AY54" s="393"/>
      <c r="AZ54" s="394"/>
      <c r="BA54" s="394"/>
      <c r="BB54" s="394"/>
      <c r="BC54" s="394"/>
      <c r="BD54" s="394"/>
      <c r="BE54" s="395"/>
    </row>
    <row r="55" spans="1:57" s="182" customFormat="1" ht="11.4">
      <c r="D55" s="183" t="s">
        <v>143</v>
      </c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5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6"/>
    </row>
    <row r="56" spans="1:57" s="179" customFormat="1" ht="22.5" customHeight="1">
      <c r="D56" s="187"/>
      <c r="E56" s="182"/>
      <c r="F56" s="412" t="s">
        <v>530</v>
      </c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284"/>
      <c r="Z56" s="284"/>
      <c r="AA56" s="284"/>
      <c r="AB56" s="412" t="s">
        <v>531</v>
      </c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412"/>
      <c r="AN56" s="412"/>
      <c r="AO56" s="412"/>
      <c r="AP56" s="412"/>
      <c r="AQ56" s="285"/>
      <c r="AR56" s="286"/>
      <c r="AS56" s="286"/>
      <c r="AT56" s="413">
        <v>46216</v>
      </c>
      <c r="AU56" s="413"/>
      <c r="AV56" s="413"/>
      <c r="AW56" s="413"/>
      <c r="AX56" s="413"/>
      <c r="AY56" s="413"/>
      <c r="AZ56" s="413"/>
      <c r="BA56" s="413"/>
      <c r="BB56" s="413"/>
      <c r="BC56" s="413"/>
      <c r="BD56" s="182"/>
      <c r="BE56" s="189"/>
    </row>
    <row r="57" spans="1:57" s="195" customFormat="1" ht="11.25" customHeight="1">
      <c r="D57" s="190"/>
      <c r="E57" s="191"/>
      <c r="F57" s="409" t="s">
        <v>532</v>
      </c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192"/>
      <c r="Z57" s="192"/>
      <c r="AA57" s="193"/>
      <c r="AB57" s="409" t="s">
        <v>533</v>
      </c>
      <c r="AC57" s="409"/>
      <c r="AD57" s="409"/>
      <c r="AE57" s="409"/>
      <c r="AF57" s="409"/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193"/>
      <c r="AR57" s="193"/>
      <c r="AS57" s="193"/>
      <c r="AT57" s="409" t="s">
        <v>534</v>
      </c>
      <c r="AU57" s="409"/>
      <c r="AV57" s="409"/>
      <c r="AW57" s="409"/>
      <c r="AX57" s="409"/>
      <c r="AY57" s="409"/>
      <c r="AZ57" s="409"/>
      <c r="BA57" s="409"/>
      <c r="BB57" s="409"/>
      <c r="BC57" s="409"/>
      <c r="BD57" s="192"/>
      <c r="BE57" s="194"/>
    </row>
    <row r="58" spans="1:57" s="182" customFormat="1" ht="11.4">
      <c r="D58" s="196" t="s">
        <v>535</v>
      </c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8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9"/>
    </row>
    <row r="59" spans="1:57" s="179" customFormat="1" ht="22.5" customHeight="1">
      <c r="D59" s="187"/>
      <c r="E59" s="182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182"/>
      <c r="Z59" s="182"/>
      <c r="AA59" s="182"/>
      <c r="AB59" s="407"/>
      <c r="AC59" s="407"/>
      <c r="AD59" s="407"/>
      <c r="AE59" s="407"/>
      <c r="AF59" s="407"/>
      <c r="AG59" s="407"/>
      <c r="AH59" s="407"/>
      <c r="AI59" s="407"/>
      <c r="AJ59" s="407"/>
      <c r="AK59" s="407"/>
      <c r="AL59" s="407"/>
      <c r="AM59" s="407"/>
      <c r="AN59" s="407"/>
      <c r="AO59" s="407"/>
      <c r="AP59" s="407"/>
      <c r="AR59" s="188"/>
      <c r="AS59" s="18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182"/>
      <c r="BE59" s="189"/>
    </row>
    <row r="60" spans="1:57" s="195" customFormat="1" ht="11.25" customHeight="1">
      <c r="D60" s="200"/>
      <c r="E60" s="201"/>
      <c r="F60" s="411" t="s">
        <v>532</v>
      </c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411"/>
      <c r="X60" s="411"/>
      <c r="Y60" s="202"/>
      <c r="Z60" s="202"/>
      <c r="AB60" s="411" t="s">
        <v>533</v>
      </c>
      <c r="AC60" s="411"/>
      <c r="AD60" s="411"/>
      <c r="AE60" s="411"/>
      <c r="AF60" s="411"/>
      <c r="AG60" s="411"/>
      <c r="AH60" s="411"/>
      <c r="AI60" s="411"/>
      <c r="AJ60" s="411"/>
      <c r="AK60" s="411"/>
      <c r="AL60" s="411"/>
      <c r="AM60" s="411"/>
      <c r="AN60" s="411"/>
      <c r="AO60" s="411"/>
      <c r="AP60" s="411"/>
      <c r="AT60" s="411" t="s">
        <v>534</v>
      </c>
      <c r="AU60" s="411"/>
      <c r="AV60" s="411"/>
      <c r="AW60" s="411"/>
      <c r="AX60" s="411"/>
      <c r="AY60" s="411"/>
      <c r="AZ60" s="411"/>
      <c r="BA60" s="411"/>
      <c r="BB60" s="411"/>
      <c r="BC60" s="411"/>
      <c r="BD60" s="202"/>
      <c r="BE60" s="203"/>
    </row>
    <row r="61" spans="1:57" s="182" customFormat="1" ht="11.4">
      <c r="D61" s="183" t="s">
        <v>536</v>
      </c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5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6"/>
    </row>
    <row r="62" spans="1:57" s="179" customFormat="1" ht="22.5" customHeight="1">
      <c r="D62" s="187"/>
      <c r="E62" s="182"/>
      <c r="F62" s="414" t="s">
        <v>537</v>
      </c>
      <c r="G62" s="414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4"/>
      <c r="V62" s="414"/>
      <c r="W62" s="414"/>
      <c r="X62" s="414"/>
      <c r="Y62" s="287"/>
      <c r="Z62" s="287"/>
      <c r="AA62" s="287"/>
      <c r="AB62" s="414" t="s">
        <v>538</v>
      </c>
      <c r="AC62" s="414"/>
      <c r="AD62" s="414"/>
      <c r="AE62" s="414"/>
      <c r="AF62" s="414"/>
      <c r="AG62" s="414"/>
      <c r="AH62" s="414"/>
      <c r="AI62" s="414"/>
      <c r="AJ62" s="414"/>
      <c r="AK62" s="414"/>
      <c r="AL62" s="414"/>
      <c r="AM62" s="414"/>
      <c r="AN62" s="414"/>
      <c r="AO62" s="414"/>
      <c r="AP62" s="414"/>
      <c r="AQ62" s="288"/>
      <c r="AR62" s="289"/>
      <c r="AS62" s="289"/>
      <c r="AT62" s="415"/>
      <c r="AU62" s="415"/>
      <c r="AV62" s="415"/>
      <c r="AW62" s="415"/>
      <c r="AX62" s="415"/>
      <c r="AY62" s="415"/>
      <c r="AZ62" s="415"/>
      <c r="BA62" s="415"/>
      <c r="BB62" s="415"/>
      <c r="BC62" s="415"/>
      <c r="BD62" s="182"/>
      <c r="BE62" s="189"/>
    </row>
    <row r="63" spans="1:57" s="195" customFormat="1" ht="11.25" customHeight="1">
      <c r="D63" s="204"/>
      <c r="E63" s="205"/>
      <c r="F63" s="410" t="s">
        <v>532</v>
      </c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410"/>
      <c r="V63" s="410"/>
      <c r="W63" s="410"/>
      <c r="X63" s="410"/>
      <c r="Y63" s="206"/>
      <c r="Z63" s="206"/>
      <c r="AA63" s="207"/>
      <c r="AB63" s="410" t="s">
        <v>533</v>
      </c>
      <c r="AC63" s="410"/>
      <c r="AD63" s="410"/>
      <c r="AE63" s="410"/>
      <c r="AF63" s="410"/>
      <c r="AG63" s="410"/>
      <c r="AH63" s="410"/>
      <c r="AI63" s="410"/>
      <c r="AJ63" s="410"/>
      <c r="AK63" s="410"/>
      <c r="AL63" s="410"/>
      <c r="AM63" s="410"/>
      <c r="AN63" s="410"/>
      <c r="AO63" s="410"/>
      <c r="AP63" s="410"/>
      <c r="AQ63" s="207"/>
      <c r="AR63" s="207"/>
      <c r="AS63" s="207"/>
      <c r="AT63" s="410" t="s">
        <v>534</v>
      </c>
      <c r="AU63" s="410"/>
      <c r="AV63" s="410"/>
      <c r="AW63" s="410"/>
      <c r="AX63" s="410"/>
      <c r="AY63" s="410"/>
      <c r="AZ63" s="410"/>
      <c r="BA63" s="410"/>
      <c r="BB63" s="410"/>
      <c r="BC63" s="410"/>
      <c r="BD63" s="206"/>
      <c r="BE63" s="208"/>
    </row>
    <row r="64" spans="1:57" s="182" customFormat="1" ht="11.4">
      <c r="D64" s="187" t="s">
        <v>539</v>
      </c>
      <c r="AD64" s="209"/>
      <c r="BE64" s="189"/>
    </row>
    <row r="65" spans="4:57" s="179" customFormat="1" ht="22.5" customHeight="1">
      <c r="D65" s="187"/>
      <c r="E65" s="182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7"/>
      <c r="R65" s="407"/>
      <c r="S65" s="407"/>
      <c r="T65" s="407"/>
      <c r="U65" s="407"/>
      <c r="V65" s="407"/>
      <c r="W65" s="407"/>
      <c r="X65" s="407"/>
      <c r="Y65" s="182"/>
      <c r="Z65" s="182"/>
      <c r="AA65" s="182"/>
      <c r="AB65" s="407"/>
      <c r="AC65" s="407"/>
      <c r="AD65" s="407"/>
      <c r="AE65" s="407"/>
      <c r="AF65" s="407"/>
      <c r="AG65" s="407"/>
      <c r="AH65" s="407"/>
      <c r="AI65" s="407"/>
      <c r="AJ65" s="407"/>
      <c r="AK65" s="407"/>
      <c r="AL65" s="407"/>
      <c r="AM65" s="407"/>
      <c r="AN65" s="407"/>
      <c r="AO65" s="407"/>
      <c r="AP65" s="407"/>
      <c r="AR65" s="188"/>
      <c r="AS65" s="188"/>
      <c r="AT65" s="408"/>
      <c r="AU65" s="408"/>
      <c r="AV65" s="408"/>
      <c r="AW65" s="408"/>
      <c r="AX65" s="408"/>
      <c r="AY65" s="408"/>
      <c r="AZ65" s="408"/>
      <c r="BA65" s="408"/>
      <c r="BB65" s="408"/>
      <c r="BC65" s="408"/>
      <c r="BD65" s="182"/>
      <c r="BE65" s="189"/>
    </row>
    <row r="66" spans="4:57" s="195" customFormat="1" ht="11.25" customHeight="1" thickBot="1">
      <c r="D66" s="190"/>
      <c r="E66" s="191"/>
      <c r="F66" s="409" t="s">
        <v>532</v>
      </c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  <c r="Y66" s="192"/>
      <c r="Z66" s="192"/>
      <c r="AA66" s="193"/>
      <c r="AB66" s="409" t="s">
        <v>533</v>
      </c>
      <c r="AC66" s="409"/>
      <c r="AD66" s="409"/>
      <c r="AE66" s="409"/>
      <c r="AF66" s="409"/>
      <c r="AG66" s="409"/>
      <c r="AH66" s="409"/>
      <c r="AI66" s="409"/>
      <c r="AJ66" s="409"/>
      <c r="AK66" s="409"/>
      <c r="AL66" s="409"/>
      <c r="AM66" s="409"/>
      <c r="AN66" s="409"/>
      <c r="AO66" s="409"/>
      <c r="AP66" s="409"/>
      <c r="AQ66" s="193"/>
      <c r="AR66" s="193"/>
      <c r="AS66" s="193"/>
      <c r="AT66" s="409" t="s">
        <v>534</v>
      </c>
      <c r="AU66" s="409"/>
      <c r="AV66" s="409"/>
      <c r="AW66" s="409"/>
      <c r="AX66" s="409"/>
      <c r="AY66" s="409"/>
      <c r="AZ66" s="409"/>
      <c r="BA66" s="409"/>
      <c r="BB66" s="409"/>
      <c r="BC66" s="409"/>
      <c r="BD66" s="192"/>
      <c r="BE66" s="194"/>
    </row>
    <row r="67" spans="4:57" s="210" customFormat="1" ht="17.25" customHeight="1" thickBot="1">
      <c r="D67" s="401" t="s">
        <v>540</v>
      </c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402"/>
      <c r="T67" s="402"/>
      <c r="U67" s="402"/>
      <c r="V67" s="402"/>
      <c r="W67" s="402"/>
      <c r="X67" s="402"/>
      <c r="Y67" s="402"/>
      <c r="Z67" s="402"/>
      <c r="AA67" s="402"/>
      <c r="AB67" s="402"/>
      <c r="AC67" s="402"/>
      <c r="AD67" s="402"/>
      <c r="AE67" s="402"/>
      <c r="AF67" s="402"/>
      <c r="AG67" s="402"/>
      <c r="AH67" s="402"/>
      <c r="AI67" s="402"/>
      <c r="AJ67" s="402"/>
      <c r="AK67" s="402"/>
      <c r="AL67" s="402"/>
      <c r="AM67" s="402"/>
      <c r="AN67" s="402"/>
      <c r="AO67" s="402"/>
      <c r="AP67" s="402"/>
      <c r="AQ67" s="402"/>
      <c r="AR67" s="402"/>
      <c r="AS67" s="402"/>
      <c r="AT67" s="402"/>
      <c r="AU67" s="402"/>
      <c r="AV67" s="402"/>
      <c r="AW67" s="402"/>
      <c r="AX67" s="402"/>
      <c r="AY67" s="402"/>
      <c r="AZ67" s="402"/>
      <c r="BA67" s="402"/>
      <c r="BB67" s="402"/>
      <c r="BC67" s="402"/>
      <c r="BD67" s="402"/>
      <c r="BE67" s="403"/>
    </row>
    <row r="68" spans="4:57" s="182" customFormat="1" ht="15" customHeight="1">
      <c r="D68" s="404" t="s">
        <v>541</v>
      </c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5"/>
      <c r="V68" s="405"/>
      <c r="W68" s="405"/>
      <c r="X68" s="405"/>
      <c r="Y68" s="405"/>
      <c r="Z68" s="405"/>
      <c r="AA68" s="405"/>
      <c r="AB68" s="405"/>
      <c r="AC68" s="405"/>
      <c r="AD68" s="405"/>
      <c r="AE68" s="405"/>
      <c r="AF68" s="405"/>
      <c r="AG68" s="405"/>
      <c r="AH68" s="405"/>
      <c r="AI68" s="405"/>
      <c r="AJ68" s="405"/>
      <c r="AK68" s="405"/>
      <c r="AL68" s="405"/>
      <c r="AM68" s="405"/>
      <c r="AN68" s="405"/>
      <c r="AO68" s="405"/>
      <c r="AP68" s="405"/>
      <c r="AQ68" s="405"/>
      <c r="AR68" s="405"/>
      <c r="AS68" s="405"/>
      <c r="AT68" s="405"/>
      <c r="AU68" s="405"/>
      <c r="AV68" s="405"/>
      <c r="AW68" s="405"/>
      <c r="AX68" s="405"/>
      <c r="AY68" s="405"/>
      <c r="AZ68" s="405"/>
      <c r="BA68" s="405"/>
      <c r="BB68" s="405"/>
      <c r="BC68" s="405"/>
      <c r="BD68" s="405"/>
      <c r="BE68" s="406"/>
    </row>
    <row r="69" spans="4:57" s="179" customFormat="1" ht="22.5" customHeight="1">
      <c r="D69" s="187"/>
      <c r="E69" s="182"/>
      <c r="F69" s="407"/>
      <c r="G69" s="407"/>
      <c r="H69" s="407"/>
      <c r="I69" s="407"/>
      <c r="J69" s="407"/>
      <c r="K69" s="407"/>
      <c r="L69" s="407"/>
      <c r="M69" s="407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182"/>
      <c r="Z69" s="182"/>
      <c r="AA69" s="182"/>
      <c r="AB69" s="407"/>
      <c r="AC69" s="407"/>
      <c r="AD69" s="407"/>
      <c r="AE69" s="407"/>
      <c r="AF69" s="407"/>
      <c r="AG69" s="407"/>
      <c r="AH69" s="407"/>
      <c r="AI69" s="407"/>
      <c r="AJ69" s="407"/>
      <c r="AK69" s="407"/>
      <c r="AL69" s="407"/>
      <c r="AM69" s="407"/>
      <c r="AN69" s="407"/>
      <c r="AO69" s="407"/>
      <c r="AP69" s="407"/>
      <c r="AR69" s="188"/>
      <c r="AS69" s="18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182"/>
      <c r="BE69" s="189"/>
    </row>
    <row r="70" spans="4:57" s="195" customFormat="1" ht="11.25" customHeight="1" thickBot="1">
      <c r="D70" s="190"/>
      <c r="E70" s="191"/>
      <c r="F70" s="409" t="s">
        <v>532</v>
      </c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192"/>
      <c r="Z70" s="192"/>
      <c r="AA70" s="193"/>
      <c r="AB70" s="409" t="s">
        <v>533</v>
      </c>
      <c r="AC70" s="409"/>
      <c r="AD70" s="409"/>
      <c r="AE70" s="409"/>
      <c r="AF70" s="409"/>
      <c r="AG70" s="409"/>
      <c r="AH70" s="409"/>
      <c r="AI70" s="409"/>
      <c r="AJ70" s="409"/>
      <c r="AK70" s="409"/>
      <c r="AL70" s="409"/>
      <c r="AM70" s="409"/>
      <c r="AN70" s="409"/>
      <c r="AO70" s="409"/>
      <c r="AP70" s="409"/>
      <c r="AQ70" s="193"/>
      <c r="AR70" s="193"/>
      <c r="AS70" s="193"/>
      <c r="AT70" s="409" t="s">
        <v>534</v>
      </c>
      <c r="AU70" s="409"/>
      <c r="AV70" s="409"/>
      <c r="AW70" s="409"/>
      <c r="AX70" s="409"/>
      <c r="AY70" s="409"/>
      <c r="AZ70" s="409"/>
      <c r="BA70" s="409"/>
      <c r="BB70" s="409"/>
      <c r="BC70" s="409"/>
      <c r="BD70" s="192"/>
      <c r="BE70" s="194"/>
    </row>
  </sheetData>
  <mergeCells count="367">
    <mergeCell ref="D53:E53"/>
    <mergeCell ref="F53:I53"/>
    <mergeCell ref="J53:P53"/>
    <mergeCell ref="Q53:AI53"/>
    <mergeCell ref="AJ53:AP53"/>
    <mergeCell ref="AQ53:AY53"/>
    <mergeCell ref="AZ53:BE53"/>
    <mergeCell ref="D54:E54"/>
    <mergeCell ref="F54:I54"/>
    <mergeCell ref="J54:P54"/>
    <mergeCell ref="Q54:AI54"/>
    <mergeCell ref="AJ54:AP54"/>
    <mergeCell ref="AQ54:AY54"/>
    <mergeCell ref="AZ54:BE54"/>
    <mergeCell ref="D51:E51"/>
    <mergeCell ref="F51:I51"/>
    <mergeCell ref="J51:P51"/>
    <mergeCell ref="Q51:AI51"/>
    <mergeCell ref="AJ51:AP51"/>
    <mergeCell ref="AQ51:AY51"/>
    <mergeCell ref="AZ51:BE51"/>
    <mergeCell ref="D52:E52"/>
    <mergeCell ref="F52:I52"/>
    <mergeCell ref="J52:P52"/>
    <mergeCell ref="Q52:AI52"/>
    <mergeCell ref="AJ52:AP52"/>
    <mergeCell ref="AQ52:AY52"/>
    <mergeCell ref="AZ52:BE52"/>
    <mergeCell ref="D49:E49"/>
    <mergeCell ref="F49:I49"/>
    <mergeCell ref="J49:P49"/>
    <mergeCell ref="Q49:AI49"/>
    <mergeCell ref="AJ49:AP49"/>
    <mergeCell ref="AQ49:AY49"/>
    <mergeCell ref="AZ49:BE49"/>
    <mergeCell ref="D50:E50"/>
    <mergeCell ref="F50:I50"/>
    <mergeCell ref="J50:P50"/>
    <mergeCell ref="Q50:AI50"/>
    <mergeCell ref="AJ50:AP50"/>
    <mergeCell ref="AQ50:AY50"/>
    <mergeCell ref="AZ50:BE50"/>
    <mergeCell ref="D47:E47"/>
    <mergeCell ref="F47:I47"/>
    <mergeCell ref="J47:P47"/>
    <mergeCell ref="Q47:AI47"/>
    <mergeCell ref="AJ47:AP47"/>
    <mergeCell ref="AQ47:AY47"/>
    <mergeCell ref="AZ47:BE47"/>
    <mergeCell ref="D48:E48"/>
    <mergeCell ref="F48:I48"/>
    <mergeCell ref="J48:P48"/>
    <mergeCell ref="Q48:AI48"/>
    <mergeCell ref="AJ48:AP48"/>
    <mergeCell ref="AQ48:AY48"/>
    <mergeCell ref="AZ48:BE48"/>
    <mergeCell ref="D45:E45"/>
    <mergeCell ref="F45:I45"/>
    <mergeCell ref="J45:P45"/>
    <mergeCell ref="Q45:AI45"/>
    <mergeCell ref="AJ45:AP45"/>
    <mergeCell ref="AQ45:AY45"/>
    <mergeCell ref="AZ45:BE45"/>
    <mergeCell ref="D46:E46"/>
    <mergeCell ref="F46:I46"/>
    <mergeCell ref="J46:P46"/>
    <mergeCell ref="Q46:AI46"/>
    <mergeCell ref="AJ46:AP46"/>
    <mergeCell ref="AQ46:AY46"/>
    <mergeCell ref="AZ46:BE46"/>
    <mergeCell ref="D43:E43"/>
    <mergeCell ref="F43:I43"/>
    <mergeCell ref="J43:P43"/>
    <mergeCell ref="Q43:AI43"/>
    <mergeCell ref="AJ43:AP43"/>
    <mergeCell ref="AQ43:AY43"/>
    <mergeCell ref="AZ43:BE43"/>
    <mergeCell ref="D44:E44"/>
    <mergeCell ref="F44:I44"/>
    <mergeCell ref="J44:P44"/>
    <mergeCell ref="Q44:AI44"/>
    <mergeCell ref="AJ44:AP44"/>
    <mergeCell ref="AQ44:AY44"/>
    <mergeCell ref="AZ44:BE44"/>
    <mergeCell ref="D41:E41"/>
    <mergeCell ref="F41:I41"/>
    <mergeCell ref="J41:P41"/>
    <mergeCell ref="Q41:AI41"/>
    <mergeCell ref="AJ41:AP41"/>
    <mergeCell ref="AQ41:AY41"/>
    <mergeCell ref="AZ41:BE41"/>
    <mergeCell ref="D42:E42"/>
    <mergeCell ref="F42:I42"/>
    <mergeCell ref="J42:P42"/>
    <mergeCell ref="Q42:AI42"/>
    <mergeCell ref="AJ42:AP42"/>
    <mergeCell ref="AQ42:AY42"/>
    <mergeCell ref="AZ42:BE42"/>
    <mergeCell ref="AZ37:BE37"/>
    <mergeCell ref="D38:E38"/>
    <mergeCell ref="F38:I38"/>
    <mergeCell ref="J38:P38"/>
    <mergeCell ref="Q38:AI38"/>
    <mergeCell ref="AJ38:AP38"/>
    <mergeCell ref="AQ38:AY38"/>
    <mergeCell ref="AZ38:BE38"/>
    <mergeCell ref="AZ40:BE40"/>
    <mergeCell ref="D40:E40"/>
    <mergeCell ref="F40:I40"/>
    <mergeCell ref="J40:P40"/>
    <mergeCell ref="Q40:AI40"/>
    <mergeCell ref="AJ40:AP40"/>
    <mergeCell ref="AQ40:AY40"/>
    <mergeCell ref="D39:E39"/>
    <mergeCell ref="F39:I39"/>
    <mergeCell ref="J39:P39"/>
    <mergeCell ref="D35:E35"/>
    <mergeCell ref="F35:I35"/>
    <mergeCell ref="J35:P35"/>
    <mergeCell ref="Q35:AI35"/>
    <mergeCell ref="AJ35:AP35"/>
    <mergeCell ref="AQ35:AY35"/>
    <mergeCell ref="AZ35:BE35"/>
    <mergeCell ref="AZ36:BE36"/>
    <mergeCell ref="Q39:AI39"/>
    <mergeCell ref="AJ39:AP39"/>
    <mergeCell ref="AQ39:AY39"/>
    <mergeCell ref="AZ39:BE39"/>
    <mergeCell ref="D36:E36"/>
    <mergeCell ref="F36:I36"/>
    <mergeCell ref="J36:P36"/>
    <mergeCell ref="Q36:AI36"/>
    <mergeCell ref="AJ36:AP36"/>
    <mergeCell ref="AQ36:AY36"/>
    <mergeCell ref="D37:E37"/>
    <mergeCell ref="F37:I37"/>
    <mergeCell ref="J37:P37"/>
    <mergeCell ref="Q37:AI37"/>
    <mergeCell ref="AJ37:AP37"/>
    <mergeCell ref="AQ37:AY37"/>
    <mergeCell ref="D33:E33"/>
    <mergeCell ref="F33:I33"/>
    <mergeCell ref="J33:P33"/>
    <mergeCell ref="Q33:AI33"/>
    <mergeCell ref="AJ33:AP33"/>
    <mergeCell ref="AQ33:AY33"/>
    <mergeCell ref="AZ33:BE33"/>
    <mergeCell ref="D34:E34"/>
    <mergeCell ref="F34:I34"/>
    <mergeCell ref="J34:P34"/>
    <mergeCell ref="Q34:AI34"/>
    <mergeCell ref="AJ34:AP34"/>
    <mergeCell ref="AQ34:AY34"/>
    <mergeCell ref="AZ34:BE34"/>
    <mergeCell ref="D31:E31"/>
    <mergeCell ref="F31:I31"/>
    <mergeCell ref="J31:P31"/>
    <mergeCell ref="Q31:AI31"/>
    <mergeCell ref="AJ31:AP31"/>
    <mergeCell ref="AQ31:AY31"/>
    <mergeCell ref="AZ31:BE31"/>
    <mergeCell ref="D32:E32"/>
    <mergeCell ref="F32:I32"/>
    <mergeCell ref="J32:P32"/>
    <mergeCell ref="Q32:AI32"/>
    <mergeCell ref="AJ32:AP32"/>
    <mergeCell ref="AQ32:AY32"/>
    <mergeCell ref="AZ32:BE32"/>
    <mergeCell ref="D29:E29"/>
    <mergeCell ref="F29:I29"/>
    <mergeCell ref="J29:P29"/>
    <mergeCell ref="Q29:AI29"/>
    <mergeCell ref="AJ29:AP29"/>
    <mergeCell ref="AQ29:AY29"/>
    <mergeCell ref="AZ29:BE29"/>
    <mergeCell ref="D30:E30"/>
    <mergeCell ref="F30:I30"/>
    <mergeCell ref="J30:P30"/>
    <mergeCell ref="Q30:AI30"/>
    <mergeCell ref="AJ30:AP30"/>
    <mergeCell ref="AQ30:AY30"/>
    <mergeCell ref="AZ30:BE30"/>
    <mergeCell ref="D27:E27"/>
    <mergeCell ref="F27:I27"/>
    <mergeCell ref="J27:P27"/>
    <mergeCell ref="Q27:AI27"/>
    <mergeCell ref="AJ27:AP27"/>
    <mergeCell ref="AQ27:AY27"/>
    <mergeCell ref="AZ27:BE27"/>
    <mergeCell ref="D28:E28"/>
    <mergeCell ref="F28:I28"/>
    <mergeCell ref="J28:P28"/>
    <mergeCell ref="Q28:AI28"/>
    <mergeCell ref="AJ28:AP28"/>
    <mergeCell ref="AQ28:AY28"/>
    <mergeCell ref="AZ28:BE28"/>
    <mergeCell ref="Q25:AI25"/>
    <mergeCell ref="AJ25:AP25"/>
    <mergeCell ref="AQ25:AY25"/>
    <mergeCell ref="AZ25:BE25"/>
    <mergeCell ref="D26:E26"/>
    <mergeCell ref="F26:I26"/>
    <mergeCell ref="J26:P26"/>
    <mergeCell ref="Q26:AI26"/>
    <mergeCell ref="AJ26:AP26"/>
    <mergeCell ref="AQ26:AY26"/>
    <mergeCell ref="AZ26:BE26"/>
    <mergeCell ref="D25:E25"/>
    <mergeCell ref="F25:I25"/>
    <mergeCell ref="J25:P25"/>
    <mergeCell ref="D1:BE1"/>
    <mergeCell ref="D2:BE2"/>
    <mergeCell ref="D3:BE3"/>
    <mergeCell ref="D4:BE4"/>
    <mergeCell ref="D6:AC6"/>
    <mergeCell ref="AD6:AP6"/>
    <mergeCell ref="AQ6:BE6"/>
    <mergeCell ref="D7:AC7"/>
    <mergeCell ref="AD7:AP7"/>
    <mergeCell ref="AQ7:AU7"/>
    <mergeCell ref="AV7:BE7"/>
    <mergeCell ref="D8:AP8"/>
    <mergeCell ref="AQ8:BE8"/>
    <mergeCell ref="D9:E9"/>
    <mergeCell ref="F9:I9"/>
    <mergeCell ref="J9:P9"/>
    <mergeCell ref="Q9:AI9"/>
    <mergeCell ref="AJ9:AP9"/>
    <mergeCell ref="AQ9:AY9"/>
    <mergeCell ref="AZ9:BE9"/>
    <mergeCell ref="AZ10:BE10"/>
    <mergeCell ref="D10:E10"/>
    <mergeCell ref="F10:I10"/>
    <mergeCell ref="J10:P10"/>
    <mergeCell ref="Q10:AI10"/>
    <mergeCell ref="AJ10:AP10"/>
    <mergeCell ref="AQ10:AY10"/>
    <mergeCell ref="AZ11:BE11"/>
    <mergeCell ref="D12:E12"/>
    <mergeCell ref="F12:I12"/>
    <mergeCell ref="J12:P12"/>
    <mergeCell ref="Q12:AI12"/>
    <mergeCell ref="AJ12:AP12"/>
    <mergeCell ref="AQ12:AY12"/>
    <mergeCell ref="AZ12:BE12"/>
    <mergeCell ref="D11:E11"/>
    <mergeCell ref="F11:I11"/>
    <mergeCell ref="J11:P11"/>
    <mergeCell ref="Q11:AI11"/>
    <mergeCell ref="AJ11:AP11"/>
    <mergeCell ref="AQ11:AY11"/>
    <mergeCell ref="AZ13:BE13"/>
    <mergeCell ref="D14:E14"/>
    <mergeCell ref="F14:I14"/>
    <mergeCell ref="J14:P14"/>
    <mergeCell ref="Q14:AI14"/>
    <mergeCell ref="AJ14:AP14"/>
    <mergeCell ref="AQ14:AY14"/>
    <mergeCell ref="AZ14:BE14"/>
    <mergeCell ref="D13:E13"/>
    <mergeCell ref="F13:I13"/>
    <mergeCell ref="J13:P13"/>
    <mergeCell ref="Q13:AI13"/>
    <mergeCell ref="AJ13:AP13"/>
    <mergeCell ref="AQ13:AY13"/>
    <mergeCell ref="AZ15:BE15"/>
    <mergeCell ref="D16:E16"/>
    <mergeCell ref="F16:I16"/>
    <mergeCell ref="J16:P16"/>
    <mergeCell ref="Q16:AI16"/>
    <mergeCell ref="AJ16:AP16"/>
    <mergeCell ref="AQ16:AY16"/>
    <mergeCell ref="AZ16:BE16"/>
    <mergeCell ref="D15:E15"/>
    <mergeCell ref="F15:I15"/>
    <mergeCell ref="J15:P15"/>
    <mergeCell ref="Q15:AI15"/>
    <mergeCell ref="AJ15:AP15"/>
    <mergeCell ref="AQ15:AY15"/>
    <mergeCell ref="AZ17:BE17"/>
    <mergeCell ref="D18:E18"/>
    <mergeCell ref="F18:I18"/>
    <mergeCell ref="J18:P18"/>
    <mergeCell ref="Q18:AI18"/>
    <mergeCell ref="AJ18:AP18"/>
    <mergeCell ref="AQ18:AY18"/>
    <mergeCell ref="AZ18:BE18"/>
    <mergeCell ref="D17:E17"/>
    <mergeCell ref="F17:I17"/>
    <mergeCell ref="J17:P17"/>
    <mergeCell ref="Q17:AI17"/>
    <mergeCell ref="AJ17:AP17"/>
    <mergeCell ref="AQ17:AY17"/>
    <mergeCell ref="AZ19:BE19"/>
    <mergeCell ref="D20:E20"/>
    <mergeCell ref="F20:I20"/>
    <mergeCell ref="J20:P20"/>
    <mergeCell ref="Q20:AI20"/>
    <mergeCell ref="AJ20:AP20"/>
    <mergeCell ref="AQ20:AY20"/>
    <mergeCell ref="AZ20:BE20"/>
    <mergeCell ref="D19:E19"/>
    <mergeCell ref="F19:I19"/>
    <mergeCell ref="J19:P19"/>
    <mergeCell ref="Q19:AI19"/>
    <mergeCell ref="AJ19:AP19"/>
    <mergeCell ref="AQ19:AY19"/>
    <mergeCell ref="F56:X56"/>
    <mergeCell ref="AB56:AP56"/>
    <mergeCell ref="AT56:BC56"/>
    <mergeCell ref="F57:X57"/>
    <mergeCell ref="AB57:AP57"/>
    <mergeCell ref="AT57:BC57"/>
    <mergeCell ref="F62:X62"/>
    <mergeCell ref="AB62:AP62"/>
    <mergeCell ref="AT62:BC62"/>
    <mergeCell ref="F63:X63"/>
    <mergeCell ref="AB63:AP63"/>
    <mergeCell ref="AT63:BC63"/>
    <mergeCell ref="F59:X59"/>
    <mergeCell ref="AB59:AP59"/>
    <mergeCell ref="AT59:BC59"/>
    <mergeCell ref="F60:X60"/>
    <mergeCell ref="AB60:AP60"/>
    <mergeCell ref="AT60:BC60"/>
    <mergeCell ref="D67:BE67"/>
    <mergeCell ref="D68:BE68"/>
    <mergeCell ref="F69:X69"/>
    <mergeCell ref="AB69:AP69"/>
    <mergeCell ref="AT69:BC69"/>
    <mergeCell ref="F70:X70"/>
    <mergeCell ref="AB70:AP70"/>
    <mergeCell ref="AT70:BC70"/>
    <mergeCell ref="F65:X65"/>
    <mergeCell ref="AB65:AP65"/>
    <mergeCell ref="AT65:BC65"/>
    <mergeCell ref="F66:X66"/>
    <mergeCell ref="AB66:AP66"/>
    <mergeCell ref="AT66:BC66"/>
    <mergeCell ref="D21:E21"/>
    <mergeCell ref="F21:I21"/>
    <mergeCell ref="J21:P21"/>
    <mergeCell ref="Q21:AI21"/>
    <mergeCell ref="AJ21:AP21"/>
    <mergeCell ref="AQ21:AY21"/>
    <mergeCell ref="AZ21:BE21"/>
    <mergeCell ref="D22:E22"/>
    <mergeCell ref="F22:I22"/>
    <mergeCell ref="J22:P22"/>
    <mergeCell ref="Q22:AI22"/>
    <mergeCell ref="AJ22:AP22"/>
    <mergeCell ref="AQ22:AY22"/>
    <mergeCell ref="AZ22:BE22"/>
    <mergeCell ref="D23:E23"/>
    <mergeCell ref="F23:I23"/>
    <mergeCell ref="J23:P23"/>
    <mergeCell ref="Q23:AI23"/>
    <mergeCell ref="AJ23:AP23"/>
    <mergeCell ref="AQ23:AY23"/>
    <mergeCell ref="AZ23:BE23"/>
    <mergeCell ref="D24:E24"/>
    <mergeCell ref="F24:I24"/>
    <mergeCell ref="J24:P24"/>
    <mergeCell ref="Q24:AI24"/>
    <mergeCell ref="AJ24:AP24"/>
    <mergeCell ref="AQ24:AY24"/>
    <mergeCell ref="AZ24:BE24"/>
  </mergeCells>
  <pageMargins left="0.7" right="0.7" top="0.75" bottom="0.75" header="0.3" footer="0.3"/>
  <pageSetup paperSize="9" scale="78" orientation="portrait" blackAndWhite="1" verticalDpi="0" r:id="rId1"/>
  <colBreaks count="1" manualBreakCount="1">
    <brk id="57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ED27-A100-486B-92F3-AC090C41F4C4}">
  <dimension ref="A1:C1"/>
  <sheetViews>
    <sheetView workbookViewId="0"/>
  </sheetViews>
  <sheetFormatPr defaultRowHeight="14.4"/>
  <cols>
    <col min="1" max="1" width="17.44140625" customWidth="1"/>
    <col min="2" max="2" width="12.88671875" customWidth="1"/>
  </cols>
  <sheetData>
    <row r="1" spans="1:3">
      <c r="A1" t="s">
        <v>4</v>
      </c>
      <c r="B1" t="s">
        <v>742</v>
      </c>
      <c r="C1" t="s">
        <v>314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2CCF-5A94-4B3F-B154-2D0AD587E7EB}">
  <dimension ref="A1:E94"/>
  <sheetViews>
    <sheetView zoomScale="85" zoomScaleNormal="85" workbookViewId="0">
      <selection activeCell="D74" sqref="D74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10.4414062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542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66" t="s">
        <v>547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34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17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55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200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62" t="str">
        <f>D3</f>
        <v>AUGUST 2023</v>
      </c>
      <c r="E20" s="165"/>
    </row>
    <row r="21" spans="1:5" ht="15" customHeight="1">
      <c r="A21" s="240" t="s">
        <v>554</v>
      </c>
      <c r="B21" s="240"/>
      <c r="C21" s="235"/>
      <c r="D21" s="165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1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AUGUST 2023</v>
      </c>
      <c r="E38" s="165"/>
    </row>
    <row r="39" spans="1:5" ht="15" customHeight="1">
      <c r="A39" s="241" t="s">
        <v>556</v>
      </c>
      <c r="B39" s="241"/>
      <c r="C39" s="235"/>
      <c r="D39" s="165" t="s">
        <v>549</v>
      </c>
      <c r="E39" s="16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3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3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3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2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2</v>
      </c>
      <c r="E53" s="230">
        <v>0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AUGUST 2023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15</v>
      </c>
      <c r="E58" s="230">
        <v>15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0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AA90-9182-4B94-8F18-EBB585B4641D}">
  <dimension ref="A1:M98"/>
  <sheetViews>
    <sheetView topLeftCell="A24" workbookViewId="0">
      <selection activeCell="C61" sqref="C61:C98"/>
    </sheetView>
  </sheetViews>
  <sheetFormatPr defaultColWidth="10" defaultRowHeight="14.4"/>
  <cols>
    <col min="1" max="1" width="10.6640625" customWidth="1"/>
    <col min="2" max="2" width="49.44140625" customWidth="1"/>
    <col min="3" max="3" width="11" customWidth="1"/>
    <col min="4" max="13" width="22.6640625" style="22" customWidth="1"/>
    <col min="14" max="14" width="7.44140625" customWidth="1"/>
    <col min="15" max="1020" width="11.88671875" customWidth="1"/>
  </cols>
  <sheetData>
    <row r="1" spans="1:13" ht="21">
      <c r="A1" s="162" t="s">
        <v>563</v>
      </c>
    </row>
    <row r="2" spans="1:13" ht="21">
      <c r="A2" s="479" t="s">
        <v>564</v>
      </c>
      <c r="B2" s="479"/>
      <c r="C2" s="479"/>
    </row>
    <row r="3" spans="1:13" s="166" customFormat="1" ht="31.2">
      <c r="A3" s="163" t="s">
        <v>544</v>
      </c>
      <c r="B3" s="164" t="s">
        <v>545</v>
      </c>
      <c r="C3" s="163" t="s">
        <v>546</v>
      </c>
      <c r="D3" s="478" t="s">
        <v>565</v>
      </c>
      <c r="E3" s="478"/>
      <c r="F3" s="478" t="s">
        <v>566</v>
      </c>
      <c r="G3" s="478"/>
      <c r="H3" s="478" t="s">
        <v>567</v>
      </c>
      <c r="I3" s="478"/>
      <c r="J3" s="478" t="s">
        <v>568</v>
      </c>
      <c r="K3" s="478"/>
      <c r="L3" s="480">
        <v>44927</v>
      </c>
      <c r="M3" s="480"/>
    </row>
    <row r="4" spans="1:13" ht="47.25" customHeight="1">
      <c r="A4" s="476" t="s">
        <v>548</v>
      </c>
      <c r="B4" s="476"/>
      <c r="C4" s="167"/>
      <c r="D4" s="168" t="s">
        <v>549</v>
      </c>
      <c r="E4" s="168" t="s">
        <v>550</v>
      </c>
      <c r="F4" s="168" t="s">
        <v>549</v>
      </c>
      <c r="G4" s="168" t="s">
        <v>550</v>
      </c>
      <c r="H4" s="168" t="s">
        <v>549</v>
      </c>
      <c r="I4" s="168" t="s">
        <v>550</v>
      </c>
      <c r="J4" s="168" t="s">
        <v>549</v>
      </c>
      <c r="K4" s="168" t="s">
        <v>550</v>
      </c>
      <c r="L4" s="168" t="s">
        <v>549</v>
      </c>
      <c r="M4" s="168" t="s">
        <v>550</v>
      </c>
    </row>
    <row r="5" spans="1:13" ht="15.6">
      <c r="A5" s="169">
        <v>2276</v>
      </c>
      <c r="B5" s="170" t="s">
        <v>551</v>
      </c>
      <c r="C5" s="169" t="s">
        <v>104</v>
      </c>
      <c r="D5" s="171">
        <v>34</v>
      </c>
      <c r="E5" s="171">
        <v>26</v>
      </c>
      <c r="F5" s="171">
        <v>26</v>
      </c>
      <c r="G5" s="171">
        <v>0</v>
      </c>
      <c r="H5" s="171">
        <v>20</v>
      </c>
      <c r="I5" s="171">
        <v>0</v>
      </c>
      <c r="J5" s="171"/>
      <c r="K5" s="171">
        <v>0</v>
      </c>
      <c r="L5" s="171"/>
      <c r="M5" s="171"/>
    </row>
    <row r="6" spans="1:13" ht="21.6" customHeight="1">
      <c r="A6" s="169">
        <v>2067</v>
      </c>
      <c r="B6" s="170" t="s">
        <v>552</v>
      </c>
      <c r="C6" s="169" t="s">
        <v>104</v>
      </c>
      <c r="D6" s="171">
        <v>17</v>
      </c>
      <c r="E6" s="171">
        <v>3</v>
      </c>
      <c r="F6" s="171">
        <v>3</v>
      </c>
      <c r="G6" s="171">
        <v>0</v>
      </c>
      <c r="H6" s="171"/>
      <c r="I6" s="171">
        <v>0</v>
      </c>
      <c r="J6" s="171"/>
      <c r="K6" s="171">
        <v>0</v>
      </c>
      <c r="L6" s="171"/>
      <c r="M6" s="171"/>
    </row>
    <row r="7" spans="1:13" ht="15.6">
      <c r="A7" s="169">
        <v>2634</v>
      </c>
      <c r="B7" s="170" t="s">
        <v>263</v>
      </c>
      <c r="C7" s="169" t="s">
        <v>121</v>
      </c>
      <c r="D7" s="171">
        <v>0</v>
      </c>
      <c r="E7" s="171">
        <v>0</v>
      </c>
      <c r="F7" s="171">
        <v>0</v>
      </c>
      <c r="G7" s="171">
        <v>0</v>
      </c>
      <c r="H7" s="171"/>
      <c r="I7" s="171">
        <v>0</v>
      </c>
      <c r="J7" s="171"/>
      <c r="K7" s="171">
        <v>0</v>
      </c>
      <c r="L7" s="171"/>
      <c r="M7" s="171"/>
    </row>
    <row r="8" spans="1:13" ht="15.6">
      <c r="A8" s="169">
        <v>5</v>
      </c>
      <c r="B8" s="170" t="s">
        <v>264</v>
      </c>
      <c r="C8" s="169" t="s">
        <v>106</v>
      </c>
      <c r="D8" s="171">
        <v>0</v>
      </c>
      <c r="E8" s="171">
        <v>0</v>
      </c>
      <c r="F8" s="171">
        <v>0</v>
      </c>
      <c r="G8" s="171">
        <v>0</v>
      </c>
      <c r="H8" s="171"/>
      <c r="I8" s="171">
        <v>0</v>
      </c>
      <c r="J8" s="171"/>
      <c r="K8" s="171">
        <v>0</v>
      </c>
      <c r="L8" s="171"/>
      <c r="M8" s="171"/>
    </row>
    <row r="9" spans="1:13" ht="15.6">
      <c r="A9" s="169">
        <v>46</v>
      </c>
      <c r="B9" s="170" t="s">
        <v>14</v>
      </c>
      <c r="C9" s="169" t="s">
        <v>110</v>
      </c>
      <c r="D9" s="171">
        <v>55</v>
      </c>
      <c r="E9" s="171">
        <v>145</v>
      </c>
      <c r="F9" s="171">
        <v>50</v>
      </c>
      <c r="G9" s="171">
        <v>95</v>
      </c>
      <c r="H9" s="171"/>
      <c r="I9" s="171">
        <v>50</v>
      </c>
      <c r="J9" s="171"/>
      <c r="K9" s="171">
        <v>25</v>
      </c>
      <c r="L9" s="171"/>
      <c r="M9" s="171"/>
    </row>
    <row r="10" spans="1:13">
      <c r="A10" s="171">
        <v>59</v>
      </c>
      <c r="B10" s="167" t="s">
        <v>251</v>
      </c>
      <c r="C10" s="171" t="s">
        <v>106</v>
      </c>
      <c r="D10" s="171">
        <v>0</v>
      </c>
      <c r="E10" s="171">
        <v>0</v>
      </c>
      <c r="F10" s="171">
        <v>0</v>
      </c>
      <c r="G10" s="171">
        <v>0</v>
      </c>
      <c r="H10" s="171"/>
      <c r="I10" s="171">
        <v>0</v>
      </c>
      <c r="J10" s="171"/>
      <c r="K10" s="171">
        <v>0</v>
      </c>
      <c r="L10" s="171"/>
      <c r="M10" s="171"/>
    </row>
    <row r="11" spans="1:13" ht="15.6">
      <c r="A11" s="169">
        <v>40</v>
      </c>
      <c r="B11" s="170" t="s">
        <v>265</v>
      </c>
      <c r="C11" s="169" t="s">
        <v>121</v>
      </c>
      <c r="D11" s="171">
        <v>0</v>
      </c>
      <c r="E11" s="171">
        <v>0</v>
      </c>
      <c r="F11" s="171">
        <v>0</v>
      </c>
      <c r="G11" s="171">
        <v>0</v>
      </c>
      <c r="H11" s="171"/>
      <c r="I11" s="171">
        <v>0</v>
      </c>
      <c r="J11" s="171"/>
      <c r="K11" s="171">
        <v>0</v>
      </c>
      <c r="L11" s="171"/>
      <c r="M11" s="171"/>
    </row>
    <row r="12" spans="1:13" ht="15.6">
      <c r="A12" s="169">
        <v>1695</v>
      </c>
      <c r="B12" s="170" t="s">
        <v>266</v>
      </c>
      <c r="C12" s="169" t="s">
        <v>121</v>
      </c>
      <c r="D12" s="171">
        <v>0</v>
      </c>
      <c r="E12" s="171">
        <v>0</v>
      </c>
      <c r="F12" s="171">
        <v>0</v>
      </c>
      <c r="G12" s="171">
        <v>0</v>
      </c>
      <c r="H12" s="171"/>
      <c r="I12" s="171">
        <v>0</v>
      </c>
      <c r="J12" s="171"/>
      <c r="K12" s="171">
        <v>0</v>
      </c>
      <c r="L12" s="171"/>
      <c r="M12" s="171"/>
    </row>
    <row r="13" spans="1:13" ht="15.6">
      <c r="A13" s="169">
        <v>2366</v>
      </c>
      <c r="B13" s="170" t="s">
        <v>241</v>
      </c>
      <c r="C13" s="169" t="s">
        <v>106</v>
      </c>
      <c r="D13" s="171">
        <v>0</v>
      </c>
      <c r="E13" s="171">
        <v>0</v>
      </c>
      <c r="F13" s="171">
        <v>0</v>
      </c>
      <c r="G13" s="171">
        <v>0</v>
      </c>
      <c r="H13" s="171"/>
      <c r="I13" s="171">
        <v>0</v>
      </c>
      <c r="J13" s="171"/>
      <c r="K13" s="171">
        <v>0</v>
      </c>
      <c r="L13" s="171"/>
      <c r="M13" s="171"/>
    </row>
    <row r="14" spans="1:13" ht="15.6">
      <c r="A14" s="169">
        <v>331</v>
      </c>
      <c r="B14" s="170" t="s">
        <v>249</v>
      </c>
      <c r="C14" s="169" t="s">
        <v>553</v>
      </c>
      <c r="D14" s="171">
        <v>0</v>
      </c>
      <c r="E14" s="171">
        <v>0</v>
      </c>
      <c r="F14" s="171">
        <v>0</v>
      </c>
      <c r="G14" s="171">
        <v>0</v>
      </c>
      <c r="H14" s="171"/>
      <c r="I14" s="171">
        <v>0</v>
      </c>
      <c r="J14" s="171"/>
      <c r="K14" s="171">
        <v>0</v>
      </c>
      <c r="L14" s="171"/>
      <c r="M14" s="171"/>
    </row>
    <row r="15" spans="1:13" ht="15.6">
      <c r="A15" s="169">
        <v>330</v>
      </c>
      <c r="B15" s="170" t="s">
        <v>13</v>
      </c>
      <c r="C15" s="169" t="s">
        <v>110</v>
      </c>
      <c r="D15" s="171">
        <v>200</v>
      </c>
      <c r="E15" s="171">
        <v>0</v>
      </c>
      <c r="F15" s="171">
        <v>0</v>
      </c>
      <c r="G15" s="171">
        <v>0</v>
      </c>
      <c r="H15" s="171"/>
      <c r="I15" s="171">
        <v>0</v>
      </c>
      <c r="J15" s="171"/>
      <c r="K15" s="171">
        <v>0</v>
      </c>
      <c r="L15" s="171"/>
      <c r="M15" s="171"/>
    </row>
    <row r="16" spans="1:13" ht="15.6">
      <c r="A16" s="169">
        <v>65</v>
      </c>
      <c r="B16" s="170" t="s">
        <v>267</v>
      </c>
      <c r="C16" s="169" t="s">
        <v>553</v>
      </c>
      <c r="D16" s="171">
        <v>0</v>
      </c>
      <c r="E16" s="171">
        <v>0</v>
      </c>
      <c r="F16" s="171">
        <v>0</v>
      </c>
      <c r="G16" s="171">
        <v>0</v>
      </c>
      <c r="H16" s="171"/>
      <c r="I16" s="171">
        <v>0</v>
      </c>
      <c r="J16" s="171"/>
      <c r="K16" s="171">
        <v>0</v>
      </c>
      <c r="L16" s="171"/>
      <c r="M16" s="171"/>
    </row>
    <row r="17" spans="1:13" ht="15.6">
      <c r="A17" s="169">
        <v>70</v>
      </c>
      <c r="B17" s="170" t="s">
        <v>268</v>
      </c>
      <c r="C17" s="169" t="s">
        <v>106</v>
      </c>
      <c r="D17" s="171">
        <v>0</v>
      </c>
      <c r="E17" s="171">
        <v>0</v>
      </c>
      <c r="F17" s="171">
        <v>0</v>
      </c>
      <c r="G17" s="171">
        <v>0</v>
      </c>
      <c r="H17" s="171"/>
      <c r="I17" s="171">
        <v>0</v>
      </c>
      <c r="J17" s="171"/>
      <c r="K17" s="171">
        <v>0</v>
      </c>
      <c r="L17" s="171"/>
      <c r="M17" s="171"/>
    </row>
    <row r="18" spans="1:13" ht="15.6">
      <c r="A18" s="169">
        <v>1823</v>
      </c>
      <c r="B18" s="170" t="s">
        <v>269</v>
      </c>
      <c r="C18" s="169" t="s">
        <v>104</v>
      </c>
      <c r="D18" s="171">
        <v>0</v>
      </c>
      <c r="E18" s="171">
        <v>0</v>
      </c>
      <c r="F18" s="171">
        <v>0</v>
      </c>
      <c r="G18" s="171">
        <v>0</v>
      </c>
      <c r="H18" s="171"/>
      <c r="I18" s="171">
        <v>0</v>
      </c>
      <c r="J18" s="171"/>
      <c r="K18" s="171">
        <v>0</v>
      </c>
      <c r="L18" s="171"/>
      <c r="M18" s="171"/>
    </row>
    <row r="19" spans="1:13" ht="20.399999999999999" customHeight="1"/>
    <row r="20" spans="1:13" ht="21.15" customHeight="1"/>
    <row r="21" spans="1:13" ht="23.1" customHeight="1">
      <c r="A21" s="167"/>
      <c r="B21" s="167"/>
      <c r="C21" s="167"/>
      <c r="D21" s="478" t="s">
        <v>565</v>
      </c>
      <c r="E21" s="478"/>
      <c r="F21" s="478" t="s">
        <v>566</v>
      </c>
      <c r="G21" s="478"/>
      <c r="H21" s="478" t="s">
        <v>567</v>
      </c>
      <c r="I21" s="478"/>
      <c r="J21" s="478" t="s">
        <v>568</v>
      </c>
      <c r="K21" s="478"/>
      <c r="L21" s="478" t="s">
        <v>569</v>
      </c>
      <c r="M21" s="478"/>
    </row>
    <row r="22" spans="1:13" ht="67.5" customHeight="1">
      <c r="A22" s="476" t="s">
        <v>554</v>
      </c>
      <c r="B22" s="476"/>
      <c r="C22" s="167"/>
      <c r="D22" s="168" t="s">
        <v>549</v>
      </c>
      <c r="E22" s="168" t="s">
        <v>550</v>
      </c>
      <c r="F22" s="168" t="s">
        <v>549</v>
      </c>
      <c r="G22" s="168" t="s">
        <v>550</v>
      </c>
      <c r="H22" s="168" t="s">
        <v>549</v>
      </c>
      <c r="I22" s="168" t="s">
        <v>550</v>
      </c>
      <c r="J22" s="168" t="s">
        <v>549</v>
      </c>
      <c r="K22" s="168" t="s">
        <v>550</v>
      </c>
      <c r="L22" s="168" t="s">
        <v>549</v>
      </c>
      <c r="M22" s="168" t="s">
        <v>550</v>
      </c>
    </row>
    <row r="23" spans="1:13" ht="26.4" customHeight="1">
      <c r="A23" s="169">
        <v>2252</v>
      </c>
      <c r="B23" s="170" t="s">
        <v>294</v>
      </c>
      <c r="C23" s="169" t="s">
        <v>106</v>
      </c>
      <c r="D23" s="171">
        <v>0</v>
      </c>
      <c r="E23" s="171">
        <v>9</v>
      </c>
      <c r="F23" s="171">
        <v>1</v>
      </c>
      <c r="G23" s="171">
        <v>8</v>
      </c>
      <c r="H23" s="171">
        <v>0</v>
      </c>
      <c r="I23" s="171">
        <v>10</v>
      </c>
      <c r="J23" s="171">
        <v>0</v>
      </c>
      <c r="K23" s="171">
        <v>10</v>
      </c>
      <c r="L23" s="171"/>
      <c r="M23" s="171"/>
    </row>
    <row r="24" spans="1:13" ht="30.6">
      <c r="A24" s="169">
        <v>2646</v>
      </c>
      <c r="B24" s="172" t="s">
        <v>295</v>
      </c>
      <c r="C24" s="169" t="s">
        <v>555</v>
      </c>
      <c r="D24" s="171">
        <v>0</v>
      </c>
      <c r="E24" s="171">
        <v>0</v>
      </c>
      <c r="F24" s="171">
        <v>0</v>
      </c>
      <c r="G24" s="171">
        <v>0</v>
      </c>
      <c r="H24" s="171">
        <v>0</v>
      </c>
      <c r="I24" s="171">
        <v>0</v>
      </c>
      <c r="J24" s="171">
        <v>0</v>
      </c>
      <c r="K24" s="171">
        <v>0</v>
      </c>
      <c r="L24" s="171"/>
      <c r="M24" s="171"/>
    </row>
    <row r="25" spans="1:13" ht="30.6">
      <c r="A25" s="169">
        <v>2649</v>
      </c>
      <c r="B25" s="172" t="s">
        <v>296</v>
      </c>
      <c r="C25" s="169" t="s">
        <v>555</v>
      </c>
      <c r="D25" s="171">
        <v>0</v>
      </c>
      <c r="E25" s="171">
        <v>0</v>
      </c>
      <c r="F25" s="171">
        <v>0</v>
      </c>
      <c r="G25" s="171">
        <v>0</v>
      </c>
      <c r="H25" s="171">
        <v>0</v>
      </c>
      <c r="I25" s="171">
        <v>0</v>
      </c>
      <c r="J25" s="171">
        <v>0</v>
      </c>
      <c r="K25" s="171">
        <v>0</v>
      </c>
      <c r="L25" s="171"/>
      <c r="M25" s="171"/>
    </row>
    <row r="26" spans="1:13" ht="30.6">
      <c r="A26" s="169">
        <v>2647</v>
      </c>
      <c r="B26" s="172" t="s">
        <v>297</v>
      </c>
      <c r="C26" s="169" t="s">
        <v>555</v>
      </c>
      <c r="D26" s="171">
        <v>0</v>
      </c>
      <c r="E26" s="171">
        <v>0</v>
      </c>
      <c r="F26" s="171">
        <v>0</v>
      </c>
      <c r="G26" s="171">
        <v>0</v>
      </c>
      <c r="H26" s="171">
        <v>0</v>
      </c>
      <c r="I26" s="171">
        <v>0</v>
      </c>
      <c r="J26" s="171">
        <v>0</v>
      </c>
      <c r="K26" s="171">
        <v>0</v>
      </c>
      <c r="L26" s="171"/>
      <c r="M26" s="171"/>
    </row>
    <row r="27" spans="1:13" ht="30.6">
      <c r="A27" s="169">
        <v>2648</v>
      </c>
      <c r="B27" s="172" t="s">
        <v>298</v>
      </c>
      <c r="C27" s="169" t="s">
        <v>555</v>
      </c>
      <c r="D27" s="171">
        <v>0</v>
      </c>
      <c r="E27" s="171">
        <v>0</v>
      </c>
      <c r="F27" s="171">
        <v>0</v>
      </c>
      <c r="G27" s="171">
        <v>0</v>
      </c>
      <c r="H27" s="171">
        <v>0</v>
      </c>
      <c r="I27" s="171">
        <v>0</v>
      </c>
      <c r="J27" s="171">
        <v>0</v>
      </c>
      <c r="K27" s="171">
        <v>0</v>
      </c>
      <c r="L27" s="171"/>
      <c r="M27" s="171"/>
    </row>
    <row r="28" spans="1:13" ht="15.6">
      <c r="A28" s="173">
        <v>2627</v>
      </c>
      <c r="B28" s="170" t="s">
        <v>299</v>
      </c>
      <c r="C28" s="169" t="s">
        <v>555</v>
      </c>
      <c r="D28" s="171">
        <v>0</v>
      </c>
      <c r="E28" s="171">
        <v>0</v>
      </c>
      <c r="F28" s="171">
        <v>0</v>
      </c>
      <c r="G28" s="171">
        <v>0</v>
      </c>
      <c r="H28" s="171">
        <v>0</v>
      </c>
      <c r="I28" s="171">
        <v>0</v>
      </c>
      <c r="J28" s="171">
        <v>0</v>
      </c>
      <c r="K28" s="171">
        <v>0</v>
      </c>
      <c r="L28" s="171"/>
      <c r="M28" s="171"/>
    </row>
    <row r="29" spans="1:13" ht="15.6">
      <c r="A29" s="169">
        <v>2628</v>
      </c>
      <c r="B29" s="170" t="s">
        <v>300</v>
      </c>
      <c r="C29" s="169" t="s">
        <v>555</v>
      </c>
      <c r="D29" s="171">
        <v>0</v>
      </c>
      <c r="E29" s="171">
        <v>0</v>
      </c>
      <c r="F29" s="171">
        <v>0</v>
      </c>
      <c r="G29" s="171">
        <v>0</v>
      </c>
      <c r="H29" s="171">
        <v>0</v>
      </c>
      <c r="I29" s="171">
        <v>0</v>
      </c>
      <c r="J29" s="171">
        <v>0</v>
      </c>
      <c r="K29" s="171">
        <v>0</v>
      </c>
      <c r="L29" s="171"/>
      <c r="M29" s="171"/>
    </row>
    <row r="30" spans="1:13" ht="15.6">
      <c r="A30" s="169">
        <v>137</v>
      </c>
      <c r="B30" s="170" t="s">
        <v>53</v>
      </c>
      <c r="C30" s="169" t="s">
        <v>106</v>
      </c>
      <c r="D30" s="171">
        <v>0</v>
      </c>
      <c r="E30" s="171">
        <v>0</v>
      </c>
      <c r="F30" s="171">
        <v>0</v>
      </c>
      <c r="G30" s="171">
        <v>0</v>
      </c>
      <c r="H30" s="171">
        <v>0</v>
      </c>
      <c r="I30" s="171">
        <v>10</v>
      </c>
      <c r="J30" s="171">
        <v>0</v>
      </c>
      <c r="K30" s="171">
        <v>10</v>
      </c>
      <c r="L30" s="171"/>
      <c r="M30" s="171"/>
    </row>
    <row r="31" spans="1:13" ht="15.6">
      <c r="A31" s="169">
        <v>2416</v>
      </c>
      <c r="B31" s="170" t="s">
        <v>301</v>
      </c>
      <c r="C31" s="169" t="s">
        <v>106</v>
      </c>
      <c r="D31" s="171">
        <v>0</v>
      </c>
      <c r="E31" s="171">
        <v>0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171">
        <v>0</v>
      </c>
      <c r="L31" s="171"/>
      <c r="M31" s="171"/>
    </row>
    <row r="32" spans="1:13" ht="15.6">
      <c r="A32" s="169">
        <v>2629</v>
      </c>
      <c r="B32" s="170" t="s">
        <v>70</v>
      </c>
      <c r="C32" s="169" t="s">
        <v>133</v>
      </c>
      <c r="D32" s="171">
        <v>0</v>
      </c>
      <c r="E32" s="171">
        <v>20</v>
      </c>
      <c r="F32" s="171">
        <v>0</v>
      </c>
      <c r="G32" s="171">
        <v>20</v>
      </c>
      <c r="H32" s="171">
        <v>0</v>
      </c>
      <c r="I32" s="171">
        <v>20</v>
      </c>
      <c r="J32" s="171">
        <v>0</v>
      </c>
      <c r="K32" s="171">
        <v>20</v>
      </c>
      <c r="L32" s="171"/>
      <c r="M32" s="171"/>
    </row>
    <row r="33" spans="1:13" ht="15.6">
      <c r="A33" s="169">
        <v>2388</v>
      </c>
      <c r="B33" s="170" t="s">
        <v>256</v>
      </c>
      <c r="C33" s="169" t="s">
        <v>555</v>
      </c>
      <c r="D33" s="171">
        <v>0</v>
      </c>
      <c r="E33" s="171">
        <v>3</v>
      </c>
      <c r="F33" s="171">
        <v>0</v>
      </c>
      <c r="G33" s="171">
        <v>3</v>
      </c>
      <c r="H33" s="171">
        <v>0</v>
      </c>
      <c r="I33" s="171">
        <v>3</v>
      </c>
      <c r="J33" s="171">
        <v>0</v>
      </c>
      <c r="K33" s="171">
        <v>3</v>
      </c>
      <c r="L33" s="171"/>
      <c r="M33" s="171"/>
    </row>
    <row r="34" spans="1:13" ht="15.6">
      <c r="A34" s="169">
        <v>2540</v>
      </c>
      <c r="B34" s="170" t="s">
        <v>302</v>
      </c>
      <c r="C34" s="169" t="s">
        <v>555</v>
      </c>
      <c r="D34" s="171">
        <v>1</v>
      </c>
      <c r="E34" s="171">
        <v>12</v>
      </c>
      <c r="F34" s="171">
        <v>1</v>
      </c>
      <c r="G34" s="171">
        <v>12</v>
      </c>
      <c r="H34" s="171">
        <v>1</v>
      </c>
      <c r="I34" s="171">
        <v>13</v>
      </c>
      <c r="J34" s="171">
        <v>0</v>
      </c>
      <c r="K34" s="171">
        <v>13</v>
      </c>
      <c r="L34" s="171"/>
      <c r="M34" s="171"/>
    </row>
    <row r="35" spans="1:13" ht="15.6">
      <c r="A35" s="169">
        <v>84</v>
      </c>
      <c r="B35" s="170" t="s">
        <v>303</v>
      </c>
      <c r="C35" s="169" t="s">
        <v>411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/>
      <c r="M35" s="171"/>
    </row>
    <row r="36" spans="1:13" ht="15.6">
      <c r="A36" s="169">
        <v>87</v>
      </c>
      <c r="B36" s="170" t="s">
        <v>304</v>
      </c>
      <c r="C36" s="169" t="s">
        <v>411</v>
      </c>
      <c r="D36" s="171">
        <v>0</v>
      </c>
      <c r="E36" s="171">
        <v>0</v>
      </c>
      <c r="F36" s="171">
        <v>0</v>
      </c>
      <c r="G36" s="171">
        <v>0</v>
      </c>
      <c r="H36" s="171">
        <v>0</v>
      </c>
      <c r="I36" s="171">
        <v>0</v>
      </c>
      <c r="J36" s="171">
        <v>0</v>
      </c>
      <c r="K36" s="171">
        <v>0</v>
      </c>
      <c r="L36" s="171"/>
      <c r="M36" s="171"/>
    </row>
    <row r="37" spans="1:13" ht="15.6">
      <c r="A37" s="169">
        <v>81</v>
      </c>
      <c r="B37" s="170" t="s">
        <v>305</v>
      </c>
      <c r="C37" s="169" t="s">
        <v>411</v>
      </c>
      <c r="D37" s="171">
        <v>0</v>
      </c>
      <c r="E37" s="171">
        <v>0</v>
      </c>
      <c r="F37" s="171">
        <v>0</v>
      </c>
      <c r="G37" s="171">
        <v>0</v>
      </c>
      <c r="H37" s="171">
        <v>0</v>
      </c>
      <c r="I37" s="171">
        <v>0</v>
      </c>
      <c r="J37" s="171">
        <v>0</v>
      </c>
      <c r="K37" s="171">
        <v>0</v>
      </c>
      <c r="L37" s="171"/>
      <c r="M37" s="171"/>
    </row>
    <row r="38" spans="1:13">
      <c r="A38" s="174"/>
      <c r="B38" s="174"/>
      <c r="C38" s="174"/>
    </row>
    <row r="40" spans="1:13" ht="15.6">
      <c r="A40" s="167"/>
      <c r="B40" s="167"/>
      <c r="C40" s="167"/>
      <c r="D40" s="478" t="s">
        <v>565</v>
      </c>
      <c r="E40" s="478"/>
      <c r="F40" s="478" t="s">
        <v>566</v>
      </c>
      <c r="G40" s="478"/>
      <c r="H40" s="478" t="s">
        <v>567</v>
      </c>
      <c r="I40" s="478"/>
      <c r="J40" s="478" t="s">
        <v>568</v>
      </c>
      <c r="K40" s="478"/>
      <c r="L40" s="478" t="s">
        <v>569</v>
      </c>
      <c r="M40" s="478"/>
    </row>
    <row r="41" spans="1:13" ht="46.8">
      <c r="A41" s="477" t="s">
        <v>556</v>
      </c>
      <c r="B41" s="477"/>
      <c r="C41" s="167"/>
      <c r="D41" s="168" t="s">
        <v>549</v>
      </c>
      <c r="E41" s="168" t="s">
        <v>550</v>
      </c>
      <c r="F41" s="168" t="s">
        <v>549</v>
      </c>
      <c r="G41" s="168" t="s">
        <v>550</v>
      </c>
      <c r="H41" s="168" t="s">
        <v>549</v>
      </c>
      <c r="I41" s="168" t="s">
        <v>550</v>
      </c>
      <c r="J41" s="168" t="s">
        <v>549</v>
      </c>
      <c r="K41" s="168" t="s">
        <v>550</v>
      </c>
      <c r="L41" s="168" t="s">
        <v>549</v>
      </c>
      <c r="M41" s="168" t="s">
        <v>550</v>
      </c>
    </row>
    <row r="42" spans="1:13" ht="15.6">
      <c r="A42" s="175">
        <v>276</v>
      </c>
      <c r="B42" s="176" t="s">
        <v>270</v>
      </c>
      <c r="C42" s="175" t="s">
        <v>104</v>
      </c>
      <c r="D42" s="171">
        <v>0</v>
      </c>
      <c r="E42" s="171">
        <v>0</v>
      </c>
      <c r="F42" s="171">
        <v>0</v>
      </c>
      <c r="G42" s="171">
        <v>0</v>
      </c>
      <c r="H42" s="171">
        <v>0</v>
      </c>
      <c r="I42" s="171">
        <v>0</v>
      </c>
      <c r="J42" s="171">
        <v>0</v>
      </c>
      <c r="K42" s="171">
        <v>0</v>
      </c>
      <c r="L42" s="171"/>
      <c r="M42" s="171"/>
    </row>
    <row r="43" spans="1:13" ht="15.6">
      <c r="A43" s="175">
        <v>1938</v>
      </c>
      <c r="B43" s="176" t="s">
        <v>271</v>
      </c>
      <c r="C43" s="175" t="s">
        <v>104</v>
      </c>
      <c r="D43" s="171">
        <v>3</v>
      </c>
      <c r="E43" s="171">
        <v>127</v>
      </c>
      <c r="F43" s="171">
        <v>2</v>
      </c>
      <c r="G43" s="171">
        <v>125</v>
      </c>
      <c r="H43" s="171">
        <v>5</v>
      </c>
      <c r="I43" s="171">
        <v>140</v>
      </c>
      <c r="J43" s="171">
        <v>5</v>
      </c>
      <c r="K43" s="171">
        <v>135</v>
      </c>
      <c r="L43" s="171"/>
      <c r="M43" s="171"/>
    </row>
    <row r="44" spans="1:13" ht="15.6">
      <c r="A44" s="175">
        <v>1949</v>
      </c>
      <c r="B44" s="176" t="s">
        <v>272</v>
      </c>
      <c r="C44" s="175" t="s">
        <v>104</v>
      </c>
      <c r="D44" s="171">
        <v>3</v>
      </c>
      <c r="E44" s="171">
        <v>127</v>
      </c>
      <c r="F44" s="171">
        <v>2</v>
      </c>
      <c r="G44" s="171">
        <v>125</v>
      </c>
      <c r="H44" s="171">
        <v>5</v>
      </c>
      <c r="I44" s="171">
        <v>140</v>
      </c>
      <c r="J44" s="171">
        <v>5</v>
      </c>
      <c r="K44" s="171">
        <v>135</v>
      </c>
      <c r="L44" s="171"/>
      <c r="M44" s="171"/>
    </row>
    <row r="45" spans="1:13" ht="15.6">
      <c r="A45" s="175">
        <v>2519</v>
      </c>
      <c r="B45" s="176" t="s">
        <v>207</v>
      </c>
      <c r="C45" s="175" t="s">
        <v>104</v>
      </c>
      <c r="D45" s="171">
        <v>0</v>
      </c>
      <c r="E45" s="171">
        <v>0</v>
      </c>
      <c r="F45" s="171">
        <v>0</v>
      </c>
      <c r="G45" s="171">
        <v>0</v>
      </c>
      <c r="H45" s="171">
        <v>0</v>
      </c>
      <c r="I45" s="171">
        <v>0</v>
      </c>
      <c r="J45" s="171">
        <v>0</v>
      </c>
      <c r="K45" s="171">
        <v>0</v>
      </c>
      <c r="L45" s="171"/>
      <c r="M45" s="171"/>
    </row>
    <row r="46" spans="1:13" ht="15.6">
      <c r="A46" s="175">
        <v>2520</v>
      </c>
      <c r="B46" s="176" t="s">
        <v>273</v>
      </c>
      <c r="C46" s="175" t="s">
        <v>104</v>
      </c>
      <c r="D46" s="171">
        <v>0</v>
      </c>
      <c r="E46" s="171">
        <v>0</v>
      </c>
      <c r="F46" s="171">
        <v>0</v>
      </c>
      <c r="G46" s="171">
        <v>0</v>
      </c>
      <c r="H46" s="171">
        <v>0</v>
      </c>
      <c r="I46" s="171">
        <v>0</v>
      </c>
      <c r="J46" s="171">
        <v>0</v>
      </c>
      <c r="K46" s="171">
        <v>0</v>
      </c>
      <c r="L46" s="171"/>
      <c r="M46" s="171"/>
    </row>
    <row r="47" spans="1:13" ht="15.6">
      <c r="A47" s="175">
        <v>222</v>
      </c>
      <c r="B47" s="176" t="s">
        <v>78</v>
      </c>
      <c r="C47" s="175" t="s">
        <v>233</v>
      </c>
      <c r="D47" s="171">
        <v>0</v>
      </c>
      <c r="E47" s="171">
        <v>0</v>
      </c>
      <c r="F47" s="171">
        <v>0</v>
      </c>
      <c r="G47" s="171">
        <v>0</v>
      </c>
      <c r="H47" s="171">
        <v>0</v>
      </c>
      <c r="I47" s="171">
        <v>150</v>
      </c>
      <c r="J47" s="171">
        <v>50</v>
      </c>
      <c r="K47" s="171">
        <v>100</v>
      </c>
      <c r="L47" s="171"/>
      <c r="M47" s="171"/>
    </row>
    <row r="48" spans="1:13" ht="15.6">
      <c r="A48" s="175">
        <v>1976</v>
      </c>
      <c r="B48" s="176" t="s">
        <v>60</v>
      </c>
      <c r="C48" s="175" t="s">
        <v>104</v>
      </c>
      <c r="D48" s="171">
        <v>0</v>
      </c>
      <c r="E48" s="171">
        <v>0</v>
      </c>
      <c r="F48" s="171">
        <v>0</v>
      </c>
      <c r="G48" s="171">
        <v>0</v>
      </c>
      <c r="H48" s="171">
        <v>0</v>
      </c>
      <c r="I48" s="171">
        <v>0</v>
      </c>
      <c r="J48" s="171">
        <v>0</v>
      </c>
      <c r="K48" s="171">
        <v>0</v>
      </c>
      <c r="L48" s="171"/>
      <c r="M48" s="171"/>
    </row>
    <row r="49" spans="1:13" ht="15.6">
      <c r="A49" s="175">
        <v>2521</v>
      </c>
      <c r="B49" s="176" t="s">
        <v>557</v>
      </c>
      <c r="C49" s="175" t="s">
        <v>104</v>
      </c>
      <c r="D49" s="171">
        <v>0</v>
      </c>
      <c r="E49" s="171">
        <v>0</v>
      </c>
      <c r="F49" s="171">
        <v>0</v>
      </c>
      <c r="G49" s="171">
        <v>0</v>
      </c>
      <c r="H49" s="171">
        <v>0</v>
      </c>
      <c r="I49" s="171">
        <v>0</v>
      </c>
      <c r="J49" s="171">
        <v>0</v>
      </c>
      <c r="K49" s="171">
        <v>0</v>
      </c>
      <c r="L49" s="171"/>
      <c r="M49" s="171"/>
    </row>
    <row r="50" spans="1:13" ht="15.6">
      <c r="A50" s="175">
        <v>2576</v>
      </c>
      <c r="B50" s="176" t="s">
        <v>39</v>
      </c>
      <c r="C50" s="175" t="s">
        <v>104</v>
      </c>
      <c r="D50" s="171">
        <v>0</v>
      </c>
      <c r="E50" s="171">
        <v>0</v>
      </c>
      <c r="F50" s="171">
        <v>0</v>
      </c>
      <c r="G50" s="171">
        <v>0</v>
      </c>
      <c r="H50" s="171">
        <v>0</v>
      </c>
      <c r="I50" s="171">
        <v>0</v>
      </c>
      <c r="J50" s="171">
        <v>0</v>
      </c>
      <c r="K50" s="171">
        <v>0</v>
      </c>
      <c r="L50" s="171"/>
      <c r="M50" s="171"/>
    </row>
    <row r="51" spans="1:13" ht="15.6">
      <c r="A51" s="175">
        <v>2399</v>
      </c>
      <c r="B51" s="176" t="s">
        <v>274</v>
      </c>
      <c r="C51" s="175" t="s">
        <v>558</v>
      </c>
      <c r="D51" s="171">
        <v>3</v>
      </c>
      <c r="E51" s="171">
        <v>17</v>
      </c>
      <c r="F51" s="171">
        <v>5</v>
      </c>
      <c r="G51" s="171">
        <v>13</v>
      </c>
      <c r="H51" s="171">
        <v>6</v>
      </c>
      <c r="I51" s="171">
        <v>25</v>
      </c>
      <c r="J51" s="171">
        <v>5</v>
      </c>
      <c r="K51" s="171">
        <v>20</v>
      </c>
      <c r="L51" s="171"/>
      <c r="M51" s="171"/>
    </row>
    <row r="52" spans="1:13" ht="15.6">
      <c r="A52" s="175">
        <v>199</v>
      </c>
      <c r="B52" s="176" t="s">
        <v>275</v>
      </c>
      <c r="C52" s="175" t="s">
        <v>233</v>
      </c>
      <c r="D52" s="171">
        <v>0</v>
      </c>
      <c r="E52" s="171">
        <v>0</v>
      </c>
      <c r="F52" s="171">
        <v>0</v>
      </c>
      <c r="G52" s="171">
        <v>0</v>
      </c>
      <c r="H52" s="171">
        <v>0</v>
      </c>
      <c r="I52" s="171">
        <v>0</v>
      </c>
      <c r="J52" s="171">
        <v>0</v>
      </c>
      <c r="K52" s="171">
        <v>0</v>
      </c>
      <c r="L52" s="171"/>
      <c r="M52" s="171"/>
    </row>
    <row r="53" spans="1:13" ht="15.6">
      <c r="A53" s="175">
        <v>2386</v>
      </c>
      <c r="B53" s="176" t="s">
        <v>276</v>
      </c>
      <c r="C53" s="175" t="s">
        <v>558</v>
      </c>
      <c r="D53" s="171">
        <v>0</v>
      </c>
      <c r="E53" s="171">
        <v>0</v>
      </c>
      <c r="F53" s="171">
        <v>0</v>
      </c>
      <c r="G53" s="171">
        <v>0</v>
      </c>
      <c r="H53" s="171">
        <v>2</v>
      </c>
      <c r="I53" s="171">
        <v>9</v>
      </c>
      <c r="J53" s="171">
        <v>0</v>
      </c>
      <c r="K53" s="171">
        <v>9</v>
      </c>
      <c r="L53" s="171"/>
      <c r="M53" s="171"/>
    </row>
    <row r="54" spans="1:13" ht="15.6">
      <c r="A54" s="175">
        <v>1939</v>
      </c>
      <c r="B54" s="176" t="s">
        <v>205</v>
      </c>
      <c r="C54" s="175" t="s">
        <v>104</v>
      </c>
      <c r="D54" s="171">
        <v>2</v>
      </c>
      <c r="E54" s="171">
        <v>142</v>
      </c>
      <c r="F54" s="171">
        <v>2</v>
      </c>
      <c r="G54" s="171">
        <v>140</v>
      </c>
      <c r="H54" s="171">
        <v>2</v>
      </c>
      <c r="I54" s="171">
        <v>146</v>
      </c>
      <c r="J54" s="171">
        <v>1</v>
      </c>
      <c r="K54" s="171">
        <v>145</v>
      </c>
      <c r="L54" s="171"/>
      <c r="M54" s="171"/>
    </row>
    <row r="55" spans="1:13" ht="15.6">
      <c r="A55" s="175">
        <v>1950</v>
      </c>
      <c r="B55" s="176" t="s">
        <v>277</v>
      </c>
      <c r="C55" s="175" t="s">
        <v>104</v>
      </c>
      <c r="D55" s="171">
        <v>2</v>
      </c>
      <c r="E55" s="171">
        <v>142</v>
      </c>
      <c r="F55" s="171">
        <v>2</v>
      </c>
      <c r="G55" s="171">
        <v>140</v>
      </c>
      <c r="H55" s="171">
        <v>2</v>
      </c>
      <c r="I55" s="171">
        <v>146</v>
      </c>
      <c r="J55" s="171">
        <v>1</v>
      </c>
      <c r="K55" s="171">
        <v>145</v>
      </c>
      <c r="L55" s="171"/>
      <c r="M55" s="171"/>
    </row>
    <row r="56" spans="1:13">
      <c r="A56" s="174"/>
      <c r="C56" s="174"/>
    </row>
    <row r="59" spans="1:13" ht="15.6">
      <c r="A59" s="167"/>
      <c r="B59" s="167"/>
      <c r="C59" s="167"/>
      <c r="D59" s="478" t="s">
        <v>565</v>
      </c>
      <c r="E59" s="478"/>
      <c r="F59" s="478" t="s">
        <v>566</v>
      </c>
      <c r="G59" s="478"/>
      <c r="H59" s="478" t="s">
        <v>567</v>
      </c>
      <c r="I59" s="478"/>
      <c r="J59" s="478" t="s">
        <v>568</v>
      </c>
      <c r="K59" s="478"/>
      <c r="L59" s="478" t="s">
        <v>569</v>
      </c>
      <c r="M59" s="478"/>
    </row>
    <row r="60" spans="1:13" ht="46.8">
      <c r="A60" s="476" t="s">
        <v>559</v>
      </c>
      <c r="B60" s="476"/>
      <c r="C60" s="167"/>
      <c r="D60" s="165" t="s">
        <v>549</v>
      </c>
      <c r="E60" s="165" t="s">
        <v>550</v>
      </c>
      <c r="F60" s="165" t="s">
        <v>549</v>
      </c>
      <c r="G60" s="165" t="s">
        <v>550</v>
      </c>
      <c r="H60" s="168" t="s">
        <v>549</v>
      </c>
      <c r="I60" s="165" t="s">
        <v>550</v>
      </c>
      <c r="J60" s="168" t="s">
        <v>549</v>
      </c>
      <c r="K60" s="165" t="s">
        <v>550</v>
      </c>
      <c r="L60" s="168" t="s">
        <v>549</v>
      </c>
      <c r="M60" s="165" t="s">
        <v>550</v>
      </c>
    </row>
    <row r="61" spans="1:13" ht="15.6">
      <c r="A61" s="175">
        <v>2617</v>
      </c>
      <c r="B61" s="176" t="s">
        <v>29</v>
      </c>
      <c r="C61" s="169" t="s">
        <v>560</v>
      </c>
      <c r="D61" s="171">
        <v>8</v>
      </c>
      <c r="E61" s="171">
        <v>13</v>
      </c>
      <c r="F61" s="171">
        <v>4</v>
      </c>
      <c r="G61" s="171">
        <v>9</v>
      </c>
      <c r="H61" s="171">
        <v>6</v>
      </c>
      <c r="I61" s="171">
        <v>44</v>
      </c>
      <c r="J61" s="171">
        <v>12</v>
      </c>
      <c r="K61" s="171">
        <v>32</v>
      </c>
      <c r="L61" s="171"/>
      <c r="M61" s="171"/>
    </row>
    <row r="62" spans="1:13" ht="15.6">
      <c r="A62" s="175">
        <v>2618</v>
      </c>
      <c r="B62" s="176" t="s">
        <v>63</v>
      </c>
      <c r="C62" s="169" t="s">
        <v>119</v>
      </c>
      <c r="D62" s="171">
        <v>2</v>
      </c>
      <c r="E62" s="171">
        <v>12</v>
      </c>
      <c r="F62" s="171">
        <v>4</v>
      </c>
      <c r="G62" s="171">
        <v>8</v>
      </c>
      <c r="H62" s="171">
        <v>28</v>
      </c>
      <c r="I62" s="171">
        <v>48</v>
      </c>
      <c r="J62" s="171">
        <v>2</v>
      </c>
      <c r="K62" s="171">
        <v>16</v>
      </c>
      <c r="L62" s="171"/>
      <c r="M62" s="171"/>
    </row>
    <row r="63" spans="1:13" ht="15.6">
      <c r="A63" s="175">
        <v>337</v>
      </c>
      <c r="B63" s="176" t="s">
        <v>18</v>
      </c>
      <c r="C63" s="169" t="s">
        <v>106</v>
      </c>
      <c r="D63" s="171">
        <v>0</v>
      </c>
      <c r="E63" s="171">
        <v>0</v>
      </c>
      <c r="F63" s="171">
        <v>0</v>
      </c>
      <c r="G63" s="171">
        <v>0</v>
      </c>
      <c r="H63" s="171">
        <v>0</v>
      </c>
      <c r="I63" s="171">
        <v>0</v>
      </c>
      <c r="J63" s="171">
        <v>0</v>
      </c>
      <c r="K63" s="171">
        <v>0</v>
      </c>
      <c r="L63" s="171"/>
      <c r="M63" s="171"/>
    </row>
    <row r="64" spans="1:13" ht="15.6">
      <c r="A64" s="175">
        <v>2551</v>
      </c>
      <c r="B64" s="176" t="s">
        <v>279</v>
      </c>
      <c r="C64" s="169" t="s">
        <v>121</v>
      </c>
      <c r="D64" s="171">
        <v>0</v>
      </c>
      <c r="E64" s="171">
        <v>0</v>
      </c>
      <c r="F64" s="171">
        <v>0</v>
      </c>
      <c r="G64" s="171">
        <v>0</v>
      </c>
      <c r="H64" s="171">
        <v>0</v>
      </c>
      <c r="I64" s="171">
        <v>0</v>
      </c>
      <c r="J64" s="171">
        <v>0</v>
      </c>
      <c r="K64" s="171">
        <v>0</v>
      </c>
      <c r="L64" s="171"/>
      <c r="M64" s="171"/>
    </row>
    <row r="65" spans="1:13" ht="15.6">
      <c r="A65" s="175">
        <v>2550</v>
      </c>
      <c r="B65" s="176" t="s">
        <v>25</v>
      </c>
      <c r="C65" s="169" t="s">
        <v>121</v>
      </c>
      <c r="D65" s="171">
        <v>0</v>
      </c>
      <c r="E65" s="171">
        <v>0</v>
      </c>
      <c r="F65" s="171">
        <v>0</v>
      </c>
      <c r="G65" s="171">
        <v>0</v>
      </c>
      <c r="H65" s="171">
        <v>0</v>
      </c>
      <c r="I65" s="171">
        <v>0</v>
      </c>
      <c r="J65" s="171">
        <v>0</v>
      </c>
      <c r="K65" s="171">
        <v>0</v>
      </c>
      <c r="L65" s="171"/>
      <c r="M65" s="171"/>
    </row>
    <row r="66" spans="1:13" ht="15.6">
      <c r="A66" s="175">
        <v>2552</v>
      </c>
      <c r="B66" s="176" t="s">
        <v>43</v>
      </c>
      <c r="C66" s="169" t="s">
        <v>121</v>
      </c>
      <c r="D66" s="171">
        <v>0</v>
      </c>
      <c r="E66" s="171">
        <v>0</v>
      </c>
      <c r="F66" s="171">
        <v>0</v>
      </c>
      <c r="G66" s="171">
        <v>0</v>
      </c>
      <c r="H66" s="171">
        <v>0</v>
      </c>
      <c r="I66" s="171">
        <v>0</v>
      </c>
      <c r="J66" s="171">
        <v>0</v>
      </c>
      <c r="K66" s="171">
        <v>0</v>
      </c>
      <c r="L66" s="171"/>
      <c r="M66" s="171"/>
    </row>
    <row r="67" spans="1:13" ht="15.6">
      <c r="A67" s="175">
        <v>2546</v>
      </c>
      <c r="B67" s="176" t="s">
        <v>66</v>
      </c>
      <c r="C67" s="169" t="s">
        <v>121</v>
      </c>
      <c r="D67" s="171">
        <v>0</v>
      </c>
      <c r="E67" s="171">
        <v>0</v>
      </c>
      <c r="F67" s="171">
        <v>0</v>
      </c>
      <c r="G67" s="171">
        <v>0</v>
      </c>
      <c r="H67" s="171">
        <v>0</v>
      </c>
      <c r="I67" s="171">
        <v>0</v>
      </c>
      <c r="J67" s="171">
        <v>0</v>
      </c>
      <c r="K67" s="171">
        <v>0</v>
      </c>
      <c r="L67" s="171"/>
      <c r="M67" s="171"/>
    </row>
    <row r="68" spans="1:13" ht="15.6">
      <c r="A68" s="175">
        <v>1960</v>
      </c>
      <c r="B68" s="176" t="s">
        <v>20</v>
      </c>
      <c r="C68" s="169" t="s">
        <v>106</v>
      </c>
      <c r="D68" s="171">
        <v>0</v>
      </c>
      <c r="E68" s="171">
        <v>0</v>
      </c>
      <c r="F68" s="171">
        <v>0</v>
      </c>
      <c r="G68" s="171">
        <v>0</v>
      </c>
      <c r="H68" s="171">
        <v>0</v>
      </c>
      <c r="I68" s="171">
        <v>0</v>
      </c>
      <c r="J68" s="171">
        <v>0</v>
      </c>
      <c r="K68" s="171">
        <v>0</v>
      </c>
      <c r="L68" s="171"/>
      <c r="M68" s="171"/>
    </row>
    <row r="69" spans="1:13" ht="15.6">
      <c r="A69" s="175">
        <v>313</v>
      </c>
      <c r="B69" s="176" t="s">
        <v>221</v>
      </c>
      <c r="C69" s="169" t="s">
        <v>553</v>
      </c>
      <c r="D69" s="171">
        <v>0</v>
      </c>
      <c r="E69" s="171">
        <v>0</v>
      </c>
      <c r="F69" s="171">
        <v>0</v>
      </c>
      <c r="G69" s="171">
        <v>0</v>
      </c>
      <c r="H69" s="171">
        <v>0</v>
      </c>
      <c r="I69" s="171">
        <v>0</v>
      </c>
      <c r="J69" s="171">
        <v>0</v>
      </c>
      <c r="K69" s="171">
        <v>0</v>
      </c>
      <c r="L69" s="171"/>
      <c r="M69" s="171"/>
    </row>
    <row r="70" spans="1:13" ht="15.6">
      <c r="A70" s="175">
        <v>2631</v>
      </c>
      <c r="B70" s="176" t="s">
        <v>280</v>
      </c>
      <c r="C70" s="169" t="s">
        <v>106</v>
      </c>
      <c r="D70" s="171">
        <v>0</v>
      </c>
      <c r="E70" s="171">
        <v>0</v>
      </c>
      <c r="F70" s="171">
        <v>0</v>
      </c>
      <c r="G70" s="171">
        <v>0</v>
      </c>
      <c r="H70" s="171">
        <v>0</v>
      </c>
      <c r="I70" s="171">
        <v>0</v>
      </c>
      <c r="J70" s="171">
        <v>0</v>
      </c>
      <c r="K70" s="171">
        <v>0</v>
      </c>
      <c r="L70" s="171"/>
      <c r="M70" s="171"/>
    </row>
    <row r="71" spans="1:13" ht="15.6">
      <c r="A71" s="175">
        <v>312</v>
      </c>
      <c r="B71" s="176" t="s">
        <v>231</v>
      </c>
      <c r="C71" s="169" t="s">
        <v>106</v>
      </c>
      <c r="D71" s="171">
        <v>0</v>
      </c>
      <c r="E71" s="171">
        <v>0</v>
      </c>
      <c r="F71" s="171">
        <v>0</v>
      </c>
      <c r="G71" s="171">
        <v>0</v>
      </c>
      <c r="H71" s="171">
        <v>0</v>
      </c>
      <c r="I71" s="171">
        <v>0</v>
      </c>
      <c r="J71" s="171">
        <v>0</v>
      </c>
      <c r="K71" s="171">
        <v>0</v>
      </c>
      <c r="L71" s="171"/>
      <c r="M71" s="171"/>
    </row>
    <row r="72" spans="1:13" ht="15.6">
      <c r="A72" s="175">
        <v>2536</v>
      </c>
      <c r="B72" s="176" t="s">
        <v>281</v>
      </c>
      <c r="C72" s="169" t="s">
        <v>106</v>
      </c>
      <c r="D72" s="171">
        <v>0</v>
      </c>
      <c r="E72" s="171">
        <v>0</v>
      </c>
      <c r="F72" s="171">
        <v>0</v>
      </c>
      <c r="G72" s="171">
        <v>0</v>
      </c>
      <c r="H72" s="171">
        <v>0</v>
      </c>
      <c r="I72" s="171">
        <v>0</v>
      </c>
      <c r="J72" s="171">
        <v>0</v>
      </c>
      <c r="K72" s="171">
        <v>0</v>
      </c>
      <c r="L72" s="171"/>
      <c r="M72" s="171"/>
    </row>
    <row r="73" spans="1:13" ht="15.6">
      <c r="A73" s="175">
        <v>293</v>
      </c>
      <c r="B73" s="176" t="s">
        <v>282</v>
      </c>
      <c r="C73" s="169" t="s">
        <v>119</v>
      </c>
      <c r="D73" s="171">
        <v>0</v>
      </c>
      <c r="E73" s="171">
        <v>0</v>
      </c>
      <c r="F73" s="171">
        <v>0</v>
      </c>
      <c r="G73" s="171">
        <v>0</v>
      </c>
      <c r="H73" s="171">
        <v>0</v>
      </c>
      <c r="I73" s="171">
        <v>0</v>
      </c>
      <c r="J73" s="171">
        <v>0</v>
      </c>
      <c r="K73" s="171">
        <v>0</v>
      </c>
      <c r="L73" s="171"/>
      <c r="M73" s="171"/>
    </row>
    <row r="74" spans="1:13" ht="15.6">
      <c r="A74" s="175">
        <v>2340</v>
      </c>
      <c r="B74" s="176" t="s">
        <v>283</v>
      </c>
      <c r="C74" s="169" t="s">
        <v>119</v>
      </c>
      <c r="D74" s="171">
        <v>0</v>
      </c>
      <c r="E74" s="171">
        <v>0</v>
      </c>
      <c r="F74" s="171">
        <v>0</v>
      </c>
      <c r="G74" s="171">
        <v>0</v>
      </c>
      <c r="H74" s="171">
        <v>0</v>
      </c>
      <c r="I74" s="171">
        <v>0</v>
      </c>
      <c r="J74" s="171">
        <v>0</v>
      </c>
      <c r="K74" s="171">
        <v>0</v>
      </c>
      <c r="L74" s="171"/>
      <c r="M74" s="171"/>
    </row>
    <row r="75" spans="1:13" ht="15.6">
      <c r="A75" s="175">
        <v>2136</v>
      </c>
      <c r="B75" s="176" t="s">
        <v>232</v>
      </c>
      <c r="C75" s="169" t="s">
        <v>106</v>
      </c>
      <c r="D75" s="171">
        <v>0</v>
      </c>
      <c r="E75" s="171">
        <v>0</v>
      </c>
      <c r="F75" s="171">
        <v>0</v>
      </c>
      <c r="G75" s="171">
        <v>0</v>
      </c>
      <c r="H75" s="171">
        <v>0</v>
      </c>
      <c r="I75" s="171">
        <v>0</v>
      </c>
      <c r="J75" s="171">
        <v>0</v>
      </c>
      <c r="K75" s="171">
        <v>0</v>
      </c>
      <c r="L75" s="171"/>
      <c r="M75" s="171"/>
    </row>
    <row r="76" spans="1:13" ht="15.6">
      <c r="A76" s="175">
        <v>338</v>
      </c>
      <c r="B76" s="176" t="s">
        <v>24</v>
      </c>
      <c r="C76" s="169" t="s">
        <v>106</v>
      </c>
      <c r="D76" s="171">
        <v>1</v>
      </c>
      <c r="E76" s="171">
        <v>9</v>
      </c>
      <c r="F76" s="171">
        <v>3</v>
      </c>
      <c r="G76" s="171">
        <v>6</v>
      </c>
      <c r="H76" s="171">
        <v>4</v>
      </c>
      <c r="I76" s="171">
        <v>14</v>
      </c>
      <c r="J76" s="171">
        <v>0</v>
      </c>
      <c r="K76" s="171">
        <v>10</v>
      </c>
      <c r="L76" s="171"/>
      <c r="M76" s="171"/>
    </row>
    <row r="77" spans="1:13" ht="15.6">
      <c r="A77" s="175">
        <v>345</v>
      </c>
      <c r="B77" s="176" t="s">
        <v>284</v>
      </c>
      <c r="C77" s="169" t="s">
        <v>106</v>
      </c>
      <c r="D77" s="171">
        <v>0</v>
      </c>
      <c r="E77" s="171">
        <v>0</v>
      </c>
      <c r="F77" s="171">
        <v>0</v>
      </c>
      <c r="G77" s="171">
        <v>0</v>
      </c>
      <c r="H77" s="171">
        <v>0</v>
      </c>
      <c r="I77" s="171">
        <v>0</v>
      </c>
      <c r="J77" s="171">
        <v>0</v>
      </c>
      <c r="K77" s="171">
        <v>0</v>
      </c>
      <c r="L77" s="171"/>
      <c r="M77" s="171"/>
    </row>
    <row r="78" spans="1:13" ht="15.6">
      <c r="A78" s="175">
        <v>2537</v>
      </c>
      <c r="B78" s="176" t="s">
        <v>21</v>
      </c>
      <c r="C78" s="169" t="s">
        <v>133</v>
      </c>
      <c r="D78" s="171">
        <v>0</v>
      </c>
      <c r="E78" s="171">
        <v>0</v>
      </c>
      <c r="F78" s="171">
        <v>0</v>
      </c>
      <c r="G78" s="171">
        <v>0</v>
      </c>
      <c r="H78" s="171">
        <v>0</v>
      </c>
      <c r="I78" s="171">
        <v>0</v>
      </c>
      <c r="J78" s="171">
        <v>0</v>
      </c>
      <c r="K78" s="171">
        <v>0</v>
      </c>
      <c r="L78" s="171"/>
      <c r="M78" s="171"/>
    </row>
    <row r="79" spans="1:13" ht="15.6">
      <c r="A79" s="175">
        <v>281</v>
      </c>
      <c r="B79" s="176" t="s">
        <v>22</v>
      </c>
      <c r="C79" s="169" t="s">
        <v>133</v>
      </c>
      <c r="D79" s="171">
        <v>0</v>
      </c>
      <c r="E79" s="171">
        <v>0</v>
      </c>
      <c r="F79" s="171">
        <v>0</v>
      </c>
      <c r="G79" s="171">
        <v>0</v>
      </c>
      <c r="H79" s="171">
        <v>0</v>
      </c>
      <c r="I79" s="171">
        <v>0</v>
      </c>
      <c r="J79" s="171">
        <v>0</v>
      </c>
      <c r="K79" s="171">
        <v>0</v>
      </c>
      <c r="L79" s="171"/>
      <c r="M79" s="171"/>
    </row>
    <row r="80" spans="1:13" ht="15.6">
      <c r="A80" s="175">
        <v>2538</v>
      </c>
      <c r="B80" s="176" t="s">
        <v>65</v>
      </c>
      <c r="C80" s="169" t="s">
        <v>121</v>
      </c>
      <c r="D80" s="171">
        <v>0</v>
      </c>
      <c r="E80" s="171">
        <v>0</v>
      </c>
      <c r="F80" s="171">
        <v>0</v>
      </c>
      <c r="G80" s="171">
        <v>0</v>
      </c>
      <c r="H80" s="171">
        <v>0</v>
      </c>
      <c r="I80" s="171">
        <v>0</v>
      </c>
      <c r="J80" s="171">
        <v>0</v>
      </c>
      <c r="K80" s="171">
        <v>0</v>
      </c>
      <c r="L80" s="171"/>
      <c r="M80" s="171"/>
    </row>
    <row r="81" spans="1:13" ht="15.6">
      <c r="A81" s="175">
        <v>306</v>
      </c>
      <c r="B81" s="176" t="s">
        <v>58</v>
      </c>
      <c r="C81" s="169" t="s">
        <v>121</v>
      </c>
      <c r="D81" s="171">
        <v>0</v>
      </c>
      <c r="E81" s="171">
        <v>0</v>
      </c>
      <c r="F81" s="171">
        <v>0</v>
      </c>
      <c r="G81" s="171">
        <v>0</v>
      </c>
      <c r="H81" s="171">
        <v>0</v>
      </c>
      <c r="I81" s="171">
        <v>0</v>
      </c>
      <c r="J81" s="171">
        <v>0</v>
      </c>
      <c r="K81" s="171">
        <v>0</v>
      </c>
      <c r="L81" s="171"/>
      <c r="M81" s="171"/>
    </row>
    <row r="82" spans="1:13" ht="15.6">
      <c r="A82" s="175">
        <v>305</v>
      </c>
      <c r="B82" s="176" t="s">
        <v>285</v>
      </c>
      <c r="C82" s="169" t="s">
        <v>121</v>
      </c>
      <c r="D82" s="171">
        <v>0</v>
      </c>
      <c r="E82" s="171">
        <v>38</v>
      </c>
      <c r="F82" s="171">
        <v>0</v>
      </c>
      <c r="G82" s="171">
        <v>38</v>
      </c>
      <c r="H82" s="171">
        <v>0</v>
      </c>
      <c r="I82" s="171">
        <v>38</v>
      </c>
      <c r="J82" s="171">
        <v>0</v>
      </c>
      <c r="K82" s="171">
        <v>38</v>
      </c>
      <c r="L82" s="171"/>
      <c r="M82" s="171"/>
    </row>
    <row r="83" spans="1:13" ht="15.6">
      <c r="A83" s="175">
        <v>336</v>
      </c>
      <c r="B83" s="176" t="s">
        <v>17</v>
      </c>
      <c r="C83" s="169" t="s">
        <v>106</v>
      </c>
      <c r="D83" s="171">
        <v>0</v>
      </c>
      <c r="E83" s="171">
        <v>0</v>
      </c>
      <c r="F83" s="171">
        <v>0</v>
      </c>
      <c r="G83" s="171">
        <v>0</v>
      </c>
      <c r="H83" s="171">
        <v>0</v>
      </c>
      <c r="I83" s="171">
        <v>0</v>
      </c>
      <c r="J83" s="171">
        <v>0</v>
      </c>
      <c r="K83" s="171">
        <v>0</v>
      </c>
      <c r="L83" s="171"/>
      <c r="M83" s="171"/>
    </row>
    <row r="84" spans="1:13" ht="15.6">
      <c r="A84" s="175">
        <v>1972</v>
      </c>
      <c r="B84" s="176" t="s">
        <v>286</v>
      </c>
      <c r="C84" s="169" t="s">
        <v>106</v>
      </c>
      <c r="D84" s="171">
        <v>0</v>
      </c>
      <c r="E84" s="171">
        <v>0</v>
      </c>
      <c r="F84" s="171">
        <v>0</v>
      </c>
      <c r="G84" s="171">
        <v>0</v>
      </c>
      <c r="H84" s="171">
        <v>0</v>
      </c>
      <c r="I84" s="171">
        <v>0</v>
      </c>
      <c r="J84" s="171">
        <v>0</v>
      </c>
      <c r="K84" s="171">
        <v>0</v>
      </c>
      <c r="L84" s="171"/>
      <c r="M84" s="171"/>
    </row>
    <row r="85" spans="1:13" ht="15.6">
      <c r="A85" s="175">
        <v>309</v>
      </c>
      <c r="B85" s="176" t="s">
        <v>287</v>
      </c>
      <c r="C85" s="169" t="s">
        <v>561</v>
      </c>
      <c r="D85" s="171">
        <v>0</v>
      </c>
      <c r="E85" s="171">
        <v>0</v>
      </c>
      <c r="F85" s="171">
        <v>0</v>
      </c>
      <c r="G85" s="171">
        <v>0</v>
      </c>
      <c r="H85" s="171">
        <v>0</v>
      </c>
      <c r="I85" s="171">
        <v>0</v>
      </c>
      <c r="J85" s="171">
        <v>0</v>
      </c>
      <c r="K85" s="171">
        <v>0</v>
      </c>
      <c r="L85" s="171"/>
      <c r="M85" s="171"/>
    </row>
    <row r="86" spans="1:13" ht="15.6">
      <c r="A86" s="175">
        <v>333</v>
      </c>
      <c r="B86" s="176" t="s">
        <v>288</v>
      </c>
      <c r="C86" s="169" t="s">
        <v>106</v>
      </c>
      <c r="D86" s="171">
        <v>0</v>
      </c>
      <c r="E86" s="171">
        <v>0</v>
      </c>
      <c r="F86" s="171">
        <v>0</v>
      </c>
      <c r="G86" s="171">
        <v>0</v>
      </c>
      <c r="H86" s="171">
        <v>0</v>
      </c>
      <c r="I86" s="171">
        <v>0</v>
      </c>
      <c r="J86" s="171">
        <v>0</v>
      </c>
      <c r="K86" s="171">
        <v>0</v>
      </c>
      <c r="L86" s="171"/>
      <c r="M86" s="171"/>
    </row>
    <row r="87" spans="1:13" ht="15.6">
      <c r="A87" s="175">
        <v>307</v>
      </c>
      <c r="B87" s="176" t="s">
        <v>26</v>
      </c>
      <c r="C87" s="169" t="s">
        <v>121</v>
      </c>
      <c r="D87" s="171">
        <v>0</v>
      </c>
      <c r="E87" s="171">
        <v>0</v>
      </c>
      <c r="F87" s="171">
        <v>0</v>
      </c>
      <c r="G87" s="171">
        <v>0</v>
      </c>
      <c r="H87" s="171">
        <v>0</v>
      </c>
      <c r="I87" s="171">
        <v>0</v>
      </c>
      <c r="J87" s="171">
        <v>0</v>
      </c>
      <c r="K87" s="171">
        <v>0</v>
      </c>
      <c r="L87" s="171"/>
      <c r="M87" s="171"/>
    </row>
    <row r="88" spans="1:13" ht="15.6">
      <c r="A88" s="175">
        <v>308</v>
      </c>
      <c r="B88" s="176" t="s">
        <v>27</v>
      </c>
      <c r="C88" s="169" t="s">
        <v>562</v>
      </c>
      <c r="D88" s="171">
        <v>0</v>
      </c>
      <c r="E88" s="171">
        <v>0</v>
      </c>
      <c r="F88" s="171">
        <v>0</v>
      </c>
      <c r="G88" s="171">
        <v>0</v>
      </c>
      <c r="H88" s="171">
        <v>0</v>
      </c>
      <c r="I88" s="171">
        <v>0</v>
      </c>
      <c r="J88" s="171">
        <v>0</v>
      </c>
      <c r="K88" s="171">
        <v>0</v>
      </c>
      <c r="L88" s="171"/>
      <c r="M88" s="171"/>
    </row>
    <row r="89" spans="1:13" ht="15.6">
      <c r="A89" s="175">
        <v>341</v>
      </c>
      <c r="B89" s="176" t="s">
        <v>289</v>
      </c>
      <c r="C89" s="169" t="s">
        <v>106</v>
      </c>
      <c r="D89" s="171">
        <v>0</v>
      </c>
      <c r="E89" s="171">
        <v>0</v>
      </c>
      <c r="F89" s="171">
        <v>0</v>
      </c>
      <c r="G89" s="171">
        <v>0</v>
      </c>
      <c r="H89" s="171">
        <v>0</v>
      </c>
      <c r="I89" s="171">
        <v>0</v>
      </c>
      <c r="J89" s="171">
        <v>0</v>
      </c>
      <c r="K89" s="171">
        <v>0</v>
      </c>
      <c r="L89" s="171"/>
      <c r="M89" s="171"/>
    </row>
    <row r="90" spans="1:13" ht="15.6">
      <c r="A90" s="175">
        <v>339</v>
      </c>
      <c r="B90" s="176" t="s">
        <v>81</v>
      </c>
      <c r="C90" s="169" t="s">
        <v>106</v>
      </c>
      <c r="D90" s="171">
        <v>0</v>
      </c>
      <c r="E90" s="171">
        <v>0</v>
      </c>
      <c r="F90" s="171">
        <v>0</v>
      </c>
      <c r="G90" s="171">
        <v>0</v>
      </c>
      <c r="H90" s="171">
        <v>0</v>
      </c>
      <c r="I90" s="171">
        <v>0</v>
      </c>
      <c r="J90" s="171">
        <v>0</v>
      </c>
      <c r="K90" s="171">
        <v>0</v>
      </c>
      <c r="L90" s="171"/>
      <c r="M90" s="171"/>
    </row>
    <row r="91" spans="1:13" ht="15.6">
      <c r="A91" s="175">
        <v>342</v>
      </c>
      <c r="B91" s="176" t="s">
        <v>203</v>
      </c>
      <c r="C91" s="169" t="s">
        <v>106</v>
      </c>
      <c r="D91" s="171">
        <v>0</v>
      </c>
      <c r="E91" s="171">
        <v>0</v>
      </c>
      <c r="F91" s="171">
        <v>0</v>
      </c>
      <c r="G91" s="171">
        <v>0</v>
      </c>
      <c r="H91" s="171">
        <v>0</v>
      </c>
      <c r="I91" s="171">
        <v>0</v>
      </c>
      <c r="J91" s="171">
        <v>0</v>
      </c>
      <c r="K91" s="171">
        <v>0</v>
      </c>
      <c r="L91" s="171"/>
      <c r="M91" s="171"/>
    </row>
    <row r="92" spans="1:13" ht="15.6">
      <c r="A92" s="175">
        <v>343</v>
      </c>
      <c r="B92" s="176" t="s">
        <v>290</v>
      </c>
      <c r="C92" s="169" t="s">
        <v>106</v>
      </c>
      <c r="D92" s="171">
        <v>0</v>
      </c>
      <c r="E92" s="171">
        <v>0</v>
      </c>
      <c r="F92" s="171">
        <v>0</v>
      </c>
      <c r="G92" s="171">
        <v>0</v>
      </c>
      <c r="H92" s="171">
        <v>0</v>
      </c>
      <c r="I92" s="171">
        <v>0</v>
      </c>
      <c r="J92" s="171">
        <v>0</v>
      </c>
      <c r="K92" s="171">
        <v>0</v>
      </c>
      <c r="L92" s="171"/>
      <c r="M92" s="171"/>
    </row>
    <row r="93" spans="1:13" ht="15.6">
      <c r="A93" s="175">
        <v>310</v>
      </c>
      <c r="B93" s="176" t="s">
        <v>30</v>
      </c>
      <c r="C93" s="169" t="s">
        <v>121</v>
      </c>
      <c r="D93" s="171">
        <v>0</v>
      </c>
      <c r="E93" s="171">
        <v>0</v>
      </c>
      <c r="F93" s="171">
        <v>0</v>
      </c>
      <c r="G93" s="171">
        <v>0</v>
      </c>
      <c r="H93" s="171">
        <v>0</v>
      </c>
      <c r="I93" s="171">
        <v>0</v>
      </c>
      <c r="J93" s="171">
        <v>0</v>
      </c>
      <c r="K93" s="171">
        <v>0</v>
      </c>
      <c r="L93" s="171"/>
      <c r="M93" s="171"/>
    </row>
    <row r="94" spans="1:13" ht="15.6">
      <c r="A94" s="175">
        <v>334</v>
      </c>
      <c r="B94" s="176" t="s">
        <v>291</v>
      </c>
      <c r="C94" s="169" t="s">
        <v>106</v>
      </c>
      <c r="D94" s="171">
        <v>0</v>
      </c>
      <c r="E94" s="171">
        <v>0</v>
      </c>
      <c r="F94" s="171">
        <v>0</v>
      </c>
      <c r="G94" s="171">
        <v>0</v>
      </c>
      <c r="H94" s="171">
        <v>0</v>
      </c>
      <c r="I94" s="171">
        <v>0</v>
      </c>
      <c r="J94" s="171">
        <v>0</v>
      </c>
      <c r="K94" s="171">
        <v>0</v>
      </c>
      <c r="L94" s="171"/>
      <c r="M94" s="171"/>
    </row>
    <row r="95" spans="1:13" ht="15.6">
      <c r="A95" s="175">
        <v>300</v>
      </c>
      <c r="B95" s="176" t="s">
        <v>19</v>
      </c>
      <c r="C95" s="169" t="s">
        <v>133</v>
      </c>
      <c r="D95" s="171">
        <v>0</v>
      </c>
      <c r="E95" s="171">
        <v>0</v>
      </c>
      <c r="F95" s="171">
        <v>0</v>
      </c>
      <c r="G95" s="171">
        <v>0</v>
      </c>
      <c r="H95" s="171">
        <v>0</v>
      </c>
      <c r="I95" s="171">
        <v>0</v>
      </c>
      <c r="J95" s="171">
        <v>0</v>
      </c>
      <c r="K95" s="171">
        <v>0</v>
      </c>
      <c r="L95" s="171"/>
      <c r="M95" s="171"/>
    </row>
    <row r="96" spans="1:13" ht="15.6">
      <c r="A96" s="175">
        <v>301</v>
      </c>
      <c r="B96" s="176" t="s">
        <v>15</v>
      </c>
      <c r="C96" s="169" t="s">
        <v>133</v>
      </c>
      <c r="D96" s="171">
        <v>7</v>
      </c>
      <c r="E96" s="171">
        <v>4</v>
      </c>
      <c r="F96" s="171"/>
      <c r="G96" s="171"/>
      <c r="H96" s="171">
        <v>3</v>
      </c>
      <c r="I96" s="171">
        <v>14</v>
      </c>
      <c r="J96" s="171">
        <v>0</v>
      </c>
      <c r="K96" s="171">
        <v>11</v>
      </c>
      <c r="L96" s="171"/>
      <c r="M96" s="171"/>
    </row>
    <row r="97" spans="1:13" ht="15.6">
      <c r="A97" s="175">
        <v>311</v>
      </c>
      <c r="B97" s="176" t="s">
        <v>292</v>
      </c>
      <c r="C97" s="169" t="s">
        <v>133</v>
      </c>
      <c r="D97" s="171">
        <v>0</v>
      </c>
      <c r="E97" s="171">
        <v>0</v>
      </c>
      <c r="F97" s="171">
        <v>0</v>
      </c>
      <c r="G97" s="171">
        <v>0</v>
      </c>
      <c r="H97" s="171">
        <v>0</v>
      </c>
      <c r="I97" s="171">
        <v>0</v>
      </c>
      <c r="J97" s="171">
        <v>0</v>
      </c>
      <c r="K97" s="171">
        <v>0</v>
      </c>
      <c r="L97" s="171"/>
      <c r="M97" s="171"/>
    </row>
    <row r="98" spans="1:13" ht="15.6">
      <c r="A98" s="175">
        <v>344</v>
      </c>
      <c r="B98" s="176" t="s">
        <v>293</v>
      </c>
      <c r="C98" s="169" t="s">
        <v>106</v>
      </c>
      <c r="D98" s="171">
        <v>0</v>
      </c>
      <c r="E98" s="171">
        <v>0</v>
      </c>
      <c r="F98" s="171">
        <v>0</v>
      </c>
      <c r="G98" s="171">
        <v>0</v>
      </c>
      <c r="H98" s="171">
        <v>0</v>
      </c>
      <c r="I98" s="171">
        <v>0</v>
      </c>
      <c r="J98" s="171">
        <v>0</v>
      </c>
      <c r="K98" s="171">
        <v>0</v>
      </c>
      <c r="L98" s="171"/>
      <c r="M98" s="171"/>
    </row>
  </sheetData>
  <mergeCells count="25">
    <mergeCell ref="L21:M21"/>
    <mergeCell ref="A2:C2"/>
    <mergeCell ref="D3:E3"/>
    <mergeCell ref="F3:G3"/>
    <mergeCell ref="H3:I3"/>
    <mergeCell ref="J3:K3"/>
    <mergeCell ref="L3:M3"/>
    <mergeCell ref="A4:B4"/>
    <mergeCell ref="D21:E21"/>
    <mergeCell ref="F21:G21"/>
    <mergeCell ref="H21:I21"/>
    <mergeCell ref="J21:K21"/>
    <mergeCell ref="J59:K59"/>
    <mergeCell ref="L59:M59"/>
    <mergeCell ref="A22:B22"/>
    <mergeCell ref="D40:E40"/>
    <mergeCell ref="F40:G40"/>
    <mergeCell ref="H40:I40"/>
    <mergeCell ref="J40:K40"/>
    <mergeCell ref="L40:M40"/>
    <mergeCell ref="A60:B60"/>
    <mergeCell ref="A41:B41"/>
    <mergeCell ref="D59:E59"/>
    <mergeCell ref="F59:G59"/>
    <mergeCell ref="H59:I5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0850-236D-49AE-8EAF-5E92EF52248D}">
  <dimension ref="A1:E95"/>
  <sheetViews>
    <sheetView topLeftCell="A30" zoomScale="85" zoomScaleNormal="85" workbookViewId="0">
      <selection activeCell="A54" sqref="A54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542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66" t="s">
        <v>570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34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17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55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200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62" t="str">
        <f>D3</f>
        <v>SEPTEMBER 2023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1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SEPTEMBER 2023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3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3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3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2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2</v>
      </c>
      <c r="E53" s="230">
        <v>0</v>
      </c>
    </row>
    <row r="54" spans="1:5" ht="15" customHeight="1">
      <c r="A54" s="291"/>
      <c r="B54" s="292"/>
      <c r="C54" s="291"/>
    </row>
    <row r="55" spans="1:5" ht="15" customHeight="1">
      <c r="A55" s="239"/>
      <c r="C55" s="239"/>
    </row>
    <row r="56" spans="1:5" ht="15" customHeight="1">
      <c r="A56" s="233" t="s">
        <v>544</v>
      </c>
      <c r="B56" s="234" t="s">
        <v>545</v>
      </c>
      <c r="C56" s="233" t="s">
        <v>546</v>
      </c>
      <c r="D56" s="165" t="str">
        <f>D38</f>
        <v>SEPTEMBER 2023</v>
      </c>
      <c r="E56" s="165"/>
    </row>
    <row r="57" spans="1:5" ht="15" customHeight="1">
      <c r="A57" s="240" t="s">
        <v>559</v>
      </c>
      <c r="B57" s="240"/>
      <c r="C57" s="235"/>
      <c r="D57" s="165" t="s">
        <v>549</v>
      </c>
      <c r="E57" s="165" t="s">
        <v>550</v>
      </c>
    </row>
    <row r="58" spans="1:5" ht="15" customHeight="1">
      <c r="A58" s="227">
        <v>2617</v>
      </c>
      <c r="B58" s="227" t="s">
        <v>29</v>
      </c>
      <c r="C58" s="236" t="s">
        <v>560</v>
      </c>
      <c r="D58" s="230">
        <v>0</v>
      </c>
      <c r="E58" s="230">
        <v>0</v>
      </c>
    </row>
    <row r="59" spans="1:5" ht="15" customHeight="1">
      <c r="A59" s="227">
        <v>2618</v>
      </c>
      <c r="B59" s="227" t="s">
        <v>63</v>
      </c>
      <c r="C59" s="236" t="s">
        <v>119</v>
      </c>
      <c r="D59" s="230">
        <v>15</v>
      </c>
      <c r="E59" s="230">
        <v>15</v>
      </c>
    </row>
    <row r="60" spans="1:5" ht="15" customHeight="1">
      <c r="A60" s="227">
        <v>337</v>
      </c>
      <c r="B60" s="227" t="s">
        <v>18</v>
      </c>
      <c r="C60" s="236" t="s">
        <v>106</v>
      </c>
      <c r="D60" s="230">
        <v>0</v>
      </c>
      <c r="E60" s="230">
        <v>0</v>
      </c>
    </row>
    <row r="61" spans="1:5" ht="15" customHeight="1">
      <c r="A61" s="227">
        <v>2551</v>
      </c>
      <c r="B61" s="227" t="s">
        <v>279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2550</v>
      </c>
      <c r="B62" s="227" t="s">
        <v>25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2552</v>
      </c>
      <c r="B63" s="227" t="s">
        <v>43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2546</v>
      </c>
      <c r="B64" s="227" t="s">
        <v>66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1960</v>
      </c>
      <c r="B65" s="227" t="s">
        <v>20</v>
      </c>
      <c r="C65" s="236" t="s">
        <v>106</v>
      </c>
      <c r="D65" s="230">
        <v>0</v>
      </c>
      <c r="E65" s="230">
        <v>0</v>
      </c>
    </row>
    <row r="66" spans="1:5" ht="15" customHeight="1">
      <c r="A66" s="227">
        <v>313</v>
      </c>
      <c r="B66" s="227" t="s">
        <v>221</v>
      </c>
      <c r="C66" s="236" t="s">
        <v>553</v>
      </c>
      <c r="D66" s="230">
        <v>0</v>
      </c>
      <c r="E66" s="230">
        <v>0</v>
      </c>
    </row>
    <row r="67" spans="1:5" ht="15" customHeight="1">
      <c r="A67" s="227">
        <v>2631</v>
      </c>
      <c r="B67" s="227" t="s">
        <v>280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312</v>
      </c>
      <c r="B68" s="227" t="s">
        <v>231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2536</v>
      </c>
      <c r="B69" s="227" t="s">
        <v>281</v>
      </c>
      <c r="C69" s="236" t="s">
        <v>106</v>
      </c>
      <c r="D69" s="230">
        <v>0</v>
      </c>
      <c r="E69" s="230">
        <v>0</v>
      </c>
    </row>
    <row r="70" spans="1:5" ht="15" customHeight="1">
      <c r="A70" s="227">
        <v>293</v>
      </c>
      <c r="B70" s="227" t="s">
        <v>282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2340</v>
      </c>
      <c r="B71" s="227" t="s">
        <v>283</v>
      </c>
      <c r="C71" s="236" t="s">
        <v>119</v>
      </c>
      <c r="D71" s="230">
        <v>0</v>
      </c>
      <c r="E71" s="230">
        <v>0</v>
      </c>
    </row>
    <row r="72" spans="1:5" ht="15" customHeight="1">
      <c r="A72" s="227">
        <v>2136</v>
      </c>
      <c r="B72" s="227" t="s">
        <v>232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338</v>
      </c>
      <c r="B73" s="227" t="s">
        <v>24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345</v>
      </c>
      <c r="B74" s="227" t="s">
        <v>284</v>
      </c>
      <c r="C74" s="236" t="s">
        <v>106</v>
      </c>
      <c r="D74" s="230">
        <v>0</v>
      </c>
      <c r="E74" s="230">
        <v>0</v>
      </c>
    </row>
    <row r="75" spans="1:5" ht="15" customHeight="1">
      <c r="A75" s="227">
        <v>2537</v>
      </c>
      <c r="B75" s="227" t="s">
        <v>21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281</v>
      </c>
      <c r="B76" s="227" t="s">
        <v>22</v>
      </c>
      <c r="C76" s="236" t="s">
        <v>133</v>
      </c>
      <c r="D76" s="230">
        <v>0</v>
      </c>
      <c r="E76" s="230">
        <v>0</v>
      </c>
    </row>
    <row r="77" spans="1:5" ht="15" customHeight="1">
      <c r="A77" s="227">
        <v>2538</v>
      </c>
      <c r="B77" s="227" t="s">
        <v>65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306</v>
      </c>
      <c r="B78" s="227" t="s">
        <v>58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305</v>
      </c>
      <c r="B79" s="227" t="s">
        <v>285</v>
      </c>
      <c r="C79" s="236" t="s">
        <v>121</v>
      </c>
      <c r="D79" s="230">
        <v>0</v>
      </c>
      <c r="E79" s="230">
        <v>0</v>
      </c>
    </row>
    <row r="80" spans="1:5" ht="15" customHeight="1">
      <c r="A80" s="227">
        <v>336</v>
      </c>
      <c r="B80" s="227" t="s">
        <v>17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1972</v>
      </c>
      <c r="B81" s="227" t="s">
        <v>286</v>
      </c>
      <c r="C81" s="236" t="s">
        <v>106</v>
      </c>
      <c r="D81" s="230">
        <v>0</v>
      </c>
      <c r="E81" s="230">
        <v>0</v>
      </c>
    </row>
    <row r="82" spans="1:5" ht="15" customHeight="1">
      <c r="A82" s="227">
        <v>309</v>
      </c>
      <c r="B82" s="227" t="s">
        <v>287</v>
      </c>
      <c r="C82" s="236" t="s">
        <v>561</v>
      </c>
      <c r="D82" s="230">
        <v>0</v>
      </c>
      <c r="E82" s="230">
        <v>0</v>
      </c>
    </row>
    <row r="83" spans="1:5" ht="15" customHeight="1">
      <c r="A83" s="227">
        <v>333</v>
      </c>
      <c r="B83" s="227" t="s">
        <v>288</v>
      </c>
      <c r="C83" s="236" t="s">
        <v>106</v>
      </c>
      <c r="D83" s="230">
        <v>0</v>
      </c>
      <c r="E83" s="230">
        <v>0</v>
      </c>
    </row>
    <row r="84" spans="1:5" ht="15" customHeight="1">
      <c r="A84" s="227">
        <v>307</v>
      </c>
      <c r="B84" s="227" t="s">
        <v>26</v>
      </c>
      <c r="C84" s="236" t="s">
        <v>121</v>
      </c>
      <c r="D84" s="230">
        <v>0</v>
      </c>
      <c r="E84" s="230">
        <v>0</v>
      </c>
    </row>
    <row r="85" spans="1:5" ht="15" customHeight="1">
      <c r="A85" s="227">
        <v>308</v>
      </c>
      <c r="B85" s="227" t="s">
        <v>27</v>
      </c>
      <c r="C85" s="236" t="s">
        <v>562</v>
      </c>
      <c r="D85" s="230">
        <v>0</v>
      </c>
      <c r="E85" s="230">
        <v>0</v>
      </c>
    </row>
    <row r="86" spans="1:5" ht="15" customHeight="1">
      <c r="A86" s="227">
        <v>341</v>
      </c>
      <c r="B86" s="227" t="s">
        <v>289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339</v>
      </c>
      <c r="B87" s="227" t="s">
        <v>81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342</v>
      </c>
      <c r="B88" s="227" t="s">
        <v>203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343</v>
      </c>
      <c r="B89" s="227" t="s">
        <v>290</v>
      </c>
      <c r="C89" s="236" t="s">
        <v>106</v>
      </c>
      <c r="D89" s="230">
        <v>0</v>
      </c>
      <c r="E89" s="230">
        <v>0</v>
      </c>
    </row>
    <row r="90" spans="1:5" ht="15" customHeight="1">
      <c r="A90" s="227">
        <v>310</v>
      </c>
      <c r="B90" s="227" t="s">
        <v>30</v>
      </c>
      <c r="C90" s="236" t="s">
        <v>121</v>
      </c>
      <c r="D90" s="230">
        <v>0</v>
      </c>
      <c r="E90" s="230">
        <v>0</v>
      </c>
    </row>
    <row r="91" spans="1:5" ht="15" customHeight="1">
      <c r="A91" s="227">
        <v>334</v>
      </c>
      <c r="B91" s="227" t="s">
        <v>291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300</v>
      </c>
      <c r="B92" s="227" t="s">
        <v>19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301</v>
      </c>
      <c r="B93" s="227" t="s">
        <v>15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311</v>
      </c>
      <c r="B94" s="227" t="s">
        <v>292</v>
      </c>
      <c r="C94" s="236" t="s">
        <v>133</v>
      </c>
      <c r="D94" s="230">
        <v>0</v>
      </c>
      <c r="E94" s="230">
        <v>0</v>
      </c>
    </row>
    <row r="95" spans="1:5" ht="15" customHeight="1">
      <c r="A95" s="227">
        <v>344</v>
      </c>
      <c r="B95" s="227" t="s">
        <v>293</v>
      </c>
      <c r="C95" s="236" t="s">
        <v>106</v>
      </c>
      <c r="D95" s="230">
        <v>0</v>
      </c>
      <c r="E95" s="230">
        <v>0</v>
      </c>
    </row>
  </sheetData>
  <mergeCells count="1">
    <mergeCell ref="A2:C2"/>
  </mergeCells>
  <pageMargins left="0.7" right="0.7" top="0.75" bottom="0.75" header="0.3" footer="0.3"/>
  <pageSetup orientation="portrait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75"/>
  <sheetViews>
    <sheetView topLeftCell="I919" zoomScale="70" zoomScaleNormal="70" workbookViewId="0">
      <selection activeCell="O968" sqref="O968"/>
    </sheetView>
  </sheetViews>
  <sheetFormatPr defaultColWidth="8.88671875" defaultRowHeight="14.4"/>
  <cols>
    <col min="1" max="1" width="27.6640625" style="22" bestFit="1" customWidth="1"/>
    <col min="2" max="2" width="82.44140625" bestFit="1" customWidth="1"/>
    <col min="3" max="3" width="24" customWidth="1"/>
    <col min="4" max="4" width="8.6640625" bestFit="1" customWidth="1"/>
    <col min="5" max="5" width="27.6640625" style="22" bestFit="1" customWidth="1"/>
    <col min="9" max="9" width="14.33203125" style="50" customWidth="1"/>
    <col min="10" max="10" width="8.109375" style="22" customWidth="1"/>
    <col min="14" max="14" width="15.109375" bestFit="1" customWidth="1"/>
  </cols>
  <sheetData>
    <row r="1" spans="1:14">
      <c r="A1" s="243" t="s">
        <v>544</v>
      </c>
      <c r="B1" s="49" t="s">
        <v>571</v>
      </c>
      <c r="C1" t="s">
        <v>572</v>
      </c>
      <c r="E1" s="243" t="s">
        <v>544</v>
      </c>
      <c r="I1" s="50">
        <v>44197</v>
      </c>
      <c r="J1" s="22">
        <v>1</v>
      </c>
    </row>
    <row r="2" spans="1:14">
      <c r="A2" s="22">
        <v>2276</v>
      </c>
      <c r="B2" t="s">
        <v>10</v>
      </c>
      <c r="C2" t="s">
        <v>548</v>
      </c>
      <c r="D2" t="s">
        <v>104</v>
      </c>
      <c r="E2" s="22">
        <v>2276</v>
      </c>
      <c r="I2" s="50">
        <v>44198</v>
      </c>
      <c r="J2" s="22">
        <v>1</v>
      </c>
    </row>
    <row r="3" spans="1:14">
      <c r="A3" s="22">
        <v>2067</v>
      </c>
      <c r="B3" t="s">
        <v>12</v>
      </c>
      <c r="C3" t="s">
        <v>548</v>
      </c>
      <c r="D3" t="s">
        <v>104</v>
      </c>
      <c r="E3" s="22">
        <v>2067</v>
      </c>
      <c r="I3" s="50">
        <v>44199</v>
      </c>
      <c r="J3" s="22">
        <v>1</v>
      </c>
      <c r="N3" t="s">
        <v>177</v>
      </c>
    </row>
    <row r="4" spans="1:14">
      <c r="A4" s="22">
        <v>2634</v>
      </c>
      <c r="B4" t="s">
        <v>263</v>
      </c>
      <c r="C4" t="s">
        <v>548</v>
      </c>
      <c r="D4" t="s">
        <v>121</v>
      </c>
      <c r="E4" s="22">
        <v>2634</v>
      </c>
      <c r="I4" s="50">
        <v>44200</v>
      </c>
      <c r="J4" s="22">
        <v>1</v>
      </c>
      <c r="N4" t="s">
        <v>195</v>
      </c>
    </row>
    <row r="5" spans="1:14">
      <c r="A5" s="22">
        <v>5</v>
      </c>
      <c r="B5" t="s">
        <v>264</v>
      </c>
      <c r="C5" t="s">
        <v>548</v>
      </c>
      <c r="D5" t="s">
        <v>106</v>
      </c>
      <c r="E5" s="22">
        <v>5</v>
      </c>
      <c r="I5" s="50">
        <v>44201</v>
      </c>
      <c r="J5" s="22">
        <v>1</v>
      </c>
      <c r="N5" t="s">
        <v>180</v>
      </c>
    </row>
    <row r="6" spans="1:14">
      <c r="A6" s="22">
        <v>46</v>
      </c>
      <c r="B6" t="s">
        <v>14</v>
      </c>
      <c r="C6" t="s">
        <v>548</v>
      </c>
      <c r="D6" t="s">
        <v>110</v>
      </c>
      <c r="E6" s="22">
        <v>46</v>
      </c>
      <c r="I6" s="50">
        <v>44202</v>
      </c>
      <c r="J6" s="22">
        <v>1</v>
      </c>
      <c r="N6" t="s">
        <v>208</v>
      </c>
    </row>
    <row r="7" spans="1:14">
      <c r="A7" s="22">
        <v>59</v>
      </c>
      <c r="B7" t="s">
        <v>251</v>
      </c>
      <c r="C7" t="s">
        <v>548</v>
      </c>
      <c r="D7" t="s">
        <v>106</v>
      </c>
      <c r="E7" s="22">
        <v>59</v>
      </c>
      <c r="I7" s="50">
        <v>44203</v>
      </c>
      <c r="J7" s="22">
        <v>1</v>
      </c>
      <c r="N7" t="s">
        <v>178</v>
      </c>
    </row>
    <row r="8" spans="1:14">
      <c r="A8" s="22">
        <v>40</v>
      </c>
      <c r="B8" t="s">
        <v>265</v>
      </c>
      <c r="C8" t="s">
        <v>548</v>
      </c>
      <c r="D8" t="s">
        <v>121</v>
      </c>
      <c r="E8" s="22">
        <v>40</v>
      </c>
      <c r="I8" s="50">
        <v>44204</v>
      </c>
      <c r="J8" s="22">
        <v>1</v>
      </c>
      <c r="N8" t="s">
        <v>225</v>
      </c>
    </row>
    <row r="9" spans="1:14">
      <c r="A9" s="22">
        <v>1695</v>
      </c>
      <c r="B9" t="s">
        <v>266</v>
      </c>
      <c r="C9" t="s">
        <v>548</v>
      </c>
      <c r="D9" t="s">
        <v>121</v>
      </c>
      <c r="E9" s="22">
        <v>1695</v>
      </c>
      <c r="I9" s="50">
        <v>44205</v>
      </c>
      <c r="J9" s="22">
        <v>1</v>
      </c>
      <c r="N9" t="s">
        <v>239</v>
      </c>
    </row>
    <row r="10" spans="1:14">
      <c r="A10" s="22">
        <v>2366</v>
      </c>
      <c r="B10" t="s">
        <v>241</v>
      </c>
      <c r="C10" t="s">
        <v>548</v>
      </c>
      <c r="D10" t="s">
        <v>106</v>
      </c>
      <c r="E10" s="22">
        <v>2366</v>
      </c>
      <c r="I10" s="50">
        <v>44206</v>
      </c>
      <c r="J10" s="22">
        <v>1</v>
      </c>
      <c r="N10" t="s">
        <v>200</v>
      </c>
    </row>
    <row r="11" spans="1:14">
      <c r="A11" s="22">
        <v>331</v>
      </c>
      <c r="B11" t="s">
        <v>249</v>
      </c>
      <c r="C11" t="s">
        <v>548</v>
      </c>
      <c r="D11" t="s">
        <v>553</v>
      </c>
      <c r="E11" s="22">
        <v>331</v>
      </c>
      <c r="N11" t="s">
        <v>229</v>
      </c>
    </row>
    <row r="12" spans="1:14">
      <c r="A12" s="22">
        <v>330</v>
      </c>
      <c r="B12" t="s">
        <v>13</v>
      </c>
      <c r="C12" t="s">
        <v>548</v>
      </c>
      <c r="D12" t="s">
        <v>110</v>
      </c>
      <c r="E12" s="22">
        <v>330</v>
      </c>
      <c r="N12" t="s">
        <v>237</v>
      </c>
    </row>
    <row r="13" spans="1:14">
      <c r="A13" s="22">
        <v>65</v>
      </c>
      <c r="B13" t="s">
        <v>267</v>
      </c>
      <c r="C13" t="s">
        <v>548</v>
      </c>
      <c r="D13" t="s">
        <v>553</v>
      </c>
      <c r="E13" s="22">
        <v>65</v>
      </c>
      <c r="N13" t="s">
        <v>210</v>
      </c>
    </row>
    <row r="14" spans="1:14">
      <c r="N14" t="s">
        <v>240</v>
      </c>
    </row>
    <row r="15" spans="1:14">
      <c r="A15" s="22">
        <v>70</v>
      </c>
      <c r="B15" t="s">
        <v>268</v>
      </c>
      <c r="C15" t="s">
        <v>548</v>
      </c>
      <c r="D15" t="s">
        <v>106</v>
      </c>
      <c r="E15" s="22">
        <v>70</v>
      </c>
      <c r="N15" t="s">
        <v>235</v>
      </c>
    </row>
    <row r="16" spans="1:14">
      <c r="A16" s="22">
        <v>1823</v>
      </c>
      <c r="B16" t="s">
        <v>269</v>
      </c>
      <c r="C16" t="s">
        <v>548</v>
      </c>
      <c r="D16" t="s">
        <v>104</v>
      </c>
      <c r="E16" s="22">
        <v>1823</v>
      </c>
      <c r="N16" t="s">
        <v>196</v>
      </c>
    </row>
    <row r="17" spans="1:14">
      <c r="B17" t="s">
        <v>201</v>
      </c>
      <c r="D17" t="s">
        <v>234</v>
      </c>
      <c r="E17" s="22" t="s">
        <v>435</v>
      </c>
      <c r="N17" t="s">
        <v>238</v>
      </c>
    </row>
    <row r="18" spans="1:14">
      <c r="A18" s="243" t="s">
        <v>544</v>
      </c>
      <c r="B18" s="49" t="s">
        <v>350</v>
      </c>
      <c r="E18" s="243" t="s">
        <v>544</v>
      </c>
      <c r="I18" s="50">
        <v>44207</v>
      </c>
      <c r="J18" s="22">
        <v>1</v>
      </c>
    </row>
    <row r="19" spans="1:14">
      <c r="A19" s="22">
        <v>276</v>
      </c>
      <c r="B19" s="61" t="s">
        <v>573</v>
      </c>
      <c r="C19" t="s">
        <v>556</v>
      </c>
      <c r="D19" t="s">
        <v>104</v>
      </c>
      <c r="E19" s="22">
        <v>276</v>
      </c>
    </row>
    <row r="20" spans="1:14">
      <c r="B20" s="144" t="s">
        <v>574</v>
      </c>
      <c r="C20" s="144" t="s">
        <v>556</v>
      </c>
      <c r="D20" t="s">
        <v>230</v>
      </c>
      <c r="E20" s="22">
        <v>276</v>
      </c>
    </row>
    <row r="21" spans="1:14">
      <c r="B21" s="144" t="s">
        <v>35</v>
      </c>
      <c r="C21" t="s">
        <v>556</v>
      </c>
      <c r="D21" t="s">
        <v>104</v>
      </c>
    </row>
    <row r="22" spans="1:14">
      <c r="B22" s="144" t="s">
        <v>35</v>
      </c>
      <c r="C22" t="s">
        <v>556</v>
      </c>
      <c r="D22" t="s">
        <v>104</v>
      </c>
    </row>
    <row r="23" spans="1:14">
      <c r="B23" s="144" t="s">
        <v>36</v>
      </c>
      <c r="C23" t="s">
        <v>556</v>
      </c>
      <c r="D23" t="s">
        <v>104</v>
      </c>
    </row>
    <row r="24" spans="1:14">
      <c r="B24" s="144" t="s">
        <v>34</v>
      </c>
      <c r="C24" t="s">
        <v>556</v>
      </c>
      <c r="D24" t="s">
        <v>104</v>
      </c>
    </row>
    <row r="25" spans="1:14">
      <c r="B25" s="144" t="s">
        <v>33</v>
      </c>
      <c r="C25" t="s">
        <v>556</v>
      </c>
      <c r="D25" t="s">
        <v>104</v>
      </c>
    </row>
    <row r="26" spans="1:14">
      <c r="A26" s="22">
        <v>1938</v>
      </c>
      <c r="B26" t="s">
        <v>204</v>
      </c>
      <c r="C26" t="s">
        <v>556</v>
      </c>
      <c r="D26" t="s">
        <v>104</v>
      </c>
      <c r="E26" s="22">
        <v>1938</v>
      </c>
      <c r="I26" s="50">
        <v>44208</v>
      </c>
      <c r="J26" s="22">
        <v>1</v>
      </c>
    </row>
    <row r="27" spans="1:14">
      <c r="A27" s="22">
        <v>1949</v>
      </c>
      <c r="B27" t="s">
        <v>575</v>
      </c>
      <c r="C27" t="s">
        <v>556</v>
      </c>
      <c r="D27" t="s">
        <v>230</v>
      </c>
      <c r="E27" s="22">
        <v>1938</v>
      </c>
      <c r="I27" s="50">
        <v>44209</v>
      </c>
      <c r="J27" s="22">
        <v>1</v>
      </c>
    </row>
    <row r="28" spans="1:14">
      <c r="A28" s="22">
        <v>2519</v>
      </c>
      <c r="B28" t="s">
        <v>576</v>
      </c>
      <c r="C28" t="s">
        <v>556</v>
      </c>
      <c r="D28" t="s">
        <v>104</v>
      </c>
      <c r="E28" s="22">
        <v>2519</v>
      </c>
      <c r="I28" s="50">
        <v>44210</v>
      </c>
      <c r="J28" s="22">
        <v>1</v>
      </c>
    </row>
    <row r="29" spans="1:14">
      <c r="B29" t="s">
        <v>577</v>
      </c>
      <c r="C29" t="s">
        <v>556</v>
      </c>
      <c r="D29" t="s">
        <v>230</v>
      </c>
      <c r="E29" s="22">
        <v>2519</v>
      </c>
    </row>
    <row r="30" spans="1:14">
      <c r="A30" s="22">
        <v>1544</v>
      </c>
      <c r="B30" t="s">
        <v>206</v>
      </c>
      <c r="C30" t="s">
        <v>556</v>
      </c>
      <c r="D30" t="s">
        <v>104</v>
      </c>
      <c r="E30" s="22">
        <v>1544</v>
      </c>
    </row>
    <row r="31" spans="1:14">
      <c r="A31" s="22">
        <v>222</v>
      </c>
      <c r="B31" t="s">
        <v>78</v>
      </c>
      <c r="C31" t="s">
        <v>556</v>
      </c>
      <c r="D31" t="s">
        <v>230</v>
      </c>
      <c r="E31" s="22">
        <v>222</v>
      </c>
      <c r="I31" s="50">
        <v>44212</v>
      </c>
      <c r="J31" s="22">
        <v>1</v>
      </c>
    </row>
    <row r="32" spans="1:14">
      <c r="A32" s="22">
        <v>1976</v>
      </c>
      <c r="B32" t="s">
        <v>60</v>
      </c>
      <c r="C32" t="s">
        <v>556</v>
      </c>
      <c r="D32" t="s">
        <v>104</v>
      </c>
      <c r="E32" s="22">
        <v>1976</v>
      </c>
      <c r="I32" s="50">
        <v>44213</v>
      </c>
      <c r="J32" s="22">
        <v>1</v>
      </c>
    </row>
    <row r="33" spans="1:10">
      <c r="A33" s="22">
        <v>2521</v>
      </c>
      <c r="B33" t="s">
        <v>38</v>
      </c>
      <c r="C33" t="s">
        <v>556</v>
      </c>
      <c r="D33" t="s">
        <v>104</v>
      </c>
      <c r="E33" s="22">
        <v>2521</v>
      </c>
      <c r="I33" s="50">
        <v>44214</v>
      </c>
      <c r="J33" s="22">
        <v>1</v>
      </c>
    </row>
    <row r="34" spans="1:10">
      <c r="B34" s="144" t="s">
        <v>51</v>
      </c>
      <c r="C34" s="144" t="s">
        <v>556</v>
      </c>
      <c r="D34" t="s">
        <v>230</v>
      </c>
      <c r="E34" s="22">
        <v>2521</v>
      </c>
    </row>
    <row r="35" spans="1:10">
      <c r="A35" s="22">
        <v>2576</v>
      </c>
      <c r="B35" t="s">
        <v>39</v>
      </c>
      <c r="C35" t="s">
        <v>556</v>
      </c>
      <c r="D35" t="s">
        <v>104</v>
      </c>
      <c r="E35" s="22">
        <v>2576</v>
      </c>
      <c r="I35" s="50">
        <v>44215</v>
      </c>
      <c r="J35" s="22">
        <v>1</v>
      </c>
    </row>
    <row r="36" spans="1:10">
      <c r="B36" s="144" t="s">
        <v>39</v>
      </c>
      <c r="C36" s="144" t="s">
        <v>556</v>
      </c>
      <c r="D36" t="s">
        <v>230</v>
      </c>
      <c r="E36" s="22">
        <v>2576</v>
      </c>
    </row>
    <row r="37" spans="1:10">
      <c r="A37" s="22">
        <v>2399</v>
      </c>
      <c r="B37" t="s">
        <v>274</v>
      </c>
      <c r="C37" t="s">
        <v>556</v>
      </c>
      <c r="D37" t="s">
        <v>558</v>
      </c>
      <c r="E37" s="22">
        <v>2399</v>
      </c>
      <c r="I37" s="50">
        <v>44216</v>
      </c>
      <c r="J37" s="22">
        <v>1</v>
      </c>
    </row>
    <row r="38" spans="1:10">
      <c r="A38" s="22">
        <v>199</v>
      </c>
      <c r="B38" t="s">
        <v>275</v>
      </c>
      <c r="C38" t="s">
        <v>556</v>
      </c>
      <c r="D38" t="s">
        <v>230</v>
      </c>
      <c r="E38" s="22">
        <v>199</v>
      </c>
      <c r="I38" s="50">
        <v>44217</v>
      </c>
      <c r="J38" s="22">
        <v>1</v>
      </c>
    </row>
    <row r="39" spans="1:10">
      <c r="A39" s="22">
        <v>2386</v>
      </c>
      <c r="B39" t="s">
        <v>276</v>
      </c>
      <c r="C39" t="s">
        <v>556</v>
      </c>
      <c r="D39" t="s">
        <v>558</v>
      </c>
      <c r="E39" s="22">
        <v>2386</v>
      </c>
      <c r="I39" s="50">
        <v>44218</v>
      </c>
      <c r="J39" s="22">
        <v>1</v>
      </c>
    </row>
    <row r="40" spans="1:10">
      <c r="A40" s="22">
        <v>1939</v>
      </c>
      <c r="B40" t="s">
        <v>205</v>
      </c>
      <c r="C40" t="s">
        <v>556</v>
      </c>
      <c r="D40" t="s">
        <v>104</v>
      </c>
      <c r="E40" s="22">
        <v>1939</v>
      </c>
    </row>
    <row r="41" spans="1:10">
      <c r="A41" s="22">
        <v>1950</v>
      </c>
      <c r="B41" t="s">
        <v>277</v>
      </c>
      <c r="C41" t="s">
        <v>556</v>
      </c>
      <c r="D41" t="s">
        <v>104</v>
      </c>
      <c r="E41" s="22">
        <v>1950</v>
      </c>
      <c r="I41" s="50">
        <v>44219</v>
      </c>
      <c r="J41" s="22">
        <v>1</v>
      </c>
    </row>
    <row r="42" spans="1:10">
      <c r="A42" s="22">
        <v>217</v>
      </c>
      <c r="B42" t="s">
        <v>278</v>
      </c>
      <c r="C42" t="s">
        <v>556</v>
      </c>
      <c r="D42" t="s">
        <v>104</v>
      </c>
      <c r="E42" s="22">
        <v>217</v>
      </c>
      <c r="I42" s="50">
        <v>44220</v>
      </c>
      <c r="J42" s="22">
        <v>1</v>
      </c>
    </row>
    <row r="43" spans="1:10">
      <c r="A43" s="243" t="s">
        <v>544</v>
      </c>
      <c r="B43" s="49" t="s">
        <v>436</v>
      </c>
      <c r="E43" s="243" t="s">
        <v>544</v>
      </c>
      <c r="I43" s="50">
        <v>44286</v>
      </c>
      <c r="J43" s="22">
        <v>3</v>
      </c>
    </row>
    <row r="44" spans="1:10">
      <c r="A44" s="22">
        <v>2617</v>
      </c>
      <c r="B44" t="s">
        <v>29</v>
      </c>
      <c r="C44" t="s">
        <v>578</v>
      </c>
      <c r="D44" t="s">
        <v>560</v>
      </c>
      <c r="E44" s="22">
        <v>2617</v>
      </c>
      <c r="I44" s="50">
        <v>44287</v>
      </c>
      <c r="J44" s="22">
        <v>4</v>
      </c>
    </row>
    <row r="45" spans="1:10">
      <c r="A45" s="22">
        <v>2618</v>
      </c>
      <c r="B45" t="s">
        <v>63</v>
      </c>
      <c r="C45" t="s">
        <v>578</v>
      </c>
      <c r="D45" t="s">
        <v>119</v>
      </c>
      <c r="E45" s="22">
        <v>2618</v>
      </c>
      <c r="I45" s="50">
        <v>44288</v>
      </c>
      <c r="J45" s="22">
        <v>4</v>
      </c>
    </row>
    <row r="46" spans="1:10">
      <c r="A46" s="22">
        <v>337</v>
      </c>
      <c r="B46" t="s">
        <v>18</v>
      </c>
      <c r="C46" t="s">
        <v>578</v>
      </c>
      <c r="D46" t="s">
        <v>106</v>
      </c>
      <c r="E46" s="22">
        <v>337</v>
      </c>
      <c r="I46" s="50">
        <v>44289</v>
      </c>
      <c r="J46" s="22">
        <v>4</v>
      </c>
    </row>
    <row r="47" spans="1:10">
      <c r="A47" s="22">
        <v>2551</v>
      </c>
      <c r="B47" t="s">
        <v>279</v>
      </c>
      <c r="C47" t="s">
        <v>578</v>
      </c>
      <c r="D47" t="s">
        <v>121</v>
      </c>
      <c r="E47" s="22">
        <v>2551</v>
      </c>
      <c r="I47" s="50">
        <v>44290</v>
      </c>
      <c r="J47" s="22">
        <v>4</v>
      </c>
    </row>
    <row r="48" spans="1:10">
      <c r="A48" s="22">
        <v>2550</v>
      </c>
      <c r="B48" t="s">
        <v>25</v>
      </c>
      <c r="C48" t="s">
        <v>578</v>
      </c>
      <c r="D48" t="s">
        <v>121</v>
      </c>
      <c r="E48" s="22">
        <v>2550</v>
      </c>
      <c r="I48" s="50">
        <v>44291</v>
      </c>
      <c r="J48" s="22">
        <v>4</v>
      </c>
    </row>
    <row r="49" spans="1:10">
      <c r="A49" s="22">
        <v>2552</v>
      </c>
      <c r="B49" t="s">
        <v>43</v>
      </c>
      <c r="C49" t="s">
        <v>578</v>
      </c>
      <c r="D49" t="s">
        <v>121</v>
      </c>
      <c r="E49" s="22">
        <v>2552</v>
      </c>
      <c r="I49" s="50">
        <v>44292</v>
      </c>
      <c r="J49" s="22">
        <v>4</v>
      </c>
    </row>
    <row r="50" spans="1:10">
      <c r="A50" s="22">
        <v>2546</v>
      </c>
      <c r="B50" t="s">
        <v>66</v>
      </c>
      <c r="C50" t="s">
        <v>578</v>
      </c>
      <c r="D50" t="s">
        <v>121</v>
      </c>
      <c r="E50" s="22">
        <v>2546</v>
      </c>
      <c r="I50" s="50">
        <v>44293</v>
      </c>
      <c r="J50" s="22">
        <v>4</v>
      </c>
    </row>
    <row r="51" spans="1:10">
      <c r="A51" s="22">
        <v>1960</v>
      </c>
      <c r="B51" t="s">
        <v>20</v>
      </c>
      <c r="C51" t="s">
        <v>578</v>
      </c>
      <c r="D51" t="s">
        <v>106</v>
      </c>
      <c r="E51" s="22">
        <v>1960</v>
      </c>
      <c r="I51" s="50">
        <v>44294</v>
      </c>
      <c r="J51" s="22">
        <v>4</v>
      </c>
    </row>
    <row r="52" spans="1:10">
      <c r="A52" s="22">
        <v>313</v>
      </c>
      <c r="B52" t="s">
        <v>221</v>
      </c>
      <c r="C52" t="s">
        <v>578</v>
      </c>
      <c r="D52" t="s">
        <v>553</v>
      </c>
      <c r="E52" s="22">
        <v>313</v>
      </c>
    </row>
    <row r="53" spans="1:10">
      <c r="A53" s="22">
        <v>2631</v>
      </c>
      <c r="B53" t="s">
        <v>280</v>
      </c>
      <c r="C53" t="s">
        <v>578</v>
      </c>
      <c r="D53" t="s">
        <v>106</v>
      </c>
      <c r="E53" s="22">
        <v>2631</v>
      </c>
    </row>
    <row r="54" spans="1:10">
      <c r="A54" s="22">
        <v>312</v>
      </c>
      <c r="B54" t="s">
        <v>231</v>
      </c>
      <c r="C54" t="s">
        <v>578</v>
      </c>
      <c r="D54" t="s">
        <v>106</v>
      </c>
      <c r="E54" s="22">
        <v>312</v>
      </c>
    </row>
    <row r="55" spans="1:10">
      <c r="A55" s="22">
        <v>2536</v>
      </c>
      <c r="B55" t="s">
        <v>281</v>
      </c>
      <c r="C55" t="s">
        <v>578</v>
      </c>
      <c r="D55" t="s">
        <v>106</v>
      </c>
      <c r="E55" s="22">
        <v>2536</v>
      </c>
    </row>
    <row r="56" spans="1:10">
      <c r="A56" s="22">
        <v>293</v>
      </c>
      <c r="B56" t="s">
        <v>282</v>
      </c>
      <c r="C56" t="s">
        <v>578</v>
      </c>
      <c r="D56" t="s">
        <v>119</v>
      </c>
      <c r="E56" s="22">
        <v>293</v>
      </c>
    </row>
    <row r="57" spans="1:10">
      <c r="A57" s="22">
        <v>2340</v>
      </c>
      <c r="B57" t="s">
        <v>283</v>
      </c>
      <c r="C57" t="s">
        <v>578</v>
      </c>
      <c r="D57" t="s">
        <v>119</v>
      </c>
      <c r="E57" s="22">
        <v>2340</v>
      </c>
    </row>
    <row r="58" spans="1:10">
      <c r="A58" s="22">
        <v>2136</v>
      </c>
      <c r="B58" t="s">
        <v>232</v>
      </c>
      <c r="C58" t="s">
        <v>578</v>
      </c>
      <c r="D58" t="s">
        <v>106</v>
      </c>
      <c r="E58" s="22">
        <v>2136</v>
      </c>
    </row>
    <row r="59" spans="1:10">
      <c r="A59" s="22">
        <v>338</v>
      </c>
      <c r="B59" t="s">
        <v>24</v>
      </c>
      <c r="C59" t="s">
        <v>578</v>
      </c>
      <c r="D59" t="s">
        <v>106</v>
      </c>
      <c r="E59" s="22">
        <v>338</v>
      </c>
    </row>
    <row r="60" spans="1:10">
      <c r="A60" s="22">
        <v>345</v>
      </c>
      <c r="B60" t="s">
        <v>284</v>
      </c>
      <c r="C60" t="s">
        <v>578</v>
      </c>
      <c r="D60" t="s">
        <v>106</v>
      </c>
      <c r="E60" s="22">
        <v>345</v>
      </c>
    </row>
    <row r="61" spans="1:10">
      <c r="A61" s="22">
        <v>2537</v>
      </c>
      <c r="B61" t="s">
        <v>21</v>
      </c>
      <c r="C61" t="s">
        <v>578</v>
      </c>
      <c r="D61" t="s">
        <v>133</v>
      </c>
      <c r="E61" s="22">
        <v>2537</v>
      </c>
    </row>
    <row r="62" spans="1:10">
      <c r="A62" s="22">
        <v>281</v>
      </c>
      <c r="B62" t="s">
        <v>22</v>
      </c>
      <c r="C62" t="s">
        <v>578</v>
      </c>
      <c r="D62" t="s">
        <v>133</v>
      </c>
      <c r="E62" s="22">
        <v>281</v>
      </c>
    </row>
    <row r="63" spans="1:10">
      <c r="A63" s="22">
        <v>2538</v>
      </c>
      <c r="B63" t="s">
        <v>65</v>
      </c>
      <c r="C63" t="s">
        <v>578</v>
      </c>
      <c r="D63" t="s">
        <v>121</v>
      </c>
      <c r="E63" s="22">
        <v>2538</v>
      </c>
    </row>
    <row r="64" spans="1:10">
      <c r="A64" s="22">
        <v>306</v>
      </c>
      <c r="B64" t="s">
        <v>58</v>
      </c>
      <c r="C64" t="s">
        <v>578</v>
      </c>
      <c r="D64" t="s">
        <v>121</v>
      </c>
      <c r="E64" s="22">
        <v>306</v>
      </c>
    </row>
    <row r="65" spans="1:10">
      <c r="A65" s="22">
        <v>305</v>
      </c>
      <c r="B65" t="s">
        <v>285</v>
      </c>
      <c r="C65" t="s">
        <v>578</v>
      </c>
      <c r="D65" t="s">
        <v>121</v>
      </c>
      <c r="E65" s="22">
        <v>305</v>
      </c>
    </row>
    <row r="66" spans="1:10">
      <c r="A66" s="22">
        <v>336</v>
      </c>
      <c r="B66" t="s">
        <v>17</v>
      </c>
      <c r="C66" t="s">
        <v>578</v>
      </c>
      <c r="D66" t="s">
        <v>106</v>
      </c>
      <c r="E66" s="22">
        <v>336</v>
      </c>
    </row>
    <row r="67" spans="1:10">
      <c r="B67" t="s">
        <v>23</v>
      </c>
      <c r="C67" t="s">
        <v>578</v>
      </c>
      <c r="D67" t="s">
        <v>106</v>
      </c>
    </row>
    <row r="68" spans="1:10">
      <c r="A68" s="22">
        <v>1972</v>
      </c>
      <c r="B68" t="s">
        <v>286</v>
      </c>
      <c r="C68" t="s">
        <v>578</v>
      </c>
      <c r="D68" t="s">
        <v>106</v>
      </c>
      <c r="E68" s="22">
        <v>1972</v>
      </c>
    </row>
    <row r="69" spans="1:10">
      <c r="A69" s="22">
        <v>309</v>
      </c>
      <c r="B69" t="s">
        <v>287</v>
      </c>
      <c r="C69" t="s">
        <v>578</v>
      </c>
      <c r="D69" t="s">
        <v>561</v>
      </c>
      <c r="E69" s="22">
        <v>309</v>
      </c>
    </row>
    <row r="70" spans="1:10">
      <c r="A70" s="22">
        <v>333</v>
      </c>
      <c r="B70" t="s">
        <v>288</v>
      </c>
      <c r="C70" t="s">
        <v>578</v>
      </c>
      <c r="D70" t="s">
        <v>106</v>
      </c>
      <c r="E70" s="22">
        <v>333</v>
      </c>
    </row>
    <row r="71" spans="1:10">
      <c r="A71" s="22">
        <v>307</v>
      </c>
      <c r="B71" t="s">
        <v>26</v>
      </c>
      <c r="C71" t="s">
        <v>578</v>
      </c>
      <c r="D71" t="s">
        <v>121</v>
      </c>
      <c r="E71" s="22">
        <v>307</v>
      </c>
    </row>
    <row r="72" spans="1:10">
      <c r="A72" s="22">
        <v>308</v>
      </c>
      <c r="B72" t="s">
        <v>27</v>
      </c>
      <c r="C72" t="s">
        <v>578</v>
      </c>
      <c r="D72" t="s">
        <v>562</v>
      </c>
      <c r="E72" s="22">
        <v>308</v>
      </c>
    </row>
    <row r="73" spans="1:10">
      <c r="A73" s="22">
        <v>341</v>
      </c>
      <c r="B73" t="s">
        <v>289</v>
      </c>
      <c r="C73" t="s">
        <v>578</v>
      </c>
      <c r="D73" t="s">
        <v>106</v>
      </c>
      <c r="E73" s="22">
        <v>341</v>
      </c>
    </row>
    <row r="74" spans="1:10">
      <c r="A74" s="22">
        <v>339</v>
      </c>
      <c r="B74" t="s">
        <v>81</v>
      </c>
      <c r="C74" t="s">
        <v>578</v>
      </c>
      <c r="D74" t="s">
        <v>106</v>
      </c>
      <c r="E74" s="22">
        <v>339</v>
      </c>
    </row>
    <row r="75" spans="1:10">
      <c r="A75" s="22">
        <v>342</v>
      </c>
      <c r="B75" t="s">
        <v>203</v>
      </c>
      <c r="C75" t="s">
        <v>578</v>
      </c>
      <c r="D75" t="s">
        <v>106</v>
      </c>
      <c r="E75" s="22">
        <v>342</v>
      </c>
    </row>
    <row r="76" spans="1:10">
      <c r="A76" s="22">
        <v>343</v>
      </c>
      <c r="B76" t="s">
        <v>290</v>
      </c>
      <c r="C76" t="s">
        <v>578</v>
      </c>
      <c r="D76" t="s">
        <v>106</v>
      </c>
      <c r="E76" s="22">
        <v>343</v>
      </c>
    </row>
    <row r="77" spans="1:10">
      <c r="A77" s="22">
        <v>310</v>
      </c>
      <c r="B77" t="s">
        <v>30</v>
      </c>
      <c r="C77" t="s">
        <v>578</v>
      </c>
      <c r="D77" t="s">
        <v>121</v>
      </c>
      <c r="E77" s="22">
        <v>310</v>
      </c>
      <c r="I77" s="50">
        <v>44295</v>
      </c>
      <c r="J77" s="22">
        <v>4</v>
      </c>
    </row>
    <row r="78" spans="1:10">
      <c r="A78" s="22">
        <v>334</v>
      </c>
      <c r="B78" t="s">
        <v>291</v>
      </c>
      <c r="C78" t="s">
        <v>578</v>
      </c>
      <c r="D78" t="s">
        <v>106</v>
      </c>
      <c r="E78" s="22">
        <v>334</v>
      </c>
      <c r="I78" s="50">
        <v>44296</v>
      </c>
      <c r="J78" s="22">
        <v>4</v>
      </c>
    </row>
    <row r="79" spans="1:10">
      <c r="A79" s="22">
        <v>300</v>
      </c>
      <c r="B79" t="s">
        <v>19</v>
      </c>
      <c r="C79" t="s">
        <v>578</v>
      </c>
      <c r="D79" t="s">
        <v>133</v>
      </c>
      <c r="E79" s="22">
        <v>300</v>
      </c>
      <c r="I79" s="50">
        <v>44297</v>
      </c>
      <c r="J79" s="22">
        <v>4</v>
      </c>
    </row>
    <row r="80" spans="1:10">
      <c r="A80" s="22">
        <v>301</v>
      </c>
      <c r="B80" t="s">
        <v>15</v>
      </c>
      <c r="C80" t="s">
        <v>578</v>
      </c>
      <c r="D80" t="s">
        <v>133</v>
      </c>
      <c r="E80" s="22">
        <v>301</v>
      </c>
      <c r="I80" s="50">
        <v>44298</v>
      </c>
      <c r="J80" s="22">
        <v>4</v>
      </c>
    </row>
    <row r="81" spans="1:10">
      <c r="A81" s="22">
        <v>311</v>
      </c>
      <c r="B81" t="s">
        <v>292</v>
      </c>
      <c r="C81" t="s">
        <v>578</v>
      </c>
      <c r="D81" t="s">
        <v>133</v>
      </c>
      <c r="E81" s="22">
        <v>311</v>
      </c>
      <c r="I81" s="50">
        <v>44299</v>
      </c>
      <c r="J81" s="22">
        <v>4</v>
      </c>
    </row>
    <row r="82" spans="1:10">
      <c r="A82" s="22">
        <v>344</v>
      </c>
      <c r="B82" t="s">
        <v>293</v>
      </c>
      <c r="C82" t="s">
        <v>578</v>
      </c>
      <c r="D82" t="s">
        <v>106</v>
      </c>
      <c r="E82" s="22">
        <v>344</v>
      </c>
      <c r="I82" s="50">
        <v>44300</v>
      </c>
      <c r="J82" s="22">
        <v>4</v>
      </c>
    </row>
    <row r="84" spans="1:10">
      <c r="B84" t="s">
        <v>579</v>
      </c>
      <c r="D84" t="s">
        <v>106</v>
      </c>
    </row>
    <row r="85" spans="1:10">
      <c r="B85" t="s">
        <v>580</v>
      </c>
      <c r="D85" t="s">
        <v>106</v>
      </c>
    </row>
    <row r="86" spans="1:10">
      <c r="B86" t="s">
        <v>581</v>
      </c>
      <c r="D86" t="s">
        <v>106</v>
      </c>
    </row>
    <row r="87" spans="1:10">
      <c r="B87" t="s">
        <v>345</v>
      </c>
      <c r="D87" t="s">
        <v>104</v>
      </c>
    </row>
    <row r="88" spans="1:10">
      <c r="B88" t="s">
        <v>582</v>
      </c>
      <c r="D88" t="s">
        <v>104</v>
      </c>
    </row>
    <row r="89" spans="1:10">
      <c r="B89" t="s">
        <v>347</v>
      </c>
      <c r="D89" t="s">
        <v>121</v>
      </c>
    </row>
    <row r="90" spans="1:10">
      <c r="B90" t="s">
        <v>37</v>
      </c>
      <c r="D90" t="s">
        <v>106</v>
      </c>
    </row>
    <row r="91" spans="1:10">
      <c r="B91" t="s">
        <v>252</v>
      </c>
      <c r="D91" t="s">
        <v>106</v>
      </c>
    </row>
    <row r="92" spans="1:10">
      <c r="B92" t="s">
        <v>583</v>
      </c>
      <c r="D92" t="s">
        <v>106</v>
      </c>
    </row>
    <row r="93" spans="1:10">
      <c r="B93" t="s">
        <v>584</v>
      </c>
      <c r="D93" t="s">
        <v>106</v>
      </c>
    </row>
    <row r="94" spans="1:10">
      <c r="B94" t="s">
        <v>585</v>
      </c>
      <c r="D94" t="s">
        <v>106</v>
      </c>
    </row>
    <row r="95" spans="1:10">
      <c r="B95" t="s">
        <v>586</v>
      </c>
      <c r="D95" t="s">
        <v>106</v>
      </c>
    </row>
    <row r="96" spans="1:10">
      <c r="B96" t="s">
        <v>17</v>
      </c>
      <c r="D96" t="s">
        <v>106</v>
      </c>
    </row>
    <row r="97" spans="1:10">
      <c r="B97" t="s">
        <v>68</v>
      </c>
      <c r="D97" t="s">
        <v>106</v>
      </c>
    </row>
    <row r="98" spans="1:10">
      <c r="B98" t="s">
        <v>587</v>
      </c>
      <c r="D98" t="s">
        <v>106</v>
      </c>
    </row>
    <row r="99" spans="1:10">
      <c r="A99" s="243" t="s">
        <v>544</v>
      </c>
      <c r="B99" s="49" t="s">
        <v>467</v>
      </c>
      <c r="E99" s="243" t="s">
        <v>544</v>
      </c>
      <c r="I99" s="50">
        <v>44314</v>
      </c>
      <c r="J99" s="22">
        <v>4</v>
      </c>
    </row>
    <row r="100" spans="1:10">
      <c r="A100" s="22">
        <v>2252</v>
      </c>
      <c r="B100" t="s">
        <v>294</v>
      </c>
      <c r="C100" t="s">
        <v>554</v>
      </c>
      <c r="D100" t="s">
        <v>106</v>
      </c>
      <c r="E100" s="22">
        <v>2252</v>
      </c>
      <c r="I100" s="50">
        <v>44315</v>
      </c>
      <c r="J100" s="22">
        <v>4</v>
      </c>
    </row>
    <row r="101" spans="1:10">
      <c r="A101" s="22">
        <v>2646</v>
      </c>
      <c r="B101" t="s">
        <v>295</v>
      </c>
      <c r="C101" t="s">
        <v>554</v>
      </c>
      <c r="D101" t="s">
        <v>555</v>
      </c>
      <c r="E101" s="22">
        <v>2646</v>
      </c>
      <c r="I101" s="50">
        <v>44316</v>
      </c>
      <c r="J101" s="22">
        <v>4</v>
      </c>
    </row>
    <row r="102" spans="1:10">
      <c r="A102" s="22">
        <v>2649</v>
      </c>
      <c r="B102" t="s">
        <v>296</v>
      </c>
      <c r="C102" t="s">
        <v>554</v>
      </c>
      <c r="D102" t="s">
        <v>555</v>
      </c>
      <c r="E102" s="22">
        <v>2649</v>
      </c>
      <c r="I102" s="50">
        <v>44317</v>
      </c>
      <c r="J102" s="22">
        <v>5</v>
      </c>
    </row>
    <row r="103" spans="1:10">
      <c r="A103" s="22">
        <v>2647</v>
      </c>
      <c r="B103" t="s">
        <v>297</v>
      </c>
      <c r="C103" t="s">
        <v>554</v>
      </c>
      <c r="D103" t="s">
        <v>555</v>
      </c>
      <c r="E103" s="22">
        <v>2647</v>
      </c>
      <c r="I103" s="50">
        <v>44318</v>
      </c>
      <c r="J103" s="22">
        <v>5</v>
      </c>
    </row>
    <row r="104" spans="1:10">
      <c r="A104" s="22">
        <v>2648</v>
      </c>
      <c r="B104" t="s">
        <v>298</v>
      </c>
      <c r="C104" t="s">
        <v>554</v>
      </c>
      <c r="D104" t="s">
        <v>555</v>
      </c>
      <c r="E104" s="22">
        <v>2648</v>
      </c>
      <c r="I104" s="50">
        <v>44319</v>
      </c>
      <c r="J104" s="22">
        <v>5</v>
      </c>
    </row>
    <row r="105" spans="1:10">
      <c r="A105" s="22">
        <v>2627</v>
      </c>
      <c r="B105" t="s">
        <v>299</v>
      </c>
      <c r="C105" t="s">
        <v>554</v>
      </c>
      <c r="D105" t="s">
        <v>555</v>
      </c>
      <c r="E105" s="22">
        <v>2627</v>
      </c>
      <c r="I105" s="50">
        <v>44320</v>
      </c>
      <c r="J105" s="22">
        <v>5</v>
      </c>
    </row>
    <row r="106" spans="1:10">
      <c r="A106" s="22">
        <v>2628</v>
      </c>
      <c r="B106" t="s">
        <v>300</v>
      </c>
      <c r="C106" t="s">
        <v>554</v>
      </c>
      <c r="D106" t="s">
        <v>555</v>
      </c>
      <c r="E106" s="22">
        <v>2628</v>
      </c>
      <c r="I106" s="50">
        <v>44321</v>
      </c>
      <c r="J106" s="22">
        <v>5</v>
      </c>
    </row>
    <row r="107" spans="1:10">
      <c r="A107" s="22">
        <v>137</v>
      </c>
      <c r="B107" t="s">
        <v>53</v>
      </c>
      <c r="C107" t="s">
        <v>554</v>
      </c>
      <c r="D107" t="s">
        <v>106</v>
      </c>
      <c r="E107" s="22">
        <v>137</v>
      </c>
      <c r="I107" s="50">
        <v>44322</v>
      </c>
      <c r="J107" s="22">
        <v>5</v>
      </c>
    </row>
    <row r="108" spans="1:10">
      <c r="A108" s="22">
        <v>2416</v>
      </c>
      <c r="B108" t="s">
        <v>301</v>
      </c>
      <c r="C108" t="s">
        <v>554</v>
      </c>
      <c r="D108" t="s">
        <v>106</v>
      </c>
      <c r="E108" s="22">
        <v>2416</v>
      </c>
      <c r="I108" s="50">
        <v>44323</v>
      </c>
      <c r="J108" s="22">
        <v>5</v>
      </c>
    </row>
    <row r="109" spans="1:10">
      <c r="A109" s="22">
        <v>2629</v>
      </c>
      <c r="B109" t="s">
        <v>70</v>
      </c>
      <c r="C109" t="s">
        <v>554</v>
      </c>
      <c r="D109" t="s">
        <v>133</v>
      </c>
      <c r="E109" s="22">
        <v>2629</v>
      </c>
      <c r="I109" s="50">
        <v>44324</v>
      </c>
      <c r="J109" s="22">
        <v>5</v>
      </c>
    </row>
    <row r="110" spans="1:10">
      <c r="A110" s="22">
        <v>2388</v>
      </c>
      <c r="B110" t="s">
        <v>256</v>
      </c>
      <c r="C110" t="s">
        <v>554</v>
      </c>
      <c r="D110" t="s">
        <v>555</v>
      </c>
      <c r="E110" s="22">
        <v>2388</v>
      </c>
    </row>
    <row r="111" spans="1:10">
      <c r="A111" s="22">
        <v>2540</v>
      </c>
      <c r="B111" t="s">
        <v>302</v>
      </c>
      <c r="C111" t="s">
        <v>554</v>
      </c>
      <c r="D111" t="s">
        <v>555</v>
      </c>
      <c r="E111" s="22">
        <v>2540</v>
      </c>
    </row>
    <row r="112" spans="1:10">
      <c r="A112" s="22">
        <v>84</v>
      </c>
      <c r="B112" t="s">
        <v>303</v>
      </c>
      <c r="C112" t="s">
        <v>554</v>
      </c>
      <c r="D112" t="s">
        <v>411</v>
      </c>
      <c r="E112" s="22">
        <v>84</v>
      </c>
      <c r="I112" s="50">
        <v>44325</v>
      </c>
      <c r="J112" s="22">
        <v>5</v>
      </c>
    </row>
    <row r="113" spans="1:13">
      <c r="A113" s="22">
        <v>87</v>
      </c>
      <c r="B113" t="s">
        <v>304</v>
      </c>
      <c r="C113" t="s">
        <v>554</v>
      </c>
      <c r="D113" t="s">
        <v>411</v>
      </c>
      <c r="E113" s="22">
        <v>87</v>
      </c>
    </row>
    <row r="114" spans="1:13">
      <c r="A114" s="22">
        <v>81</v>
      </c>
      <c r="B114" t="s">
        <v>305</v>
      </c>
      <c r="C114" t="s">
        <v>554</v>
      </c>
      <c r="D114" t="s">
        <v>411</v>
      </c>
      <c r="E114" s="22">
        <v>81</v>
      </c>
      <c r="I114" s="50">
        <v>44326</v>
      </c>
      <c r="J114" s="22">
        <v>5</v>
      </c>
    </row>
    <row r="115" spans="1:13">
      <c r="I115" s="50">
        <v>44351</v>
      </c>
      <c r="J115" s="22">
        <v>6</v>
      </c>
      <c r="M115">
        <v>2</v>
      </c>
    </row>
    <row r="116" spans="1:13">
      <c r="B116" t="s">
        <v>579</v>
      </c>
      <c r="D116" t="s">
        <v>106</v>
      </c>
      <c r="I116" s="50">
        <v>44352</v>
      </c>
      <c r="J116" s="22">
        <v>6</v>
      </c>
      <c r="M116">
        <v>3</v>
      </c>
    </row>
    <row r="117" spans="1:13">
      <c r="B117" t="s">
        <v>580</v>
      </c>
      <c r="D117" t="s">
        <v>106</v>
      </c>
      <c r="I117" s="50">
        <v>44353</v>
      </c>
      <c r="J117" s="22">
        <v>6</v>
      </c>
      <c r="M117">
        <v>4</v>
      </c>
    </row>
    <row r="118" spans="1:13">
      <c r="B118" t="s">
        <v>581</v>
      </c>
      <c r="D118" t="s">
        <v>106</v>
      </c>
      <c r="I118" s="50">
        <v>44354</v>
      </c>
      <c r="J118" s="22">
        <v>6</v>
      </c>
      <c r="M118">
        <v>5</v>
      </c>
    </row>
    <row r="119" spans="1:13">
      <c r="B119" t="s">
        <v>345</v>
      </c>
      <c r="D119" t="s">
        <v>104</v>
      </c>
      <c r="I119" s="50">
        <v>44355</v>
      </c>
      <c r="J119" s="22">
        <v>6</v>
      </c>
      <c r="M119">
        <v>6</v>
      </c>
    </row>
    <row r="120" spans="1:13">
      <c r="B120" t="s">
        <v>582</v>
      </c>
      <c r="D120" t="s">
        <v>104</v>
      </c>
      <c r="I120" s="50">
        <v>44356</v>
      </c>
      <c r="J120" s="22">
        <v>6</v>
      </c>
      <c r="M120">
        <v>7</v>
      </c>
    </row>
    <row r="121" spans="1:13">
      <c r="B121" t="s">
        <v>347</v>
      </c>
      <c r="D121" t="s">
        <v>121</v>
      </c>
      <c r="I121" s="50">
        <v>44357</v>
      </c>
      <c r="J121" s="22">
        <v>6</v>
      </c>
      <c r="M121">
        <v>8</v>
      </c>
    </row>
    <row r="122" spans="1:13">
      <c r="B122" t="s">
        <v>37</v>
      </c>
      <c r="D122" t="s">
        <v>106</v>
      </c>
      <c r="I122" s="50">
        <v>44358</v>
      </c>
      <c r="J122" s="22">
        <v>6</v>
      </c>
      <c r="M122">
        <v>9</v>
      </c>
    </row>
    <row r="123" spans="1:13">
      <c r="B123" t="s">
        <v>252</v>
      </c>
      <c r="D123" t="s">
        <v>106</v>
      </c>
      <c r="I123" s="50">
        <v>44359</v>
      </c>
      <c r="J123" s="22">
        <v>6</v>
      </c>
      <c r="M123">
        <v>10</v>
      </c>
    </row>
    <row r="124" spans="1:13">
      <c r="B124" t="s">
        <v>583</v>
      </c>
      <c r="D124" t="s">
        <v>106</v>
      </c>
      <c r="I124" s="50">
        <v>44360</v>
      </c>
      <c r="J124" s="22">
        <v>6</v>
      </c>
      <c r="M124">
        <v>11</v>
      </c>
    </row>
    <row r="125" spans="1:13">
      <c r="B125" t="s">
        <v>584</v>
      </c>
      <c r="D125" t="s">
        <v>106</v>
      </c>
      <c r="I125" s="50">
        <v>44361</v>
      </c>
      <c r="J125" s="22">
        <v>6</v>
      </c>
      <c r="M125">
        <v>12</v>
      </c>
    </row>
    <row r="126" spans="1:13">
      <c r="B126" t="s">
        <v>585</v>
      </c>
      <c r="D126" t="s">
        <v>106</v>
      </c>
      <c r="I126" s="50">
        <v>44362</v>
      </c>
      <c r="J126" s="22">
        <v>6</v>
      </c>
      <c r="M126">
        <v>13</v>
      </c>
    </row>
    <row r="127" spans="1:13">
      <c r="B127" t="s">
        <v>586</v>
      </c>
      <c r="D127" t="s">
        <v>106</v>
      </c>
      <c r="I127" s="50">
        <v>44363</v>
      </c>
      <c r="J127" s="22">
        <v>6</v>
      </c>
      <c r="M127">
        <v>14</v>
      </c>
    </row>
    <row r="128" spans="1:13">
      <c r="B128" t="s">
        <v>17</v>
      </c>
      <c r="D128" t="s">
        <v>106</v>
      </c>
      <c r="I128" s="50">
        <v>44364</v>
      </c>
      <c r="J128" s="22">
        <v>6</v>
      </c>
      <c r="M128">
        <v>15</v>
      </c>
    </row>
    <row r="129" spans="2:13">
      <c r="B129" t="s">
        <v>68</v>
      </c>
      <c r="D129" t="s">
        <v>106</v>
      </c>
      <c r="I129" s="50">
        <v>44365</v>
      </c>
      <c r="J129" s="22">
        <v>6</v>
      </c>
      <c r="M129">
        <v>16</v>
      </c>
    </row>
    <row r="130" spans="2:13">
      <c r="B130" t="s">
        <v>587</v>
      </c>
      <c r="D130" t="s">
        <v>106</v>
      </c>
      <c r="I130" s="50">
        <v>44366</v>
      </c>
      <c r="J130" s="22">
        <v>6</v>
      </c>
      <c r="M130">
        <v>17</v>
      </c>
    </row>
    <row r="131" spans="2:13">
      <c r="I131" s="50">
        <v>44367</v>
      </c>
      <c r="J131" s="22">
        <v>6</v>
      </c>
      <c r="M131">
        <v>18</v>
      </c>
    </row>
    <row r="132" spans="2:13">
      <c r="I132" s="50">
        <v>44368</v>
      </c>
      <c r="J132" s="22">
        <v>6</v>
      </c>
      <c r="M132">
        <v>19</v>
      </c>
    </row>
    <row r="133" spans="2:13">
      <c r="I133" s="50">
        <v>44369</v>
      </c>
      <c r="J133" s="22">
        <v>6</v>
      </c>
      <c r="M133">
        <v>20</v>
      </c>
    </row>
    <row r="134" spans="2:13">
      <c r="I134" s="50">
        <v>44370</v>
      </c>
      <c r="J134" s="22">
        <v>6</v>
      </c>
      <c r="M134">
        <v>21</v>
      </c>
    </row>
    <row r="135" spans="2:13">
      <c r="I135" s="50">
        <v>44371</v>
      </c>
      <c r="J135" s="22">
        <v>6</v>
      </c>
      <c r="M135">
        <v>22</v>
      </c>
    </row>
    <row r="136" spans="2:13">
      <c r="I136" s="50">
        <v>44372</v>
      </c>
      <c r="J136" s="22">
        <v>6</v>
      </c>
    </row>
    <row r="137" spans="2:13">
      <c r="I137" s="50">
        <v>44373</v>
      </c>
      <c r="J137" s="22">
        <v>6</v>
      </c>
    </row>
    <row r="138" spans="2:13">
      <c r="I138" s="50">
        <v>44374</v>
      </c>
      <c r="J138" s="22">
        <v>6</v>
      </c>
    </row>
    <row r="139" spans="2:13">
      <c r="I139" s="50">
        <v>44375</v>
      </c>
      <c r="J139" s="22">
        <v>6</v>
      </c>
    </row>
    <row r="140" spans="2:13">
      <c r="I140" s="50">
        <v>44376</v>
      </c>
      <c r="J140" s="22">
        <v>6</v>
      </c>
    </row>
    <row r="141" spans="2:13">
      <c r="I141" s="50">
        <v>44377</v>
      </c>
      <c r="J141" s="22">
        <v>6</v>
      </c>
    </row>
    <row r="142" spans="2:13">
      <c r="I142" s="50">
        <v>44378</v>
      </c>
      <c r="J142" s="22">
        <v>7</v>
      </c>
    </row>
    <row r="143" spans="2:13">
      <c r="I143" s="50">
        <v>44379</v>
      </c>
      <c r="J143" s="22">
        <v>7</v>
      </c>
    </row>
    <row r="144" spans="2:13">
      <c r="I144" s="50">
        <v>44380</v>
      </c>
      <c r="J144" s="22">
        <v>7</v>
      </c>
    </row>
    <row r="145" spans="9:10">
      <c r="I145" s="50">
        <v>44381</v>
      </c>
      <c r="J145" s="22">
        <v>7</v>
      </c>
    </row>
    <row r="146" spans="9:10">
      <c r="I146" s="50">
        <v>44382</v>
      </c>
      <c r="J146" s="22">
        <v>7</v>
      </c>
    </row>
    <row r="147" spans="9:10">
      <c r="I147" s="50">
        <v>44383</v>
      </c>
      <c r="J147" s="22">
        <v>7</v>
      </c>
    </row>
    <row r="148" spans="9:10">
      <c r="I148" s="50">
        <v>44384</v>
      </c>
      <c r="J148" s="22">
        <v>7</v>
      </c>
    </row>
    <row r="149" spans="9:10">
      <c r="I149" s="50">
        <v>44385</v>
      </c>
      <c r="J149" s="22">
        <v>7</v>
      </c>
    </row>
    <row r="150" spans="9:10">
      <c r="I150" s="50">
        <v>44386</v>
      </c>
      <c r="J150" s="22">
        <v>7</v>
      </c>
    </row>
    <row r="151" spans="9:10">
      <c r="I151" s="50">
        <v>44387</v>
      </c>
      <c r="J151" s="22">
        <v>7</v>
      </c>
    </row>
    <row r="152" spans="9:10">
      <c r="I152" s="50">
        <v>44388</v>
      </c>
      <c r="J152" s="22">
        <v>7</v>
      </c>
    </row>
    <row r="153" spans="9:10">
      <c r="I153" s="50">
        <v>44389</v>
      </c>
      <c r="J153" s="22">
        <v>7</v>
      </c>
    </row>
    <row r="154" spans="9:10">
      <c r="I154" s="50">
        <v>44390</v>
      </c>
      <c r="J154" s="22">
        <v>7</v>
      </c>
    </row>
    <row r="155" spans="9:10">
      <c r="I155" s="50">
        <v>44391</v>
      </c>
      <c r="J155" s="22">
        <v>7</v>
      </c>
    </row>
    <row r="156" spans="9:10">
      <c r="I156" s="50">
        <v>44392</v>
      </c>
      <c r="J156" s="22">
        <v>7</v>
      </c>
    </row>
    <row r="157" spans="9:10">
      <c r="I157" s="50">
        <v>44393</v>
      </c>
      <c r="J157" s="22">
        <v>7</v>
      </c>
    </row>
    <row r="158" spans="9:10">
      <c r="I158" s="50">
        <v>44394</v>
      </c>
      <c r="J158" s="22">
        <v>7</v>
      </c>
    </row>
    <row r="159" spans="9:10">
      <c r="I159" s="50">
        <v>44395</v>
      </c>
      <c r="J159" s="22">
        <v>7</v>
      </c>
    </row>
    <row r="160" spans="9:10">
      <c r="I160" s="50">
        <v>44396</v>
      </c>
      <c r="J160" s="22">
        <v>7</v>
      </c>
    </row>
    <row r="161" spans="9:10">
      <c r="I161" s="50">
        <v>44397</v>
      </c>
      <c r="J161" s="22">
        <v>7</v>
      </c>
    </row>
    <row r="162" spans="9:10">
      <c r="I162" s="50">
        <v>44398</v>
      </c>
      <c r="J162" s="22">
        <v>7</v>
      </c>
    </row>
    <row r="163" spans="9:10">
      <c r="I163" s="50">
        <v>44399</v>
      </c>
      <c r="J163" s="22">
        <v>7</v>
      </c>
    </row>
    <row r="164" spans="9:10">
      <c r="I164" s="50">
        <v>44400</v>
      </c>
      <c r="J164" s="22">
        <v>7</v>
      </c>
    </row>
    <row r="165" spans="9:10">
      <c r="I165" s="50">
        <v>44401</v>
      </c>
      <c r="J165" s="22">
        <v>7</v>
      </c>
    </row>
    <row r="166" spans="9:10">
      <c r="I166" s="50">
        <v>44402</v>
      </c>
      <c r="J166" s="22">
        <v>7</v>
      </c>
    </row>
    <row r="167" spans="9:10">
      <c r="I167" s="50">
        <v>44403</v>
      </c>
      <c r="J167" s="22">
        <v>7</v>
      </c>
    </row>
    <row r="168" spans="9:10">
      <c r="I168" s="50">
        <v>44404</v>
      </c>
      <c r="J168" s="22">
        <v>7</v>
      </c>
    </row>
    <row r="169" spans="9:10">
      <c r="I169" s="50">
        <v>44405</v>
      </c>
      <c r="J169" s="22">
        <v>7</v>
      </c>
    </row>
    <row r="170" spans="9:10">
      <c r="I170" s="50">
        <v>44406</v>
      </c>
      <c r="J170" s="22">
        <v>7</v>
      </c>
    </row>
    <row r="171" spans="9:10">
      <c r="I171" s="50">
        <v>44407</v>
      </c>
      <c r="J171" s="22">
        <v>7</v>
      </c>
    </row>
    <row r="172" spans="9:10">
      <c r="I172" s="50">
        <v>44408</v>
      </c>
      <c r="J172" s="22">
        <v>7</v>
      </c>
    </row>
    <row r="173" spans="9:10">
      <c r="I173" s="50">
        <v>44409</v>
      </c>
      <c r="J173" s="22">
        <v>8</v>
      </c>
    </row>
    <row r="174" spans="9:10">
      <c r="I174" s="50">
        <v>44410</v>
      </c>
      <c r="J174" s="22">
        <v>8</v>
      </c>
    </row>
    <row r="175" spans="9:10">
      <c r="I175" s="50">
        <v>44411</v>
      </c>
      <c r="J175" s="22">
        <v>8</v>
      </c>
    </row>
    <row r="176" spans="9:10">
      <c r="I176" s="50">
        <v>44412</v>
      </c>
      <c r="J176" s="22">
        <v>8</v>
      </c>
    </row>
    <row r="177" spans="9:10">
      <c r="I177" s="50">
        <v>44413</v>
      </c>
      <c r="J177" s="22">
        <v>8</v>
      </c>
    </row>
    <row r="178" spans="9:10">
      <c r="I178" s="50">
        <v>44414</v>
      </c>
      <c r="J178" s="22">
        <v>8</v>
      </c>
    </row>
    <row r="179" spans="9:10">
      <c r="I179" s="50">
        <v>44415</v>
      </c>
      <c r="J179" s="22">
        <v>8</v>
      </c>
    </row>
    <row r="180" spans="9:10">
      <c r="I180" s="50">
        <v>44416</v>
      </c>
      <c r="J180" s="22">
        <v>8</v>
      </c>
    </row>
    <row r="181" spans="9:10">
      <c r="I181" s="50">
        <v>44417</v>
      </c>
      <c r="J181" s="22">
        <v>8</v>
      </c>
    </row>
    <row r="182" spans="9:10">
      <c r="I182" s="50">
        <v>44418</v>
      </c>
      <c r="J182" s="22">
        <v>8</v>
      </c>
    </row>
    <row r="183" spans="9:10">
      <c r="I183" s="50">
        <v>44419</v>
      </c>
      <c r="J183" s="22">
        <v>8</v>
      </c>
    </row>
    <row r="184" spans="9:10">
      <c r="I184" s="50">
        <v>44420</v>
      </c>
      <c r="J184" s="22">
        <v>8</v>
      </c>
    </row>
    <row r="185" spans="9:10">
      <c r="I185" s="50">
        <v>44421</v>
      </c>
      <c r="J185" s="22">
        <v>8</v>
      </c>
    </row>
    <row r="186" spans="9:10">
      <c r="I186" s="50">
        <v>44422</v>
      </c>
      <c r="J186" s="22">
        <v>8</v>
      </c>
    </row>
    <row r="187" spans="9:10">
      <c r="I187" s="50">
        <v>44423</v>
      </c>
      <c r="J187" s="22">
        <v>8</v>
      </c>
    </row>
    <row r="188" spans="9:10">
      <c r="I188" s="50">
        <v>44424</v>
      </c>
      <c r="J188" s="22">
        <v>8</v>
      </c>
    </row>
    <row r="189" spans="9:10">
      <c r="I189" s="50">
        <v>44425</v>
      </c>
      <c r="J189" s="22">
        <v>8</v>
      </c>
    </row>
    <row r="190" spans="9:10">
      <c r="I190" s="50">
        <v>44426</v>
      </c>
      <c r="J190" s="22">
        <v>8</v>
      </c>
    </row>
    <row r="191" spans="9:10">
      <c r="I191" s="50">
        <v>44427</v>
      </c>
      <c r="J191" s="22">
        <v>8</v>
      </c>
    </row>
    <row r="192" spans="9:10">
      <c r="I192" s="50">
        <v>44428</v>
      </c>
      <c r="J192" s="22">
        <v>8</v>
      </c>
    </row>
    <row r="193" spans="9:10">
      <c r="I193" s="50">
        <v>44429</v>
      </c>
      <c r="J193" s="22">
        <v>8</v>
      </c>
    </row>
    <row r="194" spans="9:10">
      <c r="I194" s="50">
        <v>44430</v>
      </c>
      <c r="J194" s="22">
        <v>8</v>
      </c>
    </row>
    <row r="195" spans="9:10">
      <c r="I195" s="50">
        <v>44431</v>
      </c>
      <c r="J195" s="22">
        <v>8</v>
      </c>
    </row>
    <row r="196" spans="9:10">
      <c r="I196" s="50">
        <v>44432</v>
      </c>
      <c r="J196" s="22">
        <v>8</v>
      </c>
    </row>
    <row r="197" spans="9:10">
      <c r="I197" s="50">
        <v>44433</v>
      </c>
      <c r="J197" s="22">
        <v>8</v>
      </c>
    </row>
    <row r="198" spans="9:10">
      <c r="I198" s="50">
        <v>44434</v>
      </c>
      <c r="J198" s="22">
        <v>8</v>
      </c>
    </row>
    <row r="199" spans="9:10">
      <c r="I199" s="50">
        <v>44435</v>
      </c>
      <c r="J199" s="22">
        <v>8</v>
      </c>
    </row>
    <row r="200" spans="9:10">
      <c r="I200" s="50">
        <v>44436</v>
      </c>
      <c r="J200" s="22">
        <v>8</v>
      </c>
    </row>
    <row r="201" spans="9:10">
      <c r="I201" s="50">
        <v>44437</v>
      </c>
      <c r="J201" s="22">
        <v>8</v>
      </c>
    </row>
    <row r="202" spans="9:10">
      <c r="I202" s="50">
        <v>44438</v>
      </c>
      <c r="J202" s="22">
        <v>8</v>
      </c>
    </row>
    <row r="203" spans="9:10">
      <c r="I203" s="50">
        <v>44439</v>
      </c>
      <c r="J203" s="22">
        <v>8</v>
      </c>
    </row>
    <row r="204" spans="9:10">
      <c r="I204" s="50">
        <v>44440</v>
      </c>
      <c r="J204" s="22">
        <v>9</v>
      </c>
    </row>
    <row r="205" spans="9:10">
      <c r="I205" s="50">
        <v>44441</v>
      </c>
      <c r="J205" s="22">
        <v>9</v>
      </c>
    </row>
    <row r="206" spans="9:10">
      <c r="I206" s="50">
        <v>44442</v>
      </c>
      <c r="J206" s="22">
        <v>9</v>
      </c>
    </row>
    <row r="207" spans="9:10">
      <c r="I207" s="50">
        <v>44443</v>
      </c>
      <c r="J207" s="22">
        <v>9</v>
      </c>
    </row>
    <row r="208" spans="9:10">
      <c r="I208" s="50">
        <v>44444</v>
      </c>
      <c r="J208" s="22">
        <v>9</v>
      </c>
    </row>
    <row r="209" spans="9:10">
      <c r="I209" s="50">
        <v>44445</v>
      </c>
      <c r="J209" s="22">
        <v>9</v>
      </c>
    </row>
    <row r="210" spans="9:10">
      <c r="I210" s="50">
        <v>44446</v>
      </c>
      <c r="J210" s="22">
        <v>9</v>
      </c>
    </row>
    <row r="211" spans="9:10">
      <c r="I211" s="50">
        <v>44447</v>
      </c>
      <c r="J211" s="22">
        <v>9</v>
      </c>
    </row>
    <row r="212" spans="9:10">
      <c r="I212" s="50">
        <v>44448</v>
      </c>
      <c r="J212" s="22">
        <v>9</v>
      </c>
    </row>
    <row r="213" spans="9:10">
      <c r="I213" s="50">
        <v>44449</v>
      </c>
      <c r="J213" s="22">
        <v>9</v>
      </c>
    </row>
    <row r="214" spans="9:10">
      <c r="I214" s="50">
        <v>44450</v>
      </c>
      <c r="J214" s="22">
        <v>9</v>
      </c>
    </row>
    <row r="215" spans="9:10">
      <c r="I215" s="50">
        <v>44451</v>
      </c>
      <c r="J215" s="22">
        <v>9</v>
      </c>
    </row>
    <row r="216" spans="9:10">
      <c r="I216" s="50">
        <v>44452</v>
      </c>
      <c r="J216" s="22">
        <v>9</v>
      </c>
    </row>
    <row r="217" spans="9:10">
      <c r="I217" s="50">
        <v>44453</v>
      </c>
      <c r="J217" s="22">
        <v>9</v>
      </c>
    </row>
    <row r="218" spans="9:10">
      <c r="I218" s="50">
        <v>44454</v>
      </c>
      <c r="J218" s="22">
        <v>9</v>
      </c>
    </row>
    <row r="219" spans="9:10">
      <c r="I219" s="50">
        <v>44455</v>
      </c>
      <c r="J219" s="22">
        <v>9</v>
      </c>
    </row>
    <row r="220" spans="9:10">
      <c r="I220" s="50">
        <v>44456</v>
      </c>
      <c r="J220" s="22">
        <v>9</v>
      </c>
    </row>
    <row r="221" spans="9:10">
      <c r="I221" s="50">
        <v>44457</v>
      </c>
      <c r="J221" s="22">
        <v>9</v>
      </c>
    </row>
    <row r="222" spans="9:10">
      <c r="I222" s="50">
        <v>44458</v>
      </c>
      <c r="J222" s="22">
        <v>9</v>
      </c>
    </row>
    <row r="223" spans="9:10">
      <c r="I223" s="50">
        <v>44459</v>
      </c>
      <c r="J223" s="22">
        <v>9</v>
      </c>
    </row>
    <row r="224" spans="9:10">
      <c r="I224" s="50">
        <v>44460</v>
      </c>
      <c r="J224" s="22">
        <v>9</v>
      </c>
    </row>
    <row r="225" spans="9:10">
      <c r="I225" s="50">
        <v>44461</v>
      </c>
      <c r="J225" s="22">
        <v>9</v>
      </c>
    </row>
    <row r="226" spans="9:10">
      <c r="I226" s="50">
        <v>44462</v>
      </c>
      <c r="J226" s="22">
        <v>9</v>
      </c>
    </row>
    <row r="227" spans="9:10">
      <c r="I227" s="50">
        <v>44463</v>
      </c>
      <c r="J227" s="22">
        <v>9</v>
      </c>
    </row>
    <row r="228" spans="9:10">
      <c r="I228" s="50">
        <v>44464</v>
      </c>
      <c r="J228" s="22">
        <v>9</v>
      </c>
    </row>
    <row r="229" spans="9:10">
      <c r="I229" s="50">
        <v>44465</v>
      </c>
      <c r="J229" s="22">
        <v>9</v>
      </c>
    </row>
    <row r="230" spans="9:10">
      <c r="I230" s="50">
        <v>44466</v>
      </c>
      <c r="J230" s="22">
        <v>9</v>
      </c>
    </row>
    <row r="231" spans="9:10">
      <c r="I231" s="50">
        <v>44467</v>
      </c>
      <c r="J231" s="22">
        <v>9</v>
      </c>
    </row>
    <row r="232" spans="9:10">
      <c r="I232" s="50">
        <v>44468</v>
      </c>
      <c r="J232" s="22">
        <v>9</v>
      </c>
    </row>
    <row r="233" spans="9:10">
      <c r="I233" s="50">
        <v>44469</v>
      </c>
      <c r="J233" s="22">
        <v>9</v>
      </c>
    </row>
    <row r="234" spans="9:10">
      <c r="I234" s="50">
        <v>44470</v>
      </c>
      <c r="J234" s="22">
        <v>10</v>
      </c>
    </row>
    <row r="235" spans="9:10">
      <c r="I235" s="50">
        <v>44471</v>
      </c>
      <c r="J235" s="22">
        <v>10</v>
      </c>
    </row>
    <row r="236" spans="9:10">
      <c r="I236" s="50">
        <v>44472</v>
      </c>
      <c r="J236" s="22">
        <v>10</v>
      </c>
    </row>
    <row r="237" spans="9:10">
      <c r="I237" s="50">
        <v>44473</v>
      </c>
      <c r="J237" s="22">
        <v>10</v>
      </c>
    </row>
    <row r="238" spans="9:10">
      <c r="I238" s="50">
        <v>44474</v>
      </c>
      <c r="J238" s="22">
        <v>10</v>
      </c>
    </row>
    <row r="239" spans="9:10">
      <c r="I239" s="50">
        <v>44475</v>
      </c>
      <c r="J239" s="22">
        <v>10</v>
      </c>
    </row>
    <row r="240" spans="9:10">
      <c r="I240" s="50">
        <v>44476</v>
      </c>
      <c r="J240" s="22">
        <v>10</v>
      </c>
    </row>
    <row r="241" spans="9:10">
      <c r="I241" s="50">
        <v>44477</v>
      </c>
      <c r="J241" s="22">
        <v>10</v>
      </c>
    </row>
    <row r="242" spans="9:10">
      <c r="I242" s="50">
        <v>44478</v>
      </c>
      <c r="J242" s="22">
        <v>10</v>
      </c>
    </row>
    <row r="243" spans="9:10">
      <c r="I243" s="50">
        <v>44479</v>
      </c>
      <c r="J243" s="22">
        <v>10</v>
      </c>
    </row>
    <row r="244" spans="9:10">
      <c r="I244" s="50">
        <v>44480</v>
      </c>
      <c r="J244" s="22">
        <v>10</v>
      </c>
    </row>
    <row r="245" spans="9:10">
      <c r="I245" s="50">
        <v>44481</v>
      </c>
      <c r="J245" s="22">
        <v>10</v>
      </c>
    </row>
    <row r="246" spans="9:10">
      <c r="I246" s="50">
        <v>44482</v>
      </c>
      <c r="J246" s="22">
        <v>10</v>
      </c>
    </row>
    <row r="247" spans="9:10">
      <c r="I247" s="50">
        <v>44483</v>
      </c>
      <c r="J247" s="22">
        <v>10</v>
      </c>
    </row>
    <row r="248" spans="9:10">
      <c r="I248" s="50">
        <v>44484</v>
      </c>
      <c r="J248" s="22">
        <v>10</v>
      </c>
    </row>
    <row r="249" spans="9:10">
      <c r="I249" s="50">
        <v>44485</v>
      </c>
      <c r="J249" s="22">
        <v>10</v>
      </c>
    </row>
    <row r="250" spans="9:10">
      <c r="I250" s="50">
        <v>44486</v>
      </c>
      <c r="J250" s="22">
        <v>10</v>
      </c>
    </row>
    <row r="251" spans="9:10">
      <c r="I251" s="50">
        <v>44487</v>
      </c>
      <c r="J251" s="22">
        <v>10</v>
      </c>
    </row>
    <row r="252" spans="9:10">
      <c r="I252" s="50">
        <v>44488</v>
      </c>
      <c r="J252" s="22">
        <v>10</v>
      </c>
    </row>
    <row r="253" spans="9:10">
      <c r="I253" s="50">
        <v>44489</v>
      </c>
      <c r="J253" s="22">
        <v>10</v>
      </c>
    </row>
    <row r="254" spans="9:10">
      <c r="I254" s="50">
        <v>44490</v>
      </c>
      <c r="J254" s="22">
        <v>10</v>
      </c>
    </row>
    <row r="255" spans="9:10">
      <c r="I255" s="50">
        <v>44491</v>
      </c>
      <c r="J255" s="22">
        <v>10</v>
      </c>
    </row>
    <row r="256" spans="9:10">
      <c r="I256" s="50">
        <v>44492</v>
      </c>
      <c r="J256" s="22">
        <v>10</v>
      </c>
    </row>
    <row r="257" spans="9:10">
      <c r="I257" s="50">
        <v>44493</v>
      </c>
      <c r="J257" s="22">
        <v>10</v>
      </c>
    </row>
    <row r="258" spans="9:10">
      <c r="I258" s="50">
        <v>44494</v>
      </c>
      <c r="J258" s="22">
        <v>10</v>
      </c>
    </row>
    <row r="259" spans="9:10">
      <c r="I259" s="50">
        <v>44495</v>
      </c>
      <c r="J259" s="22">
        <v>10</v>
      </c>
    </row>
    <row r="260" spans="9:10">
      <c r="I260" s="50">
        <v>44496</v>
      </c>
      <c r="J260" s="22">
        <v>10</v>
      </c>
    </row>
    <row r="261" spans="9:10">
      <c r="I261" s="50">
        <v>44497</v>
      </c>
      <c r="J261" s="22">
        <v>10</v>
      </c>
    </row>
    <row r="262" spans="9:10">
      <c r="I262" s="50">
        <v>44498</v>
      </c>
      <c r="J262" s="22">
        <v>10</v>
      </c>
    </row>
    <row r="263" spans="9:10">
      <c r="I263" s="50">
        <v>44499</v>
      </c>
      <c r="J263" s="22">
        <v>10</v>
      </c>
    </row>
    <row r="264" spans="9:10">
      <c r="I264" s="50">
        <v>44500</v>
      </c>
      <c r="J264" s="22">
        <v>10</v>
      </c>
    </row>
    <row r="265" spans="9:10">
      <c r="I265" s="50">
        <v>44501</v>
      </c>
      <c r="J265" s="22">
        <v>11</v>
      </c>
    </row>
    <row r="266" spans="9:10">
      <c r="I266" s="50">
        <v>44502</v>
      </c>
      <c r="J266" s="22">
        <v>11</v>
      </c>
    </row>
    <row r="267" spans="9:10">
      <c r="I267" s="50">
        <v>44503</v>
      </c>
      <c r="J267" s="22">
        <v>11</v>
      </c>
    </row>
    <row r="268" spans="9:10">
      <c r="I268" s="50">
        <v>44504</v>
      </c>
      <c r="J268" s="22">
        <v>11</v>
      </c>
    </row>
    <row r="269" spans="9:10">
      <c r="I269" s="50">
        <v>44505</v>
      </c>
      <c r="J269" s="22">
        <v>11</v>
      </c>
    </row>
    <row r="270" spans="9:10">
      <c r="I270" s="50">
        <v>44506</v>
      </c>
      <c r="J270" s="22">
        <v>11</v>
      </c>
    </row>
    <row r="271" spans="9:10">
      <c r="I271" s="50">
        <v>44507</v>
      </c>
      <c r="J271" s="22">
        <v>11</v>
      </c>
    </row>
    <row r="272" spans="9:10">
      <c r="I272" s="50">
        <v>44508</v>
      </c>
      <c r="J272" s="22">
        <v>11</v>
      </c>
    </row>
    <row r="273" spans="9:10">
      <c r="I273" s="50">
        <v>44509</v>
      </c>
      <c r="J273" s="22">
        <v>11</v>
      </c>
    </row>
    <row r="274" spans="9:10">
      <c r="I274" s="50">
        <v>44510</v>
      </c>
      <c r="J274" s="22">
        <v>11</v>
      </c>
    </row>
    <row r="275" spans="9:10">
      <c r="I275" s="50">
        <v>44511</v>
      </c>
      <c r="J275" s="22">
        <v>11</v>
      </c>
    </row>
    <row r="276" spans="9:10">
      <c r="I276" s="50">
        <v>44512</v>
      </c>
      <c r="J276" s="22">
        <v>11</v>
      </c>
    </row>
    <row r="277" spans="9:10">
      <c r="I277" s="50">
        <v>44513</v>
      </c>
      <c r="J277" s="22">
        <v>11</v>
      </c>
    </row>
    <row r="278" spans="9:10">
      <c r="I278" s="50">
        <v>44514</v>
      </c>
      <c r="J278" s="22">
        <v>11</v>
      </c>
    </row>
    <row r="279" spans="9:10">
      <c r="I279" s="50">
        <v>44515</v>
      </c>
      <c r="J279" s="22">
        <v>11</v>
      </c>
    </row>
    <row r="280" spans="9:10">
      <c r="I280" s="50">
        <v>44516</v>
      </c>
      <c r="J280" s="22">
        <v>11</v>
      </c>
    </row>
    <row r="281" spans="9:10">
      <c r="I281" s="50">
        <v>44517</v>
      </c>
      <c r="J281" s="22">
        <v>11</v>
      </c>
    </row>
    <row r="282" spans="9:10">
      <c r="I282" s="50">
        <v>44518</v>
      </c>
      <c r="J282" s="22">
        <v>11</v>
      </c>
    </row>
    <row r="283" spans="9:10">
      <c r="I283" s="50">
        <v>44519</v>
      </c>
      <c r="J283" s="22">
        <v>11</v>
      </c>
    </row>
    <row r="284" spans="9:10">
      <c r="I284" s="50">
        <v>44520</v>
      </c>
      <c r="J284" s="22">
        <v>11</v>
      </c>
    </row>
    <row r="285" spans="9:10">
      <c r="I285" s="50">
        <v>44521</v>
      </c>
      <c r="J285" s="22">
        <v>11</v>
      </c>
    </row>
    <row r="286" spans="9:10">
      <c r="I286" s="50">
        <v>44522</v>
      </c>
      <c r="J286" s="22">
        <v>11</v>
      </c>
    </row>
    <row r="287" spans="9:10">
      <c r="I287" s="50">
        <v>44523</v>
      </c>
      <c r="J287" s="22">
        <v>11</v>
      </c>
    </row>
    <row r="288" spans="9:10">
      <c r="I288" s="50">
        <v>44524</v>
      </c>
      <c r="J288" s="22">
        <v>11</v>
      </c>
    </row>
    <row r="289" spans="9:10">
      <c r="I289" s="50">
        <v>44525</v>
      </c>
      <c r="J289" s="22">
        <v>11</v>
      </c>
    </row>
    <row r="290" spans="9:10">
      <c r="I290" s="50">
        <v>44526</v>
      </c>
      <c r="J290" s="22">
        <v>11</v>
      </c>
    </row>
    <row r="291" spans="9:10">
      <c r="I291" s="50">
        <v>44527</v>
      </c>
      <c r="J291" s="22">
        <v>11</v>
      </c>
    </row>
    <row r="292" spans="9:10">
      <c r="I292" s="50">
        <v>44528</v>
      </c>
      <c r="J292" s="22">
        <v>11</v>
      </c>
    </row>
    <row r="293" spans="9:10">
      <c r="I293" s="50">
        <v>44529</v>
      </c>
      <c r="J293" s="22">
        <v>11</v>
      </c>
    </row>
    <row r="294" spans="9:10">
      <c r="I294" s="50">
        <v>44530</v>
      </c>
      <c r="J294" s="22">
        <v>11</v>
      </c>
    </row>
    <row r="295" spans="9:10">
      <c r="I295" s="50">
        <v>44531</v>
      </c>
      <c r="J295" s="22">
        <v>12</v>
      </c>
    </row>
    <row r="296" spans="9:10">
      <c r="I296" s="50">
        <v>44532</v>
      </c>
      <c r="J296" s="22">
        <v>12</v>
      </c>
    </row>
    <row r="297" spans="9:10">
      <c r="I297" s="50">
        <v>44533</v>
      </c>
      <c r="J297" s="22">
        <v>12</v>
      </c>
    </row>
    <row r="298" spans="9:10">
      <c r="I298" s="50">
        <v>44534</v>
      </c>
      <c r="J298" s="22">
        <v>12</v>
      </c>
    </row>
    <row r="299" spans="9:10">
      <c r="I299" s="50">
        <v>44535</v>
      </c>
      <c r="J299" s="22">
        <v>12</v>
      </c>
    </row>
    <row r="300" spans="9:10">
      <c r="I300" s="50">
        <v>44536</v>
      </c>
      <c r="J300" s="22">
        <v>12</v>
      </c>
    </row>
    <row r="301" spans="9:10">
      <c r="I301" s="50">
        <v>44537</v>
      </c>
      <c r="J301" s="22">
        <v>12</v>
      </c>
    </row>
    <row r="302" spans="9:10">
      <c r="I302" s="50">
        <v>44538</v>
      </c>
      <c r="J302" s="22">
        <v>12</v>
      </c>
    </row>
    <row r="303" spans="9:10">
      <c r="I303" s="50">
        <v>44539</v>
      </c>
      <c r="J303" s="22">
        <v>12</v>
      </c>
    </row>
    <row r="304" spans="9:10">
      <c r="I304" s="50">
        <v>44540</v>
      </c>
      <c r="J304" s="22">
        <v>12</v>
      </c>
    </row>
    <row r="305" spans="9:10">
      <c r="I305" s="50">
        <v>44541</v>
      </c>
      <c r="J305" s="22">
        <v>12</v>
      </c>
    </row>
    <row r="306" spans="9:10">
      <c r="I306" s="50">
        <v>44542</v>
      </c>
      <c r="J306" s="22">
        <v>12</v>
      </c>
    </row>
    <row r="307" spans="9:10">
      <c r="I307" s="50">
        <v>44543</v>
      </c>
      <c r="J307" s="22">
        <v>12</v>
      </c>
    </row>
    <row r="308" spans="9:10">
      <c r="I308" s="50">
        <v>44544</v>
      </c>
      <c r="J308" s="22">
        <v>12</v>
      </c>
    </row>
    <row r="309" spans="9:10">
      <c r="I309" s="50">
        <v>44545</v>
      </c>
      <c r="J309" s="22">
        <v>12</v>
      </c>
    </row>
    <row r="310" spans="9:10">
      <c r="I310" s="50">
        <v>44546</v>
      </c>
      <c r="J310" s="22">
        <v>12</v>
      </c>
    </row>
    <row r="311" spans="9:10">
      <c r="I311" s="50">
        <v>44547</v>
      </c>
      <c r="J311" s="22">
        <v>12</v>
      </c>
    </row>
    <row r="312" spans="9:10">
      <c r="I312" s="50">
        <v>44548</v>
      </c>
      <c r="J312" s="22">
        <v>12</v>
      </c>
    </row>
    <row r="313" spans="9:10">
      <c r="I313" s="50">
        <v>44549</v>
      </c>
      <c r="J313" s="22">
        <v>12</v>
      </c>
    </row>
    <row r="314" spans="9:10">
      <c r="I314" s="50">
        <v>44550</v>
      </c>
      <c r="J314" s="22">
        <v>12</v>
      </c>
    </row>
    <row r="315" spans="9:10">
      <c r="I315" s="50">
        <v>44551</v>
      </c>
      <c r="J315" s="22">
        <v>12</v>
      </c>
    </row>
    <row r="316" spans="9:10">
      <c r="I316" s="50">
        <v>44552</v>
      </c>
      <c r="J316" s="22">
        <v>12</v>
      </c>
    </row>
    <row r="317" spans="9:10">
      <c r="I317" s="50">
        <v>44553</v>
      </c>
      <c r="J317" s="22">
        <v>12</v>
      </c>
    </row>
    <row r="318" spans="9:10">
      <c r="I318" s="50">
        <v>44554</v>
      </c>
      <c r="J318" s="22">
        <v>12</v>
      </c>
    </row>
    <row r="319" spans="9:10">
      <c r="I319" s="50">
        <v>44555</v>
      </c>
      <c r="J319" s="22">
        <v>12</v>
      </c>
    </row>
    <row r="320" spans="9:10">
      <c r="I320" s="50">
        <v>44556</v>
      </c>
      <c r="J320" s="22">
        <v>12</v>
      </c>
    </row>
    <row r="321" spans="9:10">
      <c r="I321" s="50">
        <v>44557</v>
      </c>
      <c r="J321" s="22">
        <v>12</v>
      </c>
    </row>
    <row r="322" spans="9:10">
      <c r="I322" s="50">
        <v>44558</v>
      </c>
      <c r="J322" s="22">
        <v>12</v>
      </c>
    </row>
    <row r="323" spans="9:10">
      <c r="I323" s="50">
        <v>44559</v>
      </c>
      <c r="J323" s="22">
        <v>12</v>
      </c>
    </row>
    <row r="324" spans="9:10">
      <c r="I324" s="50">
        <v>44560</v>
      </c>
      <c r="J324" s="22">
        <v>12</v>
      </c>
    </row>
    <row r="325" spans="9:10">
      <c r="I325" s="50">
        <v>44561</v>
      </c>
      <c r="J325" s="22">
        <v>12</v>
      </c>
    </row>
    <row r="326" spans="9:10">
      <c r="I326" s="50">
        <v>44652</v>
      </c>
      <c r="J326" s="22">
        <v>4</v>
      </c>
    </row>
    <row r="327" spans="9:10">
      <c r="I327" s="50">
        <v>44653</v>
      </c>
      <c r="J327" s="22">
        <v>4</v>
      </c>
    </row>
    <row r="328" spans="9:10">
      <c r="I328" s="50">
        <v>44654</v>
      </c>
      <c r="J328" s="22">
        <v>4</v>
      </c>
    </row>
    <row r="329" spans="9:10">
      <c r="I329" s="50">
        <v>44655</v>
      </c>
      <c r="J329" s="22">
        <v>4</v>
      </c>
    </row>
    <row r="330" spans="9:10">
      <c r="I330" s="50">
        <v>44656</v>
      </c>
      <c r="J330" s="22">
        <v>4</v>
      </c>
    </row>
    <row r="331" spans="9:10">
      <c r="I331" s="50">
        <v>44657</v>
      </c>
      <c r="J331" s="22">
        <v>4</v>
      </c>
    </row>
    <row r="332" spans="9:10">
      <c r="I332" s="50">
        <v>44658</v>
      </c>
      <c r="J332" s="22">
        <v>4</v>
      </c>
    </row>
    <row r="333" spans="9:10">
      <c r="I333" s="50">
        <v>44659</v>
      </c>
      <c r="J333" s="22">
        <v>4</v>
      </c>
    </row>
    <row r="334" spans="9:10">
      <c r="I334" s="50">
        <v>44660</v>
      </c>
      <c r="J334" s="22">
        <v>4</v>
      </c>
    </row>
    <row r="335" spans="9:10">
      <c r="I335" s="50">
        <v>44661</v>
      </c>
      <c r="J335" s="22">
        <v>4</v>
      </c>
    </row>
    <row r="336" spans="9:10">
      <c r="I336" s="50">
        <v>44662</v>
      </c>
      <c r="J336" s="22">
        <v>4</v>
      </c>
    </row>
    <row r="337" spans="9:10">
      <c r="I337" s="50">
        <v>44663</v>
      </c>
      <c r="J337" s="22">
        <v>4</v>
      </c>
    </row>
    <row r="338" spans="9:10">
      <c r="I338" s="50">
        <v>44664</v>
      </c>
      <c r="J338" s="22">
        <v>4</v>
      </c>
    </row>
    <row r="339" spans="9:10">
      <c r="I339" s="50">
        <v>44665</v>
      </c>
      <c r="J339" s="22">
        <v>4</v>
      </c>
    </row>
    <row r="340" spans="9:10">
      <c r="I340" s="50">
        <v>44666</v>
      </c>
      <c r="J340" s="22">
        <v>4</v>
      </c>
    </row>
    <row r="341" spans="9:10">
      <c r="I341" s="50">
        <v>44667</v>
      </c>
      <c r="J341" s="22">
        <v>4</v>
      </c>
    </row>
    <row r="342" spans="9:10">
      <c r="I342" s="50">
        <v>44668</v>
      </c>
      <c r="J342" s="22">
        <v>4</v>
      </c>
    </row>
    <row r="343" spans="9:10">
      <c r="I343" s="50">
        <v>44669</v>
      </c>
      <c r="J343" s="22">
        <v>4</v>
      </c>
    </row>
    <row r="344" spans="9:10">
      <c r="I344" s="50">
        <v>44670</v>
      </c>
      <c r="J344" s="22">
        <v>4</v>
      </c>
    </row>
    <row r="345" spans="9:10">
      <c r="I345" s="50">
        <v>44671</v>
      </c>
      <c r="J345" s="22">
        <v>4</v>
      </c>
    </row>
    <row r="346" spans="9:10">
      <c r="I346" s="50">
        <v>44672</v>
      </c>
      <c r="J346" s="22">
        <v>4</v>
      </c>
    </row>
    <row r="347" spans="9:10">
      <c r="I347" s="50">
        <v>44673</v>
      </c>
      <c r="J347" s="22">
        <v>4</v>
      </c>
    </row>
    <row r="348" spans="9:10">
      <c r="I348" s="50">
        <v>44674</v>
      </c>
      <c r="J348" s="22">
        <v>4</v>
      </c>
    </row>
    <row r="349" spans="9:10">
      <c r="I349" s="50">
        <v>44675</v>
      </c>
      <c r="J349" s="22">
        <v>4</v>
      </c>
    </row>
    <row r="350" spans="9:10">
      <c r="I350" s="50">
        <v>44676</v>
      </c>
      <c r="J350" s="22">
        <v>4</v>
      </c>
    </row>
    <row r="351" spans="9:10">
      <c r="I351" s="50">
        <v>44677</v>
      </c>
      <c r="J351" s="22">
        <v>4</v>
      </c>
    </row>
    <row r="352" spans="9:10">
      <c r="I352" s="50">
        <v>44678</v>
      </c>
      <c r="J352" s="22">
        <v>4</v>
      </c>
    </row>
    <row r="353" spans="9:10">
      <c r="I353" s="50">
        <v>44679</v>
      </c>
      <c r="J353" s="22">
        <v>4</v>
      </c>
    </row>
    <row r="354" spans="9:10">
      <c r="I354" s="50">
        <v>44680</v>
      </c>
      <c r="J354" s="22">
        <v>4</v>
      </c>
    </row>
    <row r="355" spans="9:10">
      <c r="I355" s="50">
        <v>44681</v>
      </c>
      <c r="J355" s="22">
        <v>4</v>
      </c>
    </row>
    <row r="356" spans="9:10">
      <c r="I356" s="50">
        <v>44682</v>
      </c>
      <c r="J356" s="22">
        <v>5</v>
      </c>
    </row>
    <row r="357" spans="9:10">
      <c r="I357" s="50">
        <v>44683</v>
      </c>
      <c r="J357" s="22">
        <v>5</v>
      </c>
    </row>
    <row r="358" spans="9:10">
      <c r="I358" s="50">
        <v>44684</v>
      </c>
      <c r="J358" s="22">
        <v>5</v>
      </c>
    </row>
    <row r="359" spans="9:10">
      <c r="I359" s="50">
        <v>44685</v>
      </c>
      <c r="J359" s="22">
        <v>5</v>
      </c>
    </row>
    <row r="360" spans="9:10">
      <c r="I360" s="50">
        <v>44686</v>
      </c>
      <c r="J360" s="22">
        <v>5</v>
      </c>
    </row>
    <row r="361" spans="9:10">
      <c r="I361" s="50">
        <v>44687</v>
      </c>
      <c r="J361" s="22">
        <v>5</v>
      </c>
    </row>
    <row r="362" spans="9:10">
      <c r="I362" s="50">
        <v>44688</v>
      </c>
      <c r="J362" s="22">
        <v>5</v>
      </c>
    </row>
    <row r="363" spans="9:10">
      <c r="I363" s="50">
        <v>44689</v>
      </c>
      <c r="J363" s="22">
        <v>5</v>
      </c>
    </row>
    <row r="364" spans="9:10">
      <c r="I364" s="50">
        <v>44690</v>
      </c>
      <c r="J364" s="22">
        <v>5</v>
      </c>
    </row>
    <row r="365" spans="9:10">
      <c r="I365" s="50">
        <v>44691</v>
      </c>
      <c r="J365" s="22">
        <v>5</v>
      </c>
    </row>
    <row r="366" spans="9:10">
      <c r="I366" s="50">
        <v>44692</v>
      </c>
      <c r="J366" s="22">
        <v>5</v>
      </c>
    </row>
    <row r="367" spans="9:10">
      <c r="I367" s="50">
        <v>44693</v>
      </c>
      <c r="J367" s="22">
        <v>5</v>
      </c>
    </row>
    <row r="368" spans="9:10">
      <c r="I368" s="50">
        <v>44694</v>
      </c>
      <c r="J368" s="22">
        <v>5</v>
      </c>
    </row>
    <row r="369" spans="9:10">
      <c r="I369" s="50">
        <v>44695</v>
      </c>
      <c r="J369" s="22">
        <v>5</v>
      </c>
    </row>
    <row r="370" spans="9:10">
      <c r="I370" s="50">
        <v>44696</v>
      </c>
      <c r="J370" s="22">
        <v>5</v>
      </c>
    </row>
    <row r="371" spans="9:10">
      <c r="I371" s="50">
        <v>44697</v>
      </c>
      <c r="J371" s="22">
        <v>5</v>
      </c>
    </row>
    <row r="372" spans="9:10">
      <c r="I372" s="50">
        <v>44698</v>
      </c>
      <c r="J372" s="22">
        <v>5</v>
      </c>
    </row>
    <row r="373" spans="9:10">
      <c r="I373" s="50">
        <v>44699</v>
      </c>
      <c r="J373" s="22">
        <v>5</v>
      </c>
    </row>
    <row r="374" spans="9:10">
      <c r="I374" s="50">
        <v>44700</v>
      </c>
      <c r="J374" s="22">
        <v>5</v>
      </c>
    </row>
    <row r="375" spans="9:10">
      <c r="I375" s="50">
        <v>44701</v>
      </c>
      <c r="J375" s="22">
        <v>5</v>
      </c>
    </row>
    <row r="376" spans="9:10">
      <c r="I376" s="50">
        <v>44702</v>
      </c>
      <c r="J376" s="22">
        <v>5</v>
      </c>
    </row>
    <row r="377" spans="9:10">
      <c r="I377" s="50">
        <v>44703</v>
      </c>
      <c r="J377" s="22">
        <v>5</v>
      </c>
    </row>
    <row r="378" spans="9:10">
      <c r="I378" s="50">
        <v>44704</v>
      </c>
      <c r="J378" s="22">
        <v>5</v>
      </c>
    </row>
    <row r="379" spans="9:10">
      <c r="I379" s="50">
        <v>44705</v>
      </c>
      <c r="J379" s="22">
        <v>5</v>
      </c>
    </row>
    <row r="380" spans="9:10">
      <c r="I380" s="50">
        <v>44706</v>
      </c>
      <c r="J380" s="22">
        <v>5</v>
      </c>
    </row>
    <row r="381" spans="9:10">
      <c r="I381" s="50">
        <v>44707</v>
      </c>
      <c r="J381" s="22">
        <v>5</v>
      </c>
    </row>
    <row r="382" spans="9:10">
      <c r="I382" s="50">
        <v>44708</v>
      </c>
      <c r="J382" s="22">
        <v>5</v>
      </c>
    </row>
    <row r="383" spans="9:10">
      <c r="I383" s="50">
        <v>44709</v>
      </c>
      <c r="J383" s="22">
        <v>5</v>
      </c>
    </row>
    <row r="384" spans="9:10">
      <c r="I384" s="50">
        <v>44710</v>
      </c>
      <c r="J384" s="22">
        <v>5</v>
      </c>
    </row>
    <row r="385" spans="9:10">
      <c r="I385" s="50">
        <v>44711</v>
      </c>
      <c r="J385" s="22">
        <v>5</v>
      </c>
    </row>
    <row r="386" spans="9:10">
      <c r="I386" s="50">
        <v>44712</v>
      </c>
      <c r="J386" s="22">
        <v>5</v>
      </c>
    </row>
    <row r="387" spans="9:10">
      <c r="I387" s="50">
        <v>44713</v>
      </c>
    </row>
    <row r="388" spans="9:10">
      <c r="I388" s="50">
        <v>44714</v>
      </c>
    </row>
    <row r="389" spans="9:10">
      <c r="I389" s="50">
        <v>44715</v>
      </c>
    </row>
    <row r="390" spans="9:10">
      <c r="I390" s="50">
        <v>44716</v>
      </c>
    </row>
    <row r="391" spans="9:10">
      <c r="I391" s="50">
        <v>44717</v>
      </c>
    </row>
    <row r="392" spans="9:10">
      <c r="I392" s="50">
        <v>44718</v>
      </c>
    </row>
    <row r="393" spans="9:10">
      <c r="I393" s="50">
        <v>44719</v>
      </c>
    </row>
    <row r="394" spans="9:10">
      <c r="I394" s="50">
        <v>44720</v>
      </c>
    </row>
    <row r="395" spans="9:10">
      <c r="I395" s="50">
        <v>44721</v>
      </c>
    </row>
    <row r="396" spans="9:10">
      <c r="I396" s="50">
        <v>44722</v>
      </c>
    </row>
    <row r="397" spans="9:10">
      <c r="I397" s="50">
        <v>44723</v>
      </c>
    </row>
    <row r="398" spans="9:10">
      <c r="I398" s="50">
        <v>44724</v>
      </c>
    </row>
    <row r="399" spans="9:10">
      <c r="I399" s="50">
        <v>44725</v>
      </c>
    </row>
    <row r="400" spans="9:10">
      <c r="I400" s="50">
        <v>44726</v>
      </c>
    </row>
    <row r="401" spans="9:9">
      <c r="I401" s="50">
        <v>44727</v>
      </c>
    </row>
    <row r="402" spans="9:9">
      <c r="I402" s="50">
        <v>44728</v>
      </c>
    </row>
    <row r="403" spans="9:9">
      <c r="I403" s="50">
        <v>44729</v>
      </c>
    </row>
    <row r="404" spans="9:9">
      <c r="I404" s="50">
        <v>44730</v>
      </c>
    </row>
    <row r="405" spans="9:9">
      <c r="I405" s="50">
        <v>44731</v>
      </c>
    </row>
    <row r="406" spans="9:9">
      <c r="I406" s="50">
        <v>44732</v>
      </c>
    </row>
    <row r="407" spans="9:9">
      <c r="I407" s="50">
        <v>44733</v>
      </c>
    </row>
    <row r="408" spans="9:9">
      <c r="I408" s="50">
        <v>44734</v>
      </c>
    </row>
    <row r="409" spans="9:9">
      <c r="I409" s="50">
        <v>44735</v>
      </c>
    </row>
    <row r="410" spans="9:9">
      <c r="I410" s="50">
        <v>44736</v>
      </c>
    </row>
    <row r="411" spans="9:9">
      <c r="I411" s="50">
        <v>44737</v>
      </c>
    </row>
    <row r="412" spans="9:9">
      <c r="I412" s="50">
        <v>44738</v>
      </c>
    </row>
    <row r="413" spans="9:9">
      <c r="I413" s="50">
        <v>44739</v>
      </c>
    </row>
    <row r="414" spans="9:9">
      <c r="I414" s="50">
        <v>44740</v>
      </c>
    </row>
    <row r="415" spans="9:9">
      <c r="I415" s="50">
        <v>44741</v>
      </c>
    </row>
    <row r="416" spans="9:9">
      <c r="I416" s="50">
        <v>44742</v>
      </c>
    </row>
    <row r="417" spans="9:9">
      <c r="I417" s="50">
        <v>44743</v>
      </c>
    </row>
    <row r="418" spans="9:9">
      <c r="I418" s="50">
        <v>44744</v>
      </c>
    </row>
    <row r="419" spans="9:9">
      <c r="I419" s="50">
        <v>44745</v>
      </c>
    </row>
    <row r="420" spans="9:9">
      <c r="I420" s="50">
        <v>44746</v>
      </c>
    </row>
    <row r="421" spans="9:9">
      <c r="I421" s="50">
        <v>44747</v>
      </c>
    </row>
    <row r="422" spans="9:9">
      <c r="I422" s="50">
        <v>44748</v>
      </c>
    </row>
    <row r="423" spans="9:9">
      <c r="I423" s="50">
        <v>44749</v>
      </c>
    </row>
    <row r="424" spans="9:9">
      <c r="I424" s="50">
        <v>44750</v>
      </c>
    </row>
    <row r="425" spans="9:9">
      <c r="I425" s="50">
        <v>44751</v>
      </c>
    </row>
    <row r="426" spans="9:9">
      <c r="I426" s="50">
        <v>44752</v>
      </c>
    </row>
    <row r="427" spans="9:9">
      <c r="I427" s="50">
        <v>44753</v>
      </c>
    </row>
    <row r="428" spans="9:9">
      <c r="I428" s="50">
        <v>44754</v>
      </c>
    </row>
    <row r="429" spans="9:9">
      <c r="I429" s="50">
        <v>44755</v>
      </c>
    </row>
    <row r="430" spans="9:9">
      <c r="I430" s="50">
        <v>44756</v>
      </c>
    </row>
    <row r="431" spans="9:9">
      <c r="I431" s="50">
        <v>44757</v>
      </c>
    </row>
    <row r="432" spans="9:9">
      <c r="I432" s="50">
        <v>44758</v>
      </c>
    </row>
    <row r="433" spans="9:9">
      <c r="I433" s="50">
        <v>44759</v>
      </c>
    </row>
    <row r="434" spans="9:9">
      <c r="I434" s="50">
        <v>44760</v>
      </c>
    </row>
    <row r="435" spans="9:9">
      <c r="I435" s="50">
        <v>44761</v>
      </c>
    </row>
    <row r="436" spans="9:9">
      <c r="I436" s="50">
        <v>44762</v>
      </c>
    </row>
    <row r="437" spans="9:9">
      <c r="I437" s="50">
        <v>44763</v>
      </c>
    </row>
    <row r="438" spans="9:9">
      <c r="I438" s="50">
        <v>44764</v>
      </c>
    </row>
    <row r="439" spans="9:9">
      <c r="I439" s="50">
        <v>44765</v>
      </c>
    </row>
    <row r="440" spans="9:9">
      <c r="I440" s="50">
        <v>44766</v>
      </c>
    </row>
    <row r="441" spans="9:9">
      <c r="I441" s="50">
        <v>44767</v>
      </c>
    </row>
    <row r="442" spans="9:9">
      <c r="I442" s="50">
        <v>44768</v>
      </c>
    </row>
    <row r="443" spans="9:9">
      <c r="I443" s="50">
        <v>44769</v>
      </c>
    </row>
    <row r="444" spans="9:9">
      <c r="I444" s="50">
        <v>44770</v>
      </c>
    </row>
    <row r="445" spans="9:9">
      <c r="I445" s="50">
        <v>44771</v>
      </c>
    </row>
    <row r="446" spans="9:9">
      <c r="I446" s="50">
        <v>44772</v>
      </c>
    </row>
    <row r="447" spans="9:9">
      <c r="I447" s="50">
        <v>44773</v>
      </c>
    </row>
    <row r="448" spans="9:9">
      <c r="I448" s="50">
        <v>44774</v>
      </c>
    </row>
    <row r="449" spans="9:9">
      <c r="I449" s="50">
        <v>44775</v>
      </c>
    </row>
    <row r="450" spans="9:9">
      <c r="I450" s="50">
        <v>44776</v>
      </c>
    </row>
    <row r="451" spans="9:9">
      <c r="I451" s="50">
        <v>44777</v>
      </c>
    </row>
    <row r="452" spans="9:9">
      <c r="I452" s="50">
        <v>44778</v>
      </c>
    </row>
    <row r="453" spans="9:9">
      <c r="I453" s="50">
        <v>44779</v>
      </c>
    </row>
    <row r="454" spans="9:9">
      <c r="I454" s="50">
        <v>44780</v>
      </c>
    </row>
    <row r="455" spans="9:9">
      <c r="I455" s="50">
        <v>44781</v>
      </c>
    </row>
    <row r="456" spans="9:9">
      <c r="I456" s="50">
        <v>44782</v>
      </c>
    </row>
    <row r="457" spans="9:9">
      <c r="I457" s="50">
        <v>44783</v>
      </c>
    </row>
    <row r="458" spans="9:9">
      <c r="I458" s="50">
        <v>44784</v>
      </c>
    </row>
    <row r="459" spans="9:9">
      <c r="I459" s="50">
        <v>44785</v>
      </c>
    </row>
    <row r="460" spans="9:9">
      <c r="I460" s="50">
        <v>44786</v>
      </c>
    </row>
    <row r="461" spans="9:9">
      <c r="I461" s="50">
        <v>44787</v>
      </c>
    </row>
    <row r="462" spans="9:9">
      <c r="I462" s="50">
        <v>44788</v>
      </c>
    </row>
    <row r="463" spans="9:9">
      <c r="I463" s="50">
        <v>44789</v>
      </c>
    </row>
    <row r="464" spans="9:9">
      <c r="I464" s="50">
        <v>44790</v>
      </c>
    </row>
    <row r="465" spans="9:9">
      <c r="I465" s="50">
        <v>44791</v>
      </c>
    </row>
    <row r="466" spans="9:9">
      <c r="I466" s="50">
        <v>44792</v>
      </c>
    </row>
    <row r="467" spans="9:9">
      <c r="I467" s="50">
        <v>44793</v>
      </c>
    </row>
    <row r="468" spans="9:9">
      <c r="I468" s="50">
        <v>44794</v>
      </c>
    </row>
    <row r="469" spans="9:9">
      <c r="I469" s="50">
        <v>44795</v>
      </c>
    </row>
    <row r="470" spans="9:9">
      <c r="I470" s="50">
        <v>44796</v>
      </c>
    </row>
    <row r="471" spans="9:9">
      <c r="I471" s="50">
        <v>44797</v>
      </c>
    </row>
    <row r="472" spans="9:9">
      <c r="I472" s="50">
        <v>44798</v>
      </c>
    </row>
    <row r="473" spans="9:9">
      <c r="I473" s="50">
        <v>44799</v>
      </c>
    </row>
    <row r="474" spans="9:9">
      <c r="I474" s="50">
        <v>44800</v>
      </c>
    </row>
    <row r="475" spans="9:9">
      <c r="I475" s="50">
        <v>44801</v>
      </c>
    </row>
    <row r="476" spans="9:9">
      <c r="I476" s="50">
        <v>44802</v>
      </c>
    </row>
    <row r="477" spans="9:9">
      <c r="I477" s="50">
        <v>44803</v>
      </c>
    </row>
    <row r="478" spans="9:9">
      <c r="I478" s="50">
        <v>44804</v>
      </c>
    </row>
    <row r="479" spans="9:9">
      <c r="I479" s="50">
        <v>44805</v>
      </c>
    </row>
    <row r="480" spans="9:9">
      <c r="I480" s="50">
        <v>44806</v>
      </c>
    </row>
    <row r="481" spans="9:9">
      <c r="I481" s="50">
        <v>44807</v>
      </c>
    </row>
    <row r="482" spans="9:9">
      <c r="I482" s="50">
        <v>44808</v>
      </c>
    </row>
    <row r="483" spans="9:9">
      <c r="I483" s="50">
        <v>44809</v>
      </c>
    </row>
    <row r="484" spans="9:9">
      <c r="I484" s="50">
        <v>44810</v>
      </c>
    </row>
    <row r="485" spans="9:9">
      <c r="I485" s="50">
        <v>44811</v>
      </c>
    </row>
    <row r="486" spans="9:9">
      <c r="I486" s="50">
        <v>44812</v>
      </c>
    </row>
    <row r="487" spans="9:9">
      <c r="I487" s="50">
        <v>44813</v>
      </c>
    </row>
    <row r="488" spans="9:9">
      <c r="I488" s="50">
        <v>44814</v>
      </c>
    </row>
    <row r="489" spans="9:9">
      <c r="I489" s="50">
        <v>44815</v>
      </c>
    </row>
    <row r="490" spans="9:9">
      <c r="I490" s="50">
        <v>44816</v>
      </c>
    </row>
    <row r="491" spans="9:9">
      <c r="I491" s="50">
        <v>44817</v>
      </c>
    </row>
    <row r="492" spans="9:9">
      <c r="I492" s="50">
        <v>44818</v>
      </c>
    </row>
    <row r="493" spans="9:9">
      <c r="I493" s="50">
        <v>44819</v>
      </c>
    </row>
    <row r="494" spans="9:9">
      <c r="I494" s="50">
        <v>44820</v>
      </c>
    </row>
    <row r="495" spans="9:9">
      <c r="I495" s="50">
        <v>44821</v>
      </c>
    </row>
    <row r="496" spans="9:9">
      <c r="I496" s="50">
        <v>44822</v>
      </c>
    </row>
    <row r="497" spans="9:9">
      <c r="I497" s="50">
        <v>44823</v>
      </c>
    </row>
    <row r="498" spans="9:9">
      <c r="I498" s="50">
        <v>44824</v>
      </c>
    </row>
    <row r="499" spans="9:9">
      <c r="I499" s="50">
        <v>44825</v>
      </c>
    </row>
    <row r="500" spans="9:9">
      <c r="I500" s="50">
        <v>44826</v>
      </c>
    </row>
    <row r="501" spans="9:9">
      <c r="I501" s="50">
        <v>44827</v>
      </c>
    </row>
    <row r="502" spans="9:9">
      <c r="I502" s="50">
        <v>44828</v>
      </c>
    </row>
    <row r="503" spans="9:9">
      <c r="I503" s="50">
        <v>44829</v>
      </c>
    </row>
    <row r="504" spans="9:9">
      <c r="I504" s="50">
        <v>44830</v>
      </c>
    </row>
    <row r="505" spans="9:9">
      <c r="I505" s="50">
        <v>44831</v>
      </c>
    </row>
    <row r="506" spans="9:9">
      <c r="I506" s="50">
        <v>44832</v>
      </c>
    </row>
    <row r="507" spans="9:9">
      <c r="I507" s="50">
        <v>44833</v>
      </c>
    </row>
    <row r="508" spans="9:9">
      <c r="I508" s="50">
        <v>44834</v>
      </c>
    </row>
    <row r="509" spans="9:9">
      <c r="I509" s="50">
        <v>44835</v>
      </c>
    </row>
    <row r="510" spans="9:9">
      <c r="I510" s="50">
        <v>44836</v>
      </c>
    </row>
    <row r="511" spans="9:9">
      <c r="I511" s="50">
        <v>44837</v>
      </c>
    </row>
    <row r="512" spans="9:9">
      <c r="I512" s="50">
        <v>44838</v>
      </c>
    </row>
    <row r="513" spans="9:9">
      <c r="I513" s="50">
        <v>44839</v>
      </c>
    </row>
    <row r="514" spans="9:9">
      <c r="I514" s="50">
        <v>44840</v>
      </c>
    </row>
    <row r="515" spans="9:9">
      <c r="I515" s="50">
        <v>44841</v>
      </c>
    </row>
    <row r="516" spans="9:9">
      <c r="I516" s="50">
        <v>44842</v>
      </c>
    </row>
    <row r="517" spans="9:9">
      <c r="I517" s="50">
        <v>44843</v>
      </c>
    </row>
    <row r="518" spans="9:9">
      <c r="I518" s="50">
        <v>44844</v>
      </c>
    </row>
    <row r="519" spans="9:9">
      <c r="I519" s="50">
        <v>44845</v>
      </c>
    </row>
    <row r="520" spans="9:9">
      <c r="I520" s="50">
        <v>44846</v>
      </c>
    </row>
    <row r="521" spans="9:9">
      <c r="I521" s="50">
        <v>44847</v>
      </c>
    </row>
    <row r="522" spans="9:9">
      <c r="I522" s="50">
        <v>44848</v>
      </c>
    </row>
    <row r="523" spans="9:9">
      <c r="I523" s="50">
        <v>44849</v>
      </c>
    </row>
    <row r="524" spans="9:9">
      <c r="I524" s="50">
        <v>44850</v>
      </c>
    </row>
    <row r="525" spans="9:9">
      <c r="I525" s="50">
        <v>44851</v>
      </c>
    </row>
    <row r="526" spans="9:9">
      <c r="I526" s="50">
        <v>44852</v>
      </c>
    </row>
    <row r="527" spans="9:9">
      <c r="I527" s="50">
        <v>44853</v>
      </c>
    </row>
    <row r="528" spans="9:9">
      <c r="I528" s="50">
        <v>44854</v>
      </c>
    </row>
    <row r="529" spans="9:9">
      <c r="I529" s="50">
        <v>44855</v>
      </c>
    </row>
    <row r="530" spans="9:9">
      <c r="I530" s="50">
        <v>44856</v>
      </c>
    </row>
    <row r="531" spans="9:9">
      <c r="I531" s="50">
        <v>44857</v>
      </c>
    </row>
    <row r="532" spans="9:9">
      <c r="I532" s="50">
        <v>44858</v>
      </c>
    </row>
    <row r="533" spans="9:9">
      <c r="I533" s="50">
        <v>44859</v>
      </c>
    </row>
    <row r="534" spans="9:9">
      <c r="I534" s="50">
        <v>44860</v>
      </c>
    </row>
    <row r="535" spans="9:9">
      <c r="I535" s="50">
        <v>44861</v>
      </c>
    </row>
    <row r="536" spans="9:9">
      <c r="I536" s="50">
        <v>44862</v>
      </c>
    </row>
    <row r="537" spans="9:9">
      <c r="I537" s="50">
        <v>44863</v>
      </c>
    </row>
    <row r="538" spans="9:9">
      <c r="I538" s="50">
        <v>44864</v>
      </c>
    </row>
    <row r="539" spans="9:9">
      <c r="I539" s="50">
        <v>44865</v>
      </c>
    </row>
    <row r="540" spans="9:9">
      <c r="I540" s="50">
        <v>44866</v>
      </c>
    </row>
    <row r="541" spans="9:9">
      <c r="I541" s="50">
        <v>44867</v>
      </c>
    </row>
    <row r="542" spans="9:9">
      <c r="I542" s="50">
        <v>44868</v>
      </c>
    </row>
    <row r="543" spans="9:9">
      <c r="I543" s="50">
        <v>44869</v>
      </c>
    </row>
    <row r="544" spans="9:9">
      <c r="I544" s="50">
        <v>44870</v>
      </c>
    </row>
    <row r="545" spans="9:9">
      <c r="I545" s="50">
        <v>44871</v>
      </c>
    </row>
    <row r="546" spans="9:9">
      <c r="I546" s="50">
        <v>44872</v>
      </c>
    </row>
    <row r="547" spans="9:9">
      <c r="I547" s="50">
        <v>44873</v>
      </c>
    </row>
    <row r="548" spans="9:9">
      <c r="I548" s="50">
        <v>44874</v>
      </c>
    </row>
    <row r="549" spans="9:9">
      <c r="I549" s="50">
        <v>44875</v>
      </c>
    </row>
    <row r="550" spans="9:9">
      <c r="I550" s="50">
        <v>44876</v>
      </c>
    </row>
    <row r="551" spans="9:9">
      <c r="I551" s="50">
        <v>44877</v>
      </c>
    </row>
    <row r="552" spans="9:9">
      <c r="I552" s="50">
        <v>44878</v>
      </c>
    </row>
    <row r="553" spans="9:9">
      <c r="I553" s="50">
        <v>44879</v>
      </c>
    </row>
    <row r="554" spans="9:9">
      <c r="I554" s="50">
        <v>44880</v>
      </c>
    </row>
    <row r="555" spans="9:9">
      <c r="I555" s="50">
        <v>44881</v>
      </c>
    </row>
    <row r="556" spans="9:9">
      <c r="I556" s="50">
        <v>44882</v>
      </c>
    </row>
    <row r="557" spans="9:9">
      <c r="I557" s="50">
        <v>44883</v>
      </c>
    </row>
    <row r="558" spans="9:9">
      <c r="I558" s="50">
        <v>44884</v>
      </c>
    </row>
    <row r="559" spans="9:9">
      <c r="I559" s="50">
        <v>44885</v>
      </c>
    </row>
    <row r="560" spans="9:9">
      <c r="I560" s="50">
        <v>44886</v>
      </c>
    </row>
    <row r="561" spans="9:9">
      <c r="I561" s="50">
        <v>44887</v>
      </c>
    </row>
    <row r="562" spans="9:9">
      <c r="I562" s="50">
        <v>44888</v>
      </c>
    </row>
    <row r="563" spans="9:9">
      <c r="I563" s="50">
        <v>44889</v>
      </c>
    </row>
    <row r="564" spans="9:9">
      <c r="I564" s="50">
        <v>44890</v>
      </c>
    </row>
    <row r="565" spans="9:9">
      <c r="I565" s="50">
        <v>44891</v>
      </c>
    </row>
    <row r="566" spans="9:9">
      <c r="I566" s="50">
        <v>44892</v>
      </c>
    </row>
    <row r="567" spans="9:9">
      <c r="I567" s="50">
        <v>44893</v>
      </c>
    </row>
    <row r="568" spans="9:9">
      <c r="I568" s="50">
        <v>44894</v>
      </c>
    </row>
    <row r="569" spans="9:9">
      <c r="I569" s="50">
        <v>44895</v>
      </c>
    </row>
    <row r="570" spans="9:9">
      <c r="I570" s="50">
        <v>44896</v>
      </c>
    </row>
    <row r="571" spans="9:9">
      <c r="I571" s="50">
        <v>44897</v>
      </c>
    </row>
    <row r="572" spans="9:9">
      <c r="I572" s="50">
        <v>44898</v>
      </c>
    </row>
    <row r="573" spans="9:9">
      <c r="I573" s="50">
        <v>44899</v>
      </c>
    </row>
    <row r="574" spans="9:9">
      <c r="I574" s="50">
        <v>44900</v>
      </c>
    </row>
    <row r="575" spans="9:9">
      <c r="I575" s="50">
        <v>44901</v>
      </c>
    </row>
    <row r="576" spans="9:9">
      <c r="I576" s="50">
        <v>44902</v>
      </c>
    </row>
    <row r="577" spans="9:9">
      <c r="I577" s="50">
        <v>44903</v>
      </c>
    </row>
    <row r="578" spans="9:9">
      <c r="I578" s="50">
        <v>44904</v>
      </c>
    </row>
    <row r="579" spans="9:9">
      <c r="I579" s="50">
        <v>44905</v>
      </c>
    </row>
    <row r="580" spans="9:9">
      <c r="I580" s="50">
        <v>44906</v>
      </c>
    </row>
    <row r="581" spans="9:9">
      <c r="I581" s="50">
        <v>44907</v>
      </c>
    </row>
    <row r="582" spans="9:9">
      <c r="I582" s="50">
        <v>44908</v>
      </c>
    </row>
    <row r="583" spans="9:9">
      <c r="I583" s="50">
        <v>44909</v>
      </c>
    </row>
    <row r="584" spans="9:9">
      <c r="I584" s="50">
        <v>44910</v>
      </c>
    </row>
    <row r="585" spans="9:9">
      <c r="I585" s="50">
        <v>44911</v>
      </c>
    </row>
    <row r="586" spans="9:9">
      <c r="I586" s="50">
        <v>44912</v>
      </c>
    </row>
    <row r="587" spans="9:9">
      <c r="I587" s="50">
        <v>44913</v>
      </c>
    </row>
    <row r="588" spans="9:9">
      <c r="I588" s="50">
        <v>44914</v>
      </c>
    </row>
    <row r="589" spans="9:9">
      <c r="I589" s="50">
        <v>44915</v>
      </c>
    </row>
    <row r="590" spans="9:9">
      <c r="I590" s="50">
        <v>44916</v>
      </c>
    </row>
    <row r="591" spans="9:9">
      <c r="I591" s="50">
        <v>44917</v>
      </c>
    </row>
    <row r="592" spans="9:9">
      <c r="I592" s="50">
        <v>44918</v>
      </c>
    </row>
    <row r="593" spans="9:10">
      <c r="I593" s="50">
        <v>44919</v>
      </c>
    </row>
    <row r="594" spans="9:10">
      <c r="I594" s="50">
        <v>44920</v>
      </c>
    </row>
    <row r="595" spans="9:10">
      <c r="I595" s="50">
        <v>44921</v>
      </c>
    </row>
    <row r="596" spans="9:10">
      <c r="I596" s="50">
        <v>44922</v>
      </c>
    </row>
    <row r="597" spans="9:10">
      <c r="I597" s="50">
        <v>44923</v>
      </c>
    </row>
    <row r="598" spans="9:10">
      <c r="I598" s="50">
        <v>44924</v>
      </c>
    </row>
    <row r="599" spans="9:10">
      <c r="I599" s="50">
        <v>44925</v>
      </c>
    </row>
    <row r="600" spans="9:10">
      <c r="I600" s="50">
        <v>44926</v>
      </c>
    </row>
    <row r="601" spans="9:10">
      <c r="I601" s="50">
        <v>45658</v>
      </c>
      <c r="J601" s="22">
        <v>1</v>
      </c>
    </row>
    <row r="602" spans="9:10">
      <c r="I602" s="50">
        <v>45659</v>
      </c>
      <c r="J602" s="22">
        <v>1</v>
      </c>
    </row>
    <row r="603" spans="9:10">
      <c r="I603" s="50">
        <v>45660</v>
      </c>
      <c r="J603" s="22">
        <v>1</v>
      </c>
    </row>
    <row r="604" spans="9:10">
      <c r="I604" s="50">
        <v>45661</v>
      </c>
      <c r="J604" s="22">
        <v>1</v>
      </c>
    </row>
    <row r="605" spans="9:10">
      <c r="I605" s="50">
        <v>45662</v>
      </c>
      <c r="J605" s="22">
        <v>1</v>
      </c>
    </row>
    <row r="606" spans="9:10">
      <c r="I606" s="50">
        <v>45663</v>
      </c>
      <c r="J606" s="22">
        <v>1</v>
      </c>
    </row>
    <row r="607" spans="9:10">
      <c r="I607" s="50">
        <v>45664</v>
      </c>
      <c r="J607" s="22">
        <v>1</v>
      </c>
    </row>
    <row r="608" spans="9:10">
      <c r="I608" s="50">
        <v>45665</v>
      </c>
      <c r="J608" s="22">
        <v>1</v>
      </c>
    </row>
    <row r="609" spans="9:10">
      <c r="I609" s="50">
        <v>45666</v>
      </c>
      <c r="J609" s="22">
        <v>1</v>
      </c>
    </row>
    <row r="610" spans="9:10">
      <c r="I610" s="50">
        <v>45667</v>
      </c>
      <c r="J610" s="22">
        <v>1</v>
      </c>
    </row>
    <row r="611" spans="9:10">
      <c r="I611" s="50">
        <v>45668</v>
      </c>
      <c r="J611" s="22">
        <v>1</v>
      </c>
    </row>
    <row r="612" spans="9:10">
      <c r="I612" s="50">
        <v>45669</v>
      </c>
      <c r="J612" s="22">
        <v>1</v>
      </c>
    </row>
    <row r="613" spans="9:10">
      <c r="I613" s="50">
        <v>45670</v>
      </c>
      <c r="J613" s="22">
        <v>1</v>
      </c>
    </row>
    <row r="614" spans="9:10">
      <c r="I614" s="50">
        <v>45671</v>
      </c>
      <c r="J614" s="22">
        <v>1</v>
      </c>
    </row>
    <row r="615" spans="9:10">
      <c r="I615" s="50">
        <v>45672</v>
      </c>
      <c r="J615" s="22">
        <v>1</v>
      </c>
    </row>
    <row r="616" spans="9:10">
      <c r="I616" s="50">
        <v>45673</v>
      </c>
      <c r="J616" s="22">
        <v>1</v>
      </c>
    </row>
    <row r="617" spans="9:10">
      <c r="I617" s="50">
        <v>45674</v>
      </c>
      <c r="J617" s="22">
        <v>1</v>
      </c>
    </row>
    <row r="618" spans="9:10">
      <c r="I618" s="50">
        <v>45675</v>
      </c>
      <c r="J618" s="22">
        <v>1</v>
      </c>
    </row>
    <row r="619" spans="9:10">
      <c r="I619" s="50">
        <v>45676</v>
      </c>
      <c r="J619" s="22">
        <v>1</v>
      </c>
    </row>
    <row r="620" spans="9:10">
      <c r="I620" s="50">
        <v>45677</v>
      </c>
      <c r="J620" s="22">
        <v>1</v>
      </c>
    </row>
    <row r="621" spans="9:10">
      <c r="I621" s="50">
        <v>45678</v>
      </c>
      <c r="J621" s="22">
        <v>1</v>
      </c>
    </row>
    <row r="622" spans="9:10">
      <c r="I622" s="50">
        <v>45679</v>
      </c>
      <c r="J622" s="22">
        <v>1</v>
      </c>
    </row>
    <row r="623" spans="9:10">
      <c r="I623" s="50">
        <v>45680</v>
      </c>
      <c r="J623" s="22">
        <v>1</v>
      </c>
    </row>
    <row r="624" spans="9:10">
      <c r="I624" s="50">
        <v>45681</v>
      </c>
      <c r="J624" s="22">
        <v>1</v>
      </c>
    </row>
    <row r="625" spans="9:10">
      <c r="I625" s="50">
        <v>45682</v>
      </c>
      <c r="J625" s="22">
        <v>1</v>
      </c>
    </row>
    <row r="626" spans="9:10">
      <c r="I626" s="50">
        <v>45683</v>
      </c>
      <c r="J626" s="22">
        <v>1</v>
      </c>
    </row>
    <row r="627" spans="9:10">
      <c r="I627" s="50">
        <v>45684</v>
      </c>
      <c r="J627" s="22">
        <v>1</v>
      </c>
    </row>
    <row r="628" spans="9:10">
      <c r="I628" s="50">
        <v>45685</v>
      </c>
      <c r="J628" s="22">
        <v>1</v>
      </c>
    </row>
    <row r="629" spans="9:10">
      <c r="I629" s="50">
        <v>45686</v>
      </c>
      <c r="J629" s="22">
        <v>1</v>
      </c>
    </row>
    <row r="630" spans="9:10">
      <c r="I630" s="50">
        <v>45687</v>
      </c>
      <c r="J630" s="22">
        <v>1</v>
      </c>
    </row>
    <row r="631" spans="9:10">
      <c r="I631" s="50">
        <v>45688</v>
      </c>
      <c r="J631" s="22">
        <v>1</v>
      </c>
    </row>
    <row r="632" spans="9:10">
      <c r="I632" s="50">
        <v>45689</v>
      </c>
      <c r="J632" s="22">
        <v>2</v>
      </c>
    </row>
    <row r="633" spans="9:10">
      <c r="I633" s="50">
        <v>45690</v>
      </c>
      <c r="J633" s="22">
        <v>2</v>
      </c>
    </row>
    <row r="634" spans="9:10">
      <c r="I634" s="50">
        <v>45691</v>
      </c>
      <c r="J634" s="22">
        <v>2</v>
      </c>
    </row>
    <row r="635" spans="9:10">
      <c r="I635" s="50">
        <v>45692</v>
      </c>
      <c r="J635" s="22">
        <v>2</v>
      </c>
    </row>
    <row r="636" spans="9:10">
      <c r="I636" s="50">
        <v>45693</v>
      </c>
      <c r="J636" s="22">
        <v>2</v>
      </c>
    </row>
    <row r="637" spans="9:10">
      <c r="I637" s="50">
        <v>45694</v>
      </c>
      <c r="J637" s="22">
        <v>2</v>
      </c>
    </row>
    <row r="638" spans="9:10">
      <c r="I638" s="50">
        <v>45695</v>
      </c>
      <c r="J638" s="22">
        <v>2</v>
      </c>
    </row>
    <row r="639" spans="9:10">
      <c r="I639" s="50">
        <v>45696</v>
      </c>
      <c r="J639" s="22">
        <v>2</v>
      </c>
    </row>
    <row r="640" spans="9:10">
      <c r="I640" s="50">
        <v>45697</v>
      </c>
      <c r="J640" s="22">
        <v>2</v>
      </c>
    </row>
    <row r="641" spans="9:10">
      <c r="I641" s="50">
        <v>45698</v>
      </c>
      <c r="J641" s="22">
        <v>2</v>
      </c>
    </row>
    <row r="642" spans="9:10">
      <c r="I642" s="50">
        <v>45699</v>
      </c>
      <c r="J642" s="22">
        <v>2</v>
      </c>
    </row>
    <row r="643" spans="9:10">
      <c r="I643" s="50">
        <v>45700</v>
      </c>
      <c r="J643" s="22">
        <v>2</v>
      </c>
    </row>
    <row r="644" spans="9:10">
      <c r="I644" s="50">
        <v>45701</v>
      </c>
      <c r="J644" s="22">
        <v>2</v>
      </c>
    </row>
    <row r="645" spans="9:10">
      <c r="I645" s="50">
        <v>45702</v>
      </c>
      <c r="J645" s="22">
        <v>2</v>
      </c>
    </row>
    <row r="646" spans="9:10">
      <c r="I646" s="50">
        <v>45703</v>
      </c>
      <c r="J646" s="22">
        <v>2</v>
      </c>
    </row>
    <row r="647" spans="9:10">
      <c r="I647" s="50">
        <v>45704</v>
      </c>
      <c r="J647" s="22">
        <v>2</v>
      </c>
    </row>
    <row r="648" spans="9:10">
      <c r="I648" s="50">
        <v>45705</v>
      </c>
      <c r="J648" s="22">
        <v>2</v>
      </c>
    </row>
    <row r="649" spans="9:10">
      <c r="I649" s="50">
        <v>45706</v>
      </c>
      <c r="J649" s="22">
        <v>2</v>
      </c>
    </row>
    <row r="650" spans="9:10">
      <c r="I650" s="50">
        <v>45707</v>
      </c>
      <c r="J650" s="22">
        <v>2</v>
      </c>
    </row>
    <row r="651" spans="9:10">
      <c r="I651" s="50">
        <v>45708</v>
      </c>
      <c r="J651" s="22">
        <v>2</v>
      </c>
    </row>
    <row r="652" spans="9:10">
      <c r="I652" s="50">
        <v>45709</v>
      </c>
      <c r="J652" s="22">
        <v>2</v>
      </c>
    </row>
    <row r="653" spans="9:10">
      <c r="I653" s="50">
        <v>45710</v>
      </c>
      <c r="J653" s="22">
        <v>2</v>
      </c>
    </row>
    <row r="654" spans="9:10">
      <c r="I654" s="50">
        <v>45711</v>
      </c>
      <c r="J654" s="22">
        <v>2</v>
      </c>
    </row>
    <row r="655" spans="9:10">
      <c r="I655" s="50">
        <v>45712</v>
      </c>
      <c r="J655" s="22">
        <v>2</v>
      </c>
    </row>
    <row r="656" spans="9:10">
      <c r="I656" s="50">
        <v>45713</v>
      </c>
      <c r="J656" s="22">
        <v>2</v>
      </c>
    </row>
    <row r="657" spans="9:10">
      <c r="I657" s="50">
        <v>45714</v>
      </c>
      <c r="J657" s="22">
        <v>2</v>
      </c>
    </row>
    <row r="658" spans="9:10">
      <c r="I658" s="50">
        <v>45715</v>
      </c>
      <c r="J658" s="22">
        <v>2</v>
      </c>
    </row>
    <row r="659" spans="9:10">
      <c r="I659" s="50">
        <v>45716</v>
      </c>
      <c r="J659" s="22">
        <v>2</v>
      </c>
    </row>
    <row r="660" spans="9:10">
      <c r="I660" s="50">
        <v>45717</v>
      </c>
      <c r="J660" s="22">
        <v>3</v>
      </c>
    </row>
    <row r="661" spans="9:10">
      <c r="I661" s="50">
        <v>45718</v>
      </c>
      <c r="J661" s="22">
        <v>3</v>
      </c>
    </row>
    <row r="662" spans="9:10">
      <c r="I662" s="50">
        <v>45719</v>
      </c>
      <c r="J662" s="22">
        <v>3</v>
      </c>
    </row>
    <row r="663" spans="9:10">
      <c r="I663" s="50">
        <v>45720</v>
      </c>
      <c r="J663" s="22">
        <v>3</v>
      </c>
    </row>
    <row r="664" spans="9:10">
      <c r="I664" s="50">
        <v>45721</v>
      </c>
      <c r="J664" s="22">
        <v>3</v>
      </c>
    </row>
    <row r="665" spans="9:10">
      <c r="I665" s="50">
        <v>45722</v>
      </c>
      <c r="J665" s="22">
        <v>3</v>
      </c>
    </row>
    <row r="666" spans="9:10">
      <c r="I666" s="50">
        <v>45723</v>
      </c>
      <c r="J666" s="22">
        <v>3</v>
      </c>
    </row>
    <row r="667" spans="9:10">
      <c r="I667" s="50">
        <v>45724</v>
      </c>
      <c r="J667" s="22">
        <v>3</v>
      </c>
    </row>
    <row r="668" spans="9:10">
      <c r="I668" s="50">
        <v>45725</v>
      </c>
      <c r="J668" s="22">
        <v>3</v>
      </c>
    </row>
    <row r="669" spans="9:10">
      <c r="I669" s="50">
        <v>45726</v>
      </c>
      <c r="J669" s="22">
        <v>3</v>
      </c>
    </row>
    <row r="670" spans="9:10">
      <c r="I670" s="50">
        <v>45727</v>
      </c>
      <c r="J670" s="22">
        <v>3</v>
      </c>
    </row>
    <row r="671" spans="9:10">
      <c r="I671" s="50">
        <v>45728</v>
      </c>
      <c r="J671" s="22">
        <v>3</v>
      </c>
    </row>
    <row r="672" spans="9:10">
      <c r="I672" s="50">
        <v>45729</v>
      </c>
      <c r="J672" s="22">
        <v>3</v>
      </c>
    </row>
    <row r="673" spans="9:10">
      <c r="I673" s="50">
        <v>45730</v>
      </c>
      <c r="J673" s="22">
        <v>3</v>
      </c>
    </row>
    <row r="674" spans="9:10">
      <c r="I674" s="50">
        <v>45731</v>
      </c>
      <c r="J674" s="22">
        <v>3</v>
      </c>
    </row>
    <row r="675" spans="9:10">
      <c r="I675" s="50">
        <v>45732</v>
      </c>
      <c r="J675" s="22">
        <v>3</v>
      </c>
    </row>
    <row r="676" spans="9:10">
      <c r="I676" s="50">
        <v>45733</v>
      </c>
      <c r="J676" s="22">
        <v>3</v>
      </c>
    </row>
    <row r="677" spans="9:10">
      <c r="I677" s="50">
        <v>45734</v>
      </c>
      <c r="J677" s="22">
        <v>3</v>
      </c>
    </row>
    <row r="678" spans="9:10">
      <c r="I678" s="50">
        <v>45735</v>
      </c>
      <c r="J678" s="22">
        <v>3</v>
      </c>
    </row>
    <row r="679" spans="9:10">
      <c r="I679" s="50">
        <v>45736</v>
      </c>
      <c r="J679" s="22">
        <v>3</v>
      </c>
    </row>
    <row r="680" spans="9:10">
      <c r="I680" s="50">
        <v>45737</v>
      </c>
      <c r="J680" s="22">
        <v>3</v>
      </c>
    </row>
    <row r="681" spans="9:10">
      <c r="I681" s="50">
        <v>45738</v>
      </c>
      <c r="J681" s="22">
        <v>3</v>
      </c>
    </row>
    <row r="682" spans="9:10">
      <c r="I682" s="50">
        <v>45739</v>
      </c>
      <c r="J682" s="22">
        <v>3</v>
      </c>
    </row>
    <row r="683" spans="9:10">
      <c r="I683" s="50">
        <v>45740</v>
      </c>
      <c r="J683" s="22">
        <v>3</v>
      </c>
    </row>
    <row r="684" spans="9:10">
      <c r="I684" s="50">
        <v>45741</v>
      </c>
      <c r="J684" s="22">
        <v>3</v>
      </c>
    </row>
    <row r="685" spans="9:10">
      <c r="I685" s="50">
        <v>45742</v>
      </c>
      <c r="J685" s="22">
        <v>3</v>
      </c>
    </row>
    <row r="686" spans="9:10">
      <c r="I686" s="50">
        <v>45743</v>
      </c>
      <c r="J686" s="22">
        <v>3</v>
      </c>
    </row>
    <row r="687" spans="9:10">
      <c r="I687" s="50">
        <v>45744</v>
      </c>
      <c r="J687" s="22">
        <v>3</v>
      </c>
    </row>
    <row r="688" spans="9:10">
      <c r="I688" s="50">
        <v>45745</v>
      </c>
      <c r="J688" s="22">
        <v>3</v>
      </c>
    </row>
    <row r="689" spans="9:10">
      <c r="I689" s="50">
        <v>45746</v>
      </c>
      <c r="J689" s="22">
        <v>3</v>
      </c>
    </row>
    <row r="690" spans="9:10">
      <c r="I690" s="50">
        <v>45747</v>
      </c>
      <c r="J690" s="22">
        <v>3</v>
      </c>
    </row>
    <row r="691" spans="9:10">
      <c r="I691" s="50">
        <v>45748</v>
      </c>
      <c r="J691" s="22">
        <v>4</v>
      </c>
    </row>
    <row r="692" spans="9:10">
      <c r="I692" s="50">
        <v>45749</v>
      </c>
      <c r="J692" s="22">
        <v>4</v>
      </c>
    </row>
    <row r="693" spans="9:10">
      <c r="I693" s="50">
        <v>45750</v>
      </c>
      <c r="J693" s="22">
        <v>4</v>
      </c>
    </row>
    <row r="694" spans="9:10">
      <c r="I694" s="50">
        <v>45751</v>
      </c>
      <c r="J694" s="22">
        <v>4</v>
      </c>
    </row>
    <row r="695" spans="9:10">
      <c r="I695" s="50">
        <v>45752</v>
      </c>
      <c r="J695" s="22">
        <v>4</v>
      </c>
    </row>
    <row r="696" spans="9:10">
      <c r="I696" s="50">
        <v>45753</v>
      </c>
      <c r="J696" s="22">
        <v>4</v>
      </c>
    </row>
    <row r="697" spans="9:10">
      <c r="I697" s="50">
        <v>45754</v>
      </c>
      <c r="J697" s="22">
        <v>4</v>
      </c>
    </row>
    <row r="698" spans="9:10">
      <c r="I698" s="50">
        <v>45755</v>
      </c>
      <c r="J698" s="22">
        <v>4</v>
      </c>
    </row>
    <row r="699" spans="9:10">
      <c r="I699" s="50">
        <v>45756</v>
      </c>
      <c r="J699" s="22">
        <v>4</v>
      </c>
    </row>
    <row r="700" spans="9:10">
      <c r="I700" s="50">
        <v>45757</v>
      </c>
      <c r="J700" s="22">
        <v>4</v>
      </c>
    </row>
    <row r="701" spans="9:10">
      <c r="I701" s="50">
        <v>45758</v>
      </c>
      <c r="J701" s="22">
        <v>4</v>
      </c>
    </row>
    <row r="702" spans="9:10">
      <c r="I702" s="50">
        <v>45759</v>
      </c>
      <c r="J702" s="22">
        <v>4</v>
      </c>
    </row>
    <row r="703" spans="9:10">
      <c r="I703" s="50">
        <v>45760</v>
      </c>
      <c r="J703" s="22">
        <v>4</v>
      </c>
    </row>
    <row r="704" spans="9:10">
      <c r="I704" s="50">
        <v>45761</v>
      </c>
      <c r="J704" s="22">
        <v>4</v>
      </c>
    </row>
    <row r="705" spans="9:10">
      <c r="I705" s="50">
        <v>45762</v>
      </c>
      <c r="J705" s="22">
        <v>4</v>
      </c>
    </row>
    <row r="706" spans="9:10">
      <c r="I706" s="50">
        <v>45763</v>
      </c>
      <c r="J706" s="22">
        <v>4</v>
      </c>
    </row>
    <row r="707" spans="9:10">
      <c r="I707" s="50">
        <v>45764</v>
      </c>
      <c r="J707" s="22">
        <v>4</v>
      </c>
    </row>
    <row r="708" spans="9:10">
      <c r="I708" s="50">
        <v>45765</v>
      </c>
      <c r="J708" s="22">
        <v>4</v>
      </c>
    </row>
    <row r="709" spans="9:10">
      <c r="I709" s="50">
        <v>45766</v>
      </c>
      <c r="J709" s="22">
        <v>4</v>
      </c>
    </row>
    <row r="710" spans="9:10">
      <c r="I710" s="50">
        <v>45767</v>
      </c>
      <c r="J710" s="22">
        <v>4</v>
      </c>
    </row>
    <row r="711" spans="9:10">
      <c r="I711" s="50">
        <v>45768</v>
      </c>
      <c r="J711" s="22">
        <v>4</v>
      </c>
    </row>
    <row r="712" spans="9:10">
      <c r="I712" s="50">
        <v>45769</v>
      </c>
      <c r="J712" s="22">
        <v>4</v>
      </c>
    </row>
    <row r="713" spans="9:10">
      <c r="I713" s="50">
        <v>45770</v>
      </c>
      <c r="J713" s="22">
        <v>4</v>
      </c>
    </row>
    <row r="714" spans="9:10">
      <c r="I714" s="50">
        <v>45771</v>
      </c>
      <c r="J714" s="22">
        <v>4</v>
      </c>
    </row>
    <row r="715" spans="9:10">
      <c r="I715" s="50">
        <v>45772</v>
      </c>
      <c r="J715" s="22">
        <v>4</v>
      </c>
    </row>
    <row r="716" spans="9:10">
      <c r="I716" s="50">
        <v>45773</v>
      </c>
      <c r="J716" s="22">
        <v>4</v>
      </c>
    </row>
    <row r="717" spans="9:10">
      <c r="I717" s="50">
        <v>45774</v>
      </c>
      <c r="J717" s="22">
        <v>4</v>
      </c>
    </row>
    <row r="718" spans="9:10">
      <c r="I718" s="50">
        <v>45775</v>
      </c>
      <c r="J718" s="22">
        <v>4</v>
      </c>
    </row>
    <row r="719" spans="9:10">
      <c r="I719" s="50">
        <v>45776</v>
      </c>
      <c r="J719" s="22">
        <v>4</v>
      </c>
    </row>
    <row r="720" spans="9:10">
      <c r="I720" s="50">
        <v>45777</v>
      </c>
      <c r="J720" s="22">
        <v>4</v>
      </c>
    </row>
    <row r="721" spans="9:10">
      <c r="I721" s="50">
        <v>45778</v>
      </c>
      <c r="J721" s="22">
        <v>5</v>
      </c>
    </row>
    <row r="722" spans="9:10">
      <c r="I722" s="50">
        <v>45779</v>
      </c>
      <c r="J722" s="22">
        <v>5</v>
      </c>
    </row>
    <row r="723" spans="9:10">
      <c r="I723" s="50">
        <v>45780</v>
      </c>
      <c r="J723" s="22">
        <v>5</v>
      </c>
    </row>
    <row r="724" spans="9:10">
      <c r="I724" s="50">
        <v>45781</v>
      </c>
      <c r="J724" s="22">
        <v>5</v>
      </c>
    </row>
    <row r="725" spans="9:10">
      <c r="I725" s="50">
        <v>45782</v>
      </c>
      <c r="J725" s="22">
        <v>5</v>
      </c>
    </row>
    <row r="726" spans="9:10">
      <c r="I726" s="50">
        <v>45783</v>
      </c>
      <c r="J726" s="22">
        <v>5</v>
      </c>
    </row>
    <row r="727" spans="9:10">
      <c r="I727" s="50">
        <v>45784</v>
      </c>
      <c r="J727" s="22">
        <v>5</v>
      </c>
    </row>
    <row r="728" spans="9:10">
      <c r="I728" s="50">
        <v>45785</v>
      </c>
      <c r="J728" s="22">
        <v>5</v>
      </c>
    </row>
    <row r="729" spans="9:10">
      <c r="I729" s="50">
        <v>45786</v>
      </c>
      <c r="J729" s="22">
        <v>5</v>
      </c>
    </row>
    <row r="730" spans="9:10">
      <c r="I730" s="50">
        <v>45787</v>
      </c>
      <c r="J730" s="22">
        <v>5</v>
      </c>
    </row>
    <row r="731" spans="9:10">
      <c r="I731" s="50">
        <v>45788</v>
      </c>
      <c r="J731" s="22">
        <v>5</v>
      </c>
    </row>
    <row r="732" spans="9:10">
      <c r="I732" s="50">
        <v>45789</v>
      </c>
      <c r="J732" s="22">
        <v>5</v>
      </c>
    </row>
    <row r="733" spans="9:10">
      <c r="I733" s="50">
        <v>45790</v>
      </c>
      <c r="J733" s="22">
        <v>5</v>
      </c>
    </row>
    <row r="734" spans="9:10">
      <c r="I734" s="50">
        <v>45791</v>
      </c>
      <c r="J734" s="22">
        <v>5</v>
      </c>
    </row>
    <row r="735" spans="9:10">
      <c r="I735" s="50">
        <v>45792</v>
      </c>
      <c r="J735" s="22">
        <v>5</v>
      </c>
    </row>
    <row r="736" spans="9:10">
      <c r="I736" s="50">
        <v>45793</v>
      </c>
      <c r="J736" s="22">
        <v>5</v>
      </c>
    </row>
    <row r="737" spans="9:10">
      <c r="I737" s="50">
        <v>45794</v>
      </c>
      <c r="J737" s="22">
        <v>5</v>
      </c>
    </row>
    <row r="738" spans="9:10">
      <c r="I738" s="50">
        <v>45795</v>
      </c>
      <c r="J738" s="22">
        <v>5</v>
      </c>
    </row>
    <row r="739" spans="9:10">
      <c r="I739" s="50">
        <v>45796</v>
      </c>
      <c r="J739" s="22">
        <v>5</v>
      </c>
    </row>
    <row r="740" spans="9:10">
      <c r="I740" s="50">
        <v>45797</v>
      </c>
      <c r="J740" s="22">
        <v>5</v>
      </c>
    </row>
    <row r="741" spans="9:10">
      <c r="I741" s="50">
        <v>45798</v>
      </c>
      <c r="J741" s="22">
        <v>5</v>
      </c>
    </row>
    <row r="742" spans="9:10">
      <c r="I742" s="50">
        <v>45799</v>
      </c>
      <c r="J742" s="22">
        <v>5</v>
      </c>
    </row>
    <row r="743" spans="9:10">
      <c r="I743" s="50">
        <v>45800</v>
      </c>
      <c r="J743" s="22">
        <v>5</v>
      </c>
    </row>
    <row r="744" spans="9:10">
      <c r="I744" s="50">
        <v>45801</v>
      </c>
      <c r="J744" s="22">
        <v>5</v>
      </c>
    </row>
    <row r="745" spans="9:10">
      <c r="I745" s="50">
        <v>45802</v>
      </c>
      <c r="J745" s="22">
        <v>5</v>
      </c>
    </row>
    <row r="746" spans="9:10">
      <c r="I746" s="50">
        <v>45803</v>
      </c>
      <c r="J746" s="22">
        <v>5</v>
      </c>
    </row>
    <row r="747" spans="9:10">
      <c r="I747" s="50">
        <v>45804</v>
      </c>
      <c r="J747" s="22">
        <v>5</v>
      </c>
    </row>
    <row r="748" spans="9:10">
      <c r="I748" s="50">
        <v>45805</v>
      </c>
      <c r="J748" s="22">
        <v>5</v>
      </c>
    </row>
    <row r="749" spans="9:10">
      <c r="I749" s="50">
        <v>45806</v>
      </c>
      <c r="J749" s="22">
        <v>5</v>
      </c>
    </row>
    <row r="750" spans="9:10">
      <c r="I750" s="50">
        <v>45807</v>
      </c>
      <c r="J750" s="22">
        <v>5</v>
      </c>
    </row>
    <row r="751" spans="9:10">
      <c r="I751" s="50">
        <v>45808</v>
      </c>
      <c r="J751" s="22">
        <v>5</v>
      </c>
    </row>
    <row r="752" spans="9:10">
      <c r="I752" s="50">
        <v>45809</v>
      </c>
      <c r="J752" s="22">
        <v>6</v>
      </c>
    </row>
    <row r="753" spans="9:10">
      <c r="I753" s="50">
        <v>45810</v>
      </c>
      <c r="J753" s="22">
        <v>6</v>
      </c>
    </row>
    <row r="754" spans="9:10">
      <c r="I754" s="50">
        <v>45811</v>
      </c>
      <c r="J754" s="22">
        <v>6</v>
      </c>
    </row>
    <row r="755" spans="9:10">
      <c r="I755" s="50">
        <v>45812</v>
      </c>
      <c r="J755" s="22">
        <v>6</v>
      </c>
    </row>
    <row r="756" spans="9:10">
      <c r="I756" s="50">
        <v>45813</v>
      </c>
      <c r="J756" s="22">
        <v>6</v>
      </c>
    </row>
    <row r="757" spans="9:10">
      <c r="I757" s="50">
        <v>45814</v>
      </c>
      <c r="J757" s="22">
        <v>6</v>
      </c>
    </row>
    <row r="758" spans="9:10">
      <c r="I758" s="50">
        <v>45815</v>
      </c>
      <c r="J758" s="22">
        <v>6</v>
      </c>
    </row>
    <row r="759" spans="9:10">
      <c r="I759" s="50">
        <v>45816</v>
      </c>
      <c r="J759" s="22">
        <v>6</v>
      </c>
    </row>
    <row r="760" spans="9:10">
      <c r="I760" s="50">
        <v>45817</v>
      </c>
      <c r="J760" s="22">
        <v>6</v>
      </c>
    </row>
    <row r="761" spans="9:10">
      <c r="I761" s="50">
        <v>45818</v>
      </c>
      <c r="J761" s="22">
        <v>6</v>
      </c>
    </row>
    <row r="762" spans="9:10">
      <c r="I762" s="50">
        <v>45819</v>
      </c>
      <c r="J762" s="22">
        <v>6</v>
      </c>
    </row>
    <row r="763" spans="9:10">
      <c r="I763" s="50">
        <v>45820</v>
      </c>
      <c r="J763" s="22">
        <v>6</v>
      </c>
    </row>
    <row r="764" spans="9:10">
      <c r="I764" s="50">
        <v>45821</v>
      </c>
      <c r="J764" s="22">
        <v>6</v>
      </c>
    </row>
    <row r="765" spans="9:10">
      <c r="I765" s="50">
        <v>45822</v>
      </c>
      <c r="J765" s="22">
        <v>6</v>
      </c>
    </row>
    <row r="766" spans="9:10">
      <c r="I766" s="50">
        <v>45823</v>
      </c>
      <c r="J766" s="22">
        <v>6</v>
      </c>
    </row>
    <row r="767" spans="9:10">
      <c r="I767" s="50">
        <v>45824</v>
      </c>
      <c r="J767" s="22">
        <v>6</v>
      </c>
    </row>
    <row r="768" spans="9:10">
      <c r="I768" s="50">
        <v>45825</v>
      </c>
      <c r="J768" s="22">
        <v>6</v>
      </c>
    </row>
    <row r="769" spans="9:10">
      <c r="I769" s="50">
        <v>45826</v>
      </c>
      <c r="J769" s="22">
        <v>6</v>
      </c>
    </row>
    <row r="770" spans="9:10">
      <c r="I770" s="50">
        <v>45827</v>
      </c>
      <c r="J770" s="22">
        <v>6</v>
      </c>
    </row>
    <row r="771" spans="9:10">
      <c r="I771" s="50">
        <v>45828</v>
      </c>
      <c r="J771" s="22">
        <v>6</v>
      </c>
    </row>
    <row r="772" spans="9:10">
      <c r="I772" s="50">
        <v>45829</v>
      </c>
      <c r="J772" s="22">
        <v>6</v>
      </c>
    </row>
    <row r="773" spans="9:10">
      <c r="I773" s="50">
        <v>45830</v>
      </c>
      <c r="J773" s="22">
        <v>6</v>
      </c>
    </row>
    <row r="774" spans="9:10">
      <c r="I774" s="50">
        <v>45831</v>
      </c>
      <c r="J774" s="22">
        <v>6</v>
      </c>
    </row>
    <row r="775" spans="9:10">
      <c r="I775" s="50">
        <v>45832</v>
      </c>
      <c r="J775" s="22">
        <v>6</v>
      </c>
    </row>
    <row r="776" spans="9:10">
      <c r="I776" s="50">
        <v>45833</v>
      </c>
      <c r="J776" s="22">
        <v>6</v>
      </c>
    </row>
    <row r="777" spans="9:10">
      <c r="I777" s="50">
        <v>45834</v>
      </c>
      <c r="J777" s="22">
        <v>6</v>
      </c>
    </row>
    <row r="778" spans="9:10">
      <c r="I778" s="50">
        <v>45835</v>
      </c>
      <c r="J778" s="22">
        <v>6</v>
      </c>
    </row>
    <row r="779" spans="9:10">
      <c r="I779" s="50">
        <v>45836</v>
      </c>
      <c r="J779" s="22">
        <v>6</v>
      </c>
    </row>
    <row r="780" spans="9:10">
      <c r="I780" s="50">
        <v>45837</v>
      </c>
      <c r="J780" s="22">
        <v>6</v>
      </c>
    </row>
    <row r="781" spans="9:10">
      <c r="I781" s="50">
        <v>45838</v>
      </c>
      <c r="J781" s="22">
        <v>6</v>
      </c>
    </row>
    <row r="782" spans="9:10">
      <c r="I782" s="50">
        <v>45839</v>
      </c>
      <c r="J782" s="22">
        <v>7</v>
      </c>
    </row>
    <row r="783" spans="9:10">
      <c r="I783" s="50">
        <v>45840</v>
      </c>
      <c r="J783" s="22">
        <v>7</v>
      </c>
    </row>
    <row r="784" spans="9:10">
      <c r="I784" s="50">
        <v>45841</v>
      </c>
      <c r="J784" s="22">
        <v>7</v>
      </c>
    </row>
    <row r="785" spans="9:10">
      <c r="I785" s="50">
        <v>45842</v>
      </c>
      <c r="J785" s="22">
        <v>7</v>
      </c>
    </row>
    <row r="786" spans="9:10">
      <c r="I786" s="50">
        <v>45843</v>
      </c>
      <c r="J786" s="22">
        <v>7</v>
      </c>
    </row>
    <row r="787" spans="9:10">
      <c r="I787" s="50">
        <v>45844</v>
      </c>
      <c r="J787" s="22">
        <v>7</v>
      </c>
    </row>
    <row r="788" spans="9:10">
      <c r="I788" s="50">
        <v>45845</v>
      </c>
      <c r="J788" s="22">
        <v>7</v>
      </c>
    </row>
    <row r="789" spans="9:10">
      <c r="I789" s="50">
        <v>45846</v>
      </c>
      <c r="J789" s="22">
        <v>7</v>
      </c>
    </row>
    <row r="790" spans="9:10">
      <c r="I790" s="50">
        <v>45847</v>
      </c>
      <c r="J790" s="22">
        <v>7</v>
      </c>
    </row>
    <row r="791" spans="9:10">
      <c r="I791" s="50">
        <v>45848</v>
      </c>
      <c r="J791" s="22">
        <v>7</v>
      </c>
    </row>
    <row r="792" spans="9:10">
      <c r="I792" s="50">
        <v>45849</v>
      </c>
      <c r="J792" s="22">
        <v>7</v>
      </c>
    </row>
    <row r="793" spans="9:10">
      <c r="I793" s="50">
        <v>45850</v>
      </c>
      <c r="J793" s="22">
        <v>7</v>
      </c>
    </row>
    <row r="794" spans="9:10">
      <c r="I794" s="50">
        <v>45851</v>
      </c>
      <c r="J794" s="22">
        <v>7</v>
      </c>
    </row>
    <row r="795" spans="9:10">
      <c r="I795" s="50">
        <v>45852</v>
      </c>
      <c r="J795" s="22">
        <v>7</v>
      </c>
    </row>
    <row r="796" spans="9:10">
      <c r="I796" s="50">
        <v>45853</v>
      </c>
      <c r="J796" s="22">
        <v>7</v>
      </c>
    </row>
    <row r="797" spans="9:10">
      <c r="I797" s="50">
        <v>45854</v>
      </c>
      <c r="J797" s="22">
        <v>7</v>
      </c>
    </row>
    <row r="798" spans="9:10">
      <c r="I798" s="50">
        <v>45855</v>
      </c>
      <c r="J798" s="22">
        <v>7</v>
      </c>
    </row>
    <row r="799" spans="9:10">
      <c r="I799" s="50">
        <v>45856</v>
      </c>
      <c r="J799" s="22">
        <v>7</v>
      </c>
    </row>
    <row r="800" spans="9:10">
      <c r="I800" s="50">
        <v>45857</v>
      </c>
      <c r="J800" s="22">
        <v>7</v>
      </c>
    </row>
    <row r="801" spans="9:10">
      <c r="I801" s="50">
        <v>45858</v>
      </c>
      <c r="J801" s="22">
        <v>7</v>
      </c>
    </row>
    <row r="802" spans="9:10">
      <c r="I802" s="50">
        <v>45859</v>
      </c>
      <c r="J802" s="22">
        <v>7</v>
      </c>
    </row>
    <row r="803" spans="9:10">
      <c r="I803" s="50">
        <v>45860</v>
      </c>
      <c r="J803" s="22">
        <v>7</v>
      </c>
    </row>
    <row r="804" spans="9:10">
      <c r="I804" s="50">
        <v>45861</v>
      </c>
      <c r="J804" s="22">
        <v>7</v>
      </c>
    </row>
    <row r="805" spans="9:10">
      <c r="I805" s="50">
        <v>45862</v>
      </c>
      <c r="J805" s="22">
        <v>7</v>
      </c>
    </row>
    <row r="806" spans="9:10">
      <c r="I806" s="50">
        <v>45863</v>
      </c>
      <c r="J806" s="22">
        <v>7</v>
      </c>
    </row>
    <row r="807" spans="9:10">
      <c r="I807" s="50">
        <v>45864</v>
      </c>
      <c r="J807" s="22">
        <v>7</v>
      </c>
    </row>
    <row r="808" spans="9:10">
      <c r="I808" s="50">
        <v>45865</v>
      </c>
      <c r="J808" s="22">
        <v>7</v>
      </c>
    </row>
    <row r="809" spans="9:10">
      <c r="I809" s="50">
        <v>45866</v>
      </c>
      <c r="J809" s="22">
        <v>7</v>
      </c>
    </row>
    <row r="810" spans="9:10">
      <c r="I810" s="50">
        <v>45867</v>
      </c>
      <c r="J810" s="22">
        <v>7</v>
      </c>
    </row>
    <row r="811" spans="9:10">
      <c r="I811" s="50">
        <v>45868</v>
      </c>
      <c r="J811" s="22">
        <v>7</v>
      </c>
    </row>
    <row r="812" spans="9:10">
      <c r="I812" s="50">
        <v>45869</v>
      </c>
      <c r="J812" s="22">
        <v>7</v>
      </c>
    </row>
    <row r="813" spans="9:10">
      <c r="I813" s="50">
        <v>45870</v>
      </c>
      <c r="J813" s="22">
        <v>8</v>
      </c>
    </row>
    <row r="814" spans="9:10">
      <c r="I814" s="50">
        <v>45871</v>
      </c>
      <c r="J814" s="22">
        <v>8</v>
      </c>
    </row>
    <row r="815" spans="9:10">
      <c r="I815" s="50">
        <v>45872</v>
      </c>
      <c r="J815" s="22">
        <v>8</v>
      </c>
    </row>
    <row r="816" spans="9:10">
      <c r="I816" s="50">
        <v>45873</v>
      </c>
      <c r="J816" s="22">
        <v>8</v>
      </c>
    </row>
    <row r="817" spans="9:10">
      <c r="I817" s="50">
        <v>45874</v>
      </c>
      <c r="J817" s="22">
        <v>8</v>
      </c>
    </row>
    <row r="818" spans="9:10">
      <c r="I818" s="50">
        <v>45875</v>
      </c>
      <c r="J818" s="22">
        <v>8</v>
      </c>
    </row>
    <row r="819" spans="9:10">
      <c r="I819" s="50">
        <v>45876</v>
      </c>
      <c r="J819" s="22">
        <v>8</v>
      </c>
    </row>
    <row r="820" spans="9:10">
      <c r="I820" s="50">
        <v>45877</v>
      </c>
      <c r="J820" s="22">
        <v>8</v>
      </c>
    </row>
    <row r="821" spans="9:10">
      <c r="I821" s="50">
        <v>45878</v>
      </c>
      <c r="J821" s="22">
        <v>8</v>
      </c>
    </row>
    <row r="822" spans="9:10">
      <c r="I822" s="50">
        <v>45879</v>
      </c>
      <c r="J822" s="22">
        <v>8</v>
      </c>
    </row>
    <row r="823" spans="9:10">
      <c r="I823" s="50">
        <v>45880</v>
      </c>
      <c r="J823" s="22">
        <v>8</v>
      </c>
    </row>
    <row r="824" spans="9:10">
      <c r="I824" s="50">
        <v>45881</v>
      </c>
      <c r="J824" s="22">
        <v>8</v>
      </c>
    </row>
    <row r="825" spans="9:10">
      <c r="I825" s="50">
        <v>45882</v>
      </c>
      <c r="J825" s="22">
        <v>8</v>
      </c>
    </row>
    <row r="826" spans="9:10">
      <c r="I826" s="50">
        <v>45883</v>
      </c>
      <c r="J826" s="22">
        <v>8</v>
      </c>
    </row>
    <row r="827" spans="9:10">
      <c r="I827" s="50">
        <v>45884</v>
      </c>
      <c r="J827" s="22">
        <v>8</v>
      </c>
    </row>
    <row r="828" spans="9:10">
      <c r="I828" s="50">
        <v>45885</v>
      </c>
      <c r="J828" s="22">
        <v>8</v>
      </c>
    </row>
    <row r="829" spans="9:10">
      <c r="I829" s="50">
        <v>45886</v>
      </c>
      <c r="J829" s="22">
        <v>8</v>
      </c>
    </row>
    <row r="830" spans="9:10">
      <c r="I830" s="50">
        <v>45887</v>
      </c>
      <c r="J830" s="22">
        <v>8</v>
      </c>
    </row>
    <row r="831" spans="9:10">
      <c r="I831" s="50">
        <v>45888</v>
      </c>
      <c r="J831" s="22">
        <v>8</v>
      </c>
    </row>
    <row r="832" spans="9:10">
      <c r="I832" s="50">
        <v>45889</v>
      </c>
      <c r="J832" s="22">
        <v>8</v>
      </c>
    </row>
    <row r="833" spans="9:10">
      <c r="I833" s="50">
        <v>45890</v>
      </c>
      <c r="J833" s="22">
        <v>8</v>
      </c>
    </row>
    <row r="834" spans="9:10">
      <c r="I834" s="50">
        <v>45891</v>
      </c>
      <c r="J834" s="22">
        <v>8</v>
      </c>
    </row>
    <row r="835" spans="9:10">
      <c r="I835" s="50">
        <v>45892</v>
      </c>
      <c r="J835" s="22">
        <v>8</v>
      </c>
    </row>
    <row r="836" spans="9:10">
      <c r="I836" s="50">
        <v>45893</v>
      </c>
      <c r="J836" s="22">
        <v>8</v>
      </c>
    </row>
    <row r="837" spans="9:10">
      <c r="I837" s="50">
        <v>45894</v>
      </c>
      <c r="J837" s="22">
        <v>8</v>
      </c>
    </row>
    <row r="838" spans="9:10">
      <c r="I838" s="50">
        <v>45895</v>
      </c>
      <c r="J838" s="22">
        <v>8</v>
      </c>
    </row>
    <row r="839" spans="9:10">
      <c r="I839" s="50">
        <v>45896</v>
      </c>
      <c r="J839" s="22">
        <v>8</v>
      </c>
    </row>
    <row r="840" spans="9:10">
      <c r="I840" s="50">
        <v>45897</v>
      </c>
      <c r="J840" s="22">
        <v>8</v>
      </c>
    </row>
    <row r="841" spans="9:10">
      <c r="I841" s="50">
        <v>45898</v>
      </c>
      <c r="J841" s="22">
        <v>8</v>
      </c>
    </row>
    <row r="842" spans="9:10">
      <c r="I842" s="50">
        <v>45899</v>
      </c>
      <c r="J842" s="22">
        <v>8</v>
      </c>
    </row>
    <row r="843" spans="9:10">
      <c r="I843" s="50">
        <v>45900</v>
      </c>
      <c r="J843" s="22">
        <v>8</v>
      </c>
    </row>
    <row r="844" spans="9:10">
      <c r="I844" s="50">
        <v>45901</v>
      </c>
      <c r="J844" s="22">
        <v>9</v>
      </c>
    </row>
    <row r="845" spans="9:10">
      <c r="I845" s="50">
        <v>45902</v>
      </c>
      <c r="J845" s="22">
        <v>9</v>
      </c>
    </row>
    <row r="846" spans="9:10">
      <c r="I846" s="50">
        <v>45903</v>
      </c>
      <c r="J846" s="22">
        <v>9</v>
      </c>
    </row>
    <row r="847" spans="9:10">
      <c r="I847" s="50">
        <v>45904</v>
      </c>
      <c r="J847" s="22">
        <v>9</v>
      </c>
    </row>
    <row r="848" spans="9:10">
      <c r="I848" s="50">
        <v>45905</v>
      </c>
      <c r="J848" s="22">
        <v>9</v>
      </c>
    </row>
    <row r="849" spans="9:10">
      <c r="I849" s="50">
        <v>45906</v>
      </c>
      <c r="J849" s="22">
        <v>9</v>
      </c>
    </row>
    <row r="850" spans="9:10">
      <c r="I850" s="50">
        <v>45907</v>
      </c>
      <c r="J850" s="22">
        <v>9</v>
      </c>
    </row>
    <row r="851" spans="9:10">
      <c r="I851" s="50">
        <v>45908</v>
      </c>
      <c r="J851" s="22">
        <v>9</v>
      </c>
    </row>
    <row r="852" spans="9:10">
      <c r="I852" s="50">
        <v>45909</v>
      </c>
      <c r="J852" s="22">
        <v>9</v>
      </c>
    </row>
    <row r="853" spans="9:10">
      <c r="I853" s="50">
        <v>45910</v>
      </c>
      <c r="J853" s="22">
        <v>9</v>
      </c>
    </row>
    <row r="854" spans="9:10">
      <c r="I854" s="50">
        <v>45911</v>
      </c>
      <c r="J854" s="22">
        <v>9</v>
      </c>
    </row>
    <row r="855" spans="9:10">
      <c r="I855" s="50">
        <v>45912</v>
      </c>
      <c r="J855" s="22">
        <v>9</v>
      </c>
    </row>
    <row r="856" spans="9:10">
      <c r="I856" s="50">
        <v>45913</v>
      </c>
      <c r="J856" s="22">
        <v>9</v>
      </c>
    </row>
    <row r="857" spans="9:10">
      <c r="I857" s="50">
        <v>45914</v>
      </c>
      <c r="J857" s="22">
        <v>9</v>
      </c>
    </row>
    <row r="858" spans="9:10">
      <c r="I858" s="50">
        <v>45915</v>
      </c>
      <c r="J858" s="22">
        <v>9</v>
      </c>
    </row>
    <row r="859" spans="9:10">
      <c r="I859" s="50">
        <v>45916</v>
      </c>
      <c r="J859" s="22">
        <v>9</v>
      </c>
    </row>
    <row r="860" spans="9:10">
      <c r="I860" s="50">
        <v>45917</v>
      </c>
      <c r="J860" s="22">
        <v>9</v>
      </c>
    </row>
    <row r="861" spans="9:10">
      <c r="I861" s="50">
        <v>45918</v>
      </c>
      <c r="J861" s="22">
        <v>9</v>
      </c>
    </row>
    <row r="862" spans="9:10">
      <c r="I862" s="50">
        <v>45919</v>
      </c>
      <c r="J862" s="22">
        <v>9</v>
      </c>
    </row>
    <row r="863" spans="9:10">
      <c r="I863" s="50">
        <v>45920</v>
      </c>
      <c r="J863" s="22">
        <v>9</v>
      </c>
    </row>
    <row r="864" spans="9:10">
      <c r="I864" s="50">
        <v>45921</v>
      </c>
      <c r="J864" s="22">
        <v>9</v>
      </c>
    </row>
    <row r="865" spans="9:10">
      <c r="I865" s="50">
        <v>45922</v>
      </c>
      <c r="J865" s="22">
        <v>9</v>
      </c>
    </row>
    <row r="866" spans="9:10">
      <c r="I866" s="50">
        <v>45923</v>
      </c>
      <c r="J866" s="22">
        <v>9</v>
      </c>
    </row>
    <row r="867" spans="9:10">
      <c r="I867" s="50">
        <v>45924</v>
      </c>
      <c r="J867" s="22">
        <v>9</v>
      </c>
    </row>
    <row r="868" spans="9:10">
      <c r="I868" s="50">
        <v>45925</v>
      </c>
      <c r="J868" s="22">
        <v>9</v>
      </c>
    </row>
    <row r="869" spans="9:10">
      <c r="I869" s="50">
        <v>45926</v>
      </c>
      <c r="J869" s="22">
        <v>9</v>
      </c>
    </row>
    <row r="870" spans="9:10">
      <c r="I870" s="50">
        <v>45927</v>
      </c>
      <c r="J870" s="22">
        <v>9</v>
      </c>
    </row>
    <row r="871" spans="9:10">
      <c r="I871" s="50">
        <v>45928</v>
      </c>
      <c r="J871" s="22">
        <v>9</v>
      </c>
    </row>
    <row r="872" spans="9:10">
      <c r="I872" s="50">
        <v>45929</v>
      </c>
      <c r="J872" s="22">
        <v>9</v>
      </c>
    </row>
    <row r="873" spans="9:10">
      <c r="I873" s="50">
        <v>45930</v>
      </c>
      <c r="J873" s="22">
        <v>9</v>
      </c>
    </row>
    <row r="874" spans="9:10">
      <c r="I874" s="50">
        <v>45931</v>
      </c>
      <c r="J874" s="22">
        <v>10</v>
      </c>
    </row>
    <row r="875" spans="9:10">
      <c r="I875" s="50">
        <v>45932</v>
      </c>
      <c r="J875" s="22">
        <v>10</v>
      </c>
    </row>
    <row r="876" spans="9:10">
      <c r="I876" s="50">
        <v>45933</v>
      </c>
      <c r="J876" s="22">
        <v>10</v>
      </c>
    </row>
    <row r="877" spans="9:10">
      <c r="I877" s="50">
        <v>45934</v>
      </c>
      <c r="J877" s="22">
        <v>10</v>
      </c>
    </row>
    <row r="878" spans="9:10">
      <c r="I878" s="50">
        <v>45935</v>
      </c>
      <c r="J878" s="22">
        <v>10</v>
      </c>
    </row>
    <row r="879" spans="9:10">
      <c r="I879" s="50">
        <v>45936</v>
      </c>
      <c r="J879" s="22">
        <v>10</v>
      </c>
    </row>
    <row r="880" spans="9:10">
      <c r="I880" s="50">
        <v>45937</v>
      </c>
      <c r="J880" s="22">
        <v>10</v>
      </c>
    </row>
    <row r="881" spans="9:10">
      <c r="I881" s="50">
        <v>45938</v>
      </c>
      <c r="J881" s="22">
        <v>10</v>
      </c>
    </row>
    <row r="882" spans="9:10">
      <c r="I882" s="50">
        <v>45939</v>
      </c>
      <c r="J882" s="22">
        <v>10</v>
      </c>
    </row>
    <row r="883" spans="9:10">
      <c r="I883" s="50">
        <v>45940</v>
      </c>
      <c r="J883" s="22">
        <v>10</v>
      </c>
    </row>
    <row r="884" spans="9:10">
      <c r="I884" s="50">
        <v>45941</v>
      </c>
      <c r="J884" s="22">
        <v>10</v>
      </c>
    </row>
    <row r="885" spans="9:10">
      <c r="I885" s="50">
        <v>45942</v>
      </c>
      <c r="J885" s="22">
        <v>10</v>
      </c>
    </row>
    <row r="886" spans="9:10">
      <c r="I886" s="50">
        <v>45943</v>
      </c>
      <c r="J886" s="22">
        <v>10</v>
      </c>
    </row>
    <row r="887" spans="9:10">
      <c r="I887" s="50">
        <v>45944</v>
      </c>
      <c r="J887" s="22">
        <v>10</v>
      </c>
    </row>
    <row r="888" spans="9:10">
      <c r="I888" s="50">
        <v>45945</v>
      </c>
      <c r="J888" s="22">
        <v>10</v>
      </c>
    </row>
    <row r="889" spans="9:10">
      <c r="I889" s="50">
        <v>45946</v>
      </c>
      <c r="J889" s="22">
        <v>10</v>
      </c>
    </row>
    <row r="890" spans="9:10">
      <c r="I890" s="50">
        <v>45947</v>
      </c>
      <c r="J890" s="22">
        <v>10</v>
      </c>
    </row>
    <row r="891" spans="9:10">
      <c r="I891" s="50">
        <v>45948</v>
      </c>
      <c r="J891" s="22">
        <v>10</v>
      </c>
    </row>
    <row r="892" spans="9:10">
      <c r="I892" s="50">
        <v>45949</v>
      </c>
      <c r="J892" s="22">
        <v>10</v>
      </c>
    </row>
    <row r="893" spans="9:10">
      <c r="I893" s="50">
        <v>45950</v>
      </c>
      <c r="J893" s="22">
        <v>10</v>
      </c>
    </row>
    <row r="894" spans="9:10">
      <c r="I894" s="50">
        <v>45951</v>
      </c>
      <c r="J894" s="22">
        <v>10</v>
      </c>
    </row>
    <row r="895" spans="9:10">
      <c r="I895" s="50">
        <v>45952</v>
      </c>
      <c r="J895" s="22">
        <v>10</v>
      </c>
    </row>
    <row r="896" spans="9:10">
      <c r="I896" s="50">
        <v>45953</v>
      </c>
      <c r="J896" s="22">
        <v>10</v>
      </c>
    </row>
    <row r="897" spans="9:10">
      <c r="I897" s="50">
        <v>45954</v>
      </c>
      <c r="J897" s="22">
        <v>10</v>
      </c>
    </row>
    <row r="898" spans="9:10">
      <c r="I898" s="50">
        <v>45955</v>
      </c>
      <c r="J898" s="22">
        <v>10</v>
      </c>
    </row>
    <row r="899" spans="9:10">
      <c r="I899" s="50">
        <v>45956</v>
      </c>
      <c r="J899" s="22">
        <v>10</v>
      </c>
    </row>
    <row r="900" spans="9:10">
      <c r="I900" s="50">
        <v>45957</v>
      </c>
      <c r="J900" s="22">
        <v>10</v>
      </c>
    </row>
    <row r="901" spans="9:10">
      <c r="I901" s="50">
        <v>45958</v>
      </c>
      <c r="J901" s="22">
        <v>10</v>
      </c>
    </row>
    <row r="902" spans="9:10">
      <c r="I902" s="50">
        <v>45959</v>
      </c>
      <c r="J902" s="22">
        <v>10</v>
      </c>
    </row>
    <row r="903" spans="9:10">
      <c r="I903" s="50">
        <v>45960</v>
      </c>
      <c r="J903" s="22">
        <v>10</v>
      </c>
    </row>
    <row r="904" spans="9:10">
      <c r="I904" s="50">
        <v>45961</v>
      </c>
      <c r="J904" s="22">
        <v>10</v>
      </c>
    </row>
    <row r="905" spans="9:10">
      <c r="I905" s="50">
        <v>45962</v>
      </c>
      <c r="J905" s="22">
        <v>11</v>
      </c>
    </row>
    <row r="906" spans="9:10">
      <c r="I906" s="50">
        <v>45963</v>
      </c>
      <c r="J906" s="22">
        <v>11</v>
      </c>
    </row>
    <row r="907" spans="9:10">
      <c r="I907" s="50">
        <v>45964</v>
      </c>
      <c r="J907" s="22">
        <v>11</v>
      </c>
    </row>
    <row r="908" spans="9:10">
      <c r="I908" s="50">
        <v>45965</v>
      </c>
      <c r="J908" s="22">
        <v>11</v>
      </c>
    </row>
    <row r="909" spans="9:10">
      <c r="I909" s="50">
        <v>45966</v>
      </c>
      <c r="J909" s="22">
        <v>11</v>
      </c>
    </row>
    <row r="910" spans="9:10">
      <c r="I910" s="50">
        <v>45967</v>
      </c>
      <c r="J910" s="22">
        <v>11</v>
      </c>
    </row>
    <row r="911" spans="9:10">
      <c r="I911" s="50">
        <v>45968</v>
      </c>
      <c r="J911" s="22">
        <v>11</v>
      </c>
    </row>
    <row r="912" spans="9:10">
      <c r="I912" s="50">
        <v>45969</v>
      </c>
      <c r="J912" s="22">
        <v>11</v>
      </c>
    </row>
    <row r="913" spans="9:10">
      <c r="I913" s="50">
        <v>45970</v>
      </c>
      <c r="J913" s="22">
        <v>11</v>
      </c>
    </row>
    <row r="914" spans="9:10">
      <c r="I914" s="50">
        <v>45971</v>
      </c>
      <c r="J914" s="22">
        <v>11</v>
      </c>
    </row>
    <row r="915" spans="9:10">
      <c r="I915" s="50">
        <v>45972</v>
      </c>
      <c r="J915" s="22">
        <v>11</v>
      </c>
    </row>
    <row r="916" spans="9:10">
      <c r="I916" s="50">
        <v>45973</v>
      </c>
      <c r="J916" s="22">
        <v>11</v>
      </c>
    </row>
    <row r="917" spans="9:10">
      <c r="I917" s="50">
        <v>45974</v>
      </c>
      <c r="J917" s="22">
        <v>11</v>
      </c>
    </row>
    <row r="918" spans="9:10">
      <c r="I918" s="50">
        <v>45975</v>
      </c>
      <c r="J918" s="22">
        <v>11</v>
      </c>
    </row>
    <row r="919" spans="9:10">
      <c r="I919" s="50">
        <v>45976</v>
      </c>
      <c r="J919" s="22">
        <v>11</v>
      </c>
    </row>
    <row r="920" spans="9:10">
      <c r="I920" s="50">
        <v>45977</v>
      </c>
      <c r="J920" s="22">
        <v>11</v>
      </c>
    </row>
    <row r="921" spans="9:10">
      <c r="I921" s="50">
        <v>45978</v>
      </c>
      <c r="J921" s="22">
        <v>11</v>
      </c>
    </row>
    <row r="922" spans="9:10">
      <c r="I922" s="50">
        <v>45979</v>
      </c>
      <c r="J922" s="22">
        <v>11</v>
      </c>
    </row>
    <row r="923" spans="9:10">
      <c r="I923" s="50">
        <v>45980</v>
      </c>
      <c r="J923" s="22">
        <v>11</v>
      </c>
    </row>
    <row r="924" spans="9:10">
      <c r="I924" s="50">
        <v>45981</v>
      </c>
      <c r="J924" s="22">
        <v>11</v>
      </c>
    </row>
    <row r="925" spans="9:10">
      <c r="I925" s="50">
        <v>45982</v>
      </c>
      <c r="J925" s="22">
        <v>11</v>
      </c>
    </row>
    <row r="926" spans="9:10">
      <c r="I926" s="50">
        <v>45983</v>
      </c>
      <c r="J926" s="22">
        <v>11</v>
      </c>
    </row>
    <row r="927" spans="9:10">
      <c r="I927" s="50">
        <v>45984</v>
      </c>
      <c r="J927" s="22">
        <v>11</v>
      </c>
    </row>
    <row r="928" spans="9:10">
      <c r="I928" s="50">
        <v>45985</v>
      </c>
      <c r="J928" s="22">
        <v>11</v>
      </c>
    </row>
    <row r="929" spans="9:10">
      <c r="I929" s="50">
        <v>45986</v>
      </c>
      <c r="J929" s="22">
        <v>11</v>
      </c>
    </row>
    <row r="930" spans="9:10">
      <c r="I930" s="50">
        <v>45987</v>
      </c>
      <c r="J930" s="22">
        <v>11</v>
      </c>
    </row>
    <row r="931" spans="9:10">
      <c r="I931" s="50">
        <v>45988</v>
      </c>
      <c r="J931" s="22">
        <v>11</v>
      </c>
    </row>
    <row r="932" spans="9:10">
      <c r="I932" s="50">
        <v>45989</v>
      </c>
      <c r="J932" s="22">
        <v>11</v>
      </c>
    </row>
    <row r="933" spans="9:10">
      <c r="I933" s="50">
        <v>45990</v>
      </c>
      <c r="J933" s="22">
        <v>11</v>
      </c>
    </row>
    <row r="934" spans="9:10">
      <c r="I934" s="50">
        <v>45991</v>
      </c>
      <c r="J934" s="22">
        <v>11</v>
      </c>
    </row>
    <row r="935" spans="9:10">
      <c r="I935" s="50">
        <v>45992</v>
      </c>
      <c r="J935" s="22">
        <v>12</v>
      </c>
    </row>
    <row r="936" spans="9:10">
      <c r="I936" s="50">
        <v>45993</v>
      </c>
      <c r="J936" s="22">
        <v>12</v>
      </c>
    </row>
    <row r="937" spans="9:10">
      <c r="I937" s="50">
        <v>45994</v>
      </c>
      <c r="J937" s="22">
        <v>12</v>
      </c>
    </row>
    <row r="938" spans="9:10">
      <c r="I938" s="50">
        <v>45995</v>
      </c>
      <c r="J938" s="22">
        <v>12</v>
      </c>
    </row>
    <row r="939" spans="9:10">
      <c r="I939" s="50">
        <v>45996</v>
      </c>
      <c r="J939" s="22">
        <v>12</v>
      </c>
    </row>
    <row r="940" spans="9:10">
      <c r="I940" s="50">
        <v>45997</v>
      </c>
      <c r="J940" s="22">
        <v>12</v>
      </c>
    </row>
    <row r="941" spans="9:10">
      <c r="I941" s="50">
        <v>45998</v>
      </c>
      <c r="J941" s="22">
        <v>12</v>
      </c>
    </row>
    <row r="942" spans="9:10">
      <c r="I942" s="50">
        <v>45999</v>
      </c>
      <c r="J942" s="22">
        <v>12</v>
      </c>
    </row>
    <row r="943" spans="9:10">
      <c r="I943" s="50">
        <v>46000</v>
      </c>
      <c r="J943" s="22">
        <v>12</v>
      </c>
    </row>
    <row r="944" spans="9:10">
      <c r="I944" s="50">
        <v>46001</v>
      </c>
      <c r="J944" s="22">
        <v>12</v>
      </c>
    </row>
    <row r="945" spans="9:10">
      <c r="I945" s="50">
        <v>46002</v>
      </c>
      <c r="J945" s="22">
        <v>12</v>
      </c>
    </row>
    <row r="946" spans="9:10">
      <c r="I946" s="50">
        <v>46003</v>
      </c>
      <c r="J946" s="22">
        <v>12</v>
      </c>
    </row>
    <row r="947" spans="9:10">
      <c r="I947" s="50">
        <v>46004</v>
      </c>
      <c r="J947" s="22">
        <v>12</v>
      </c>
    </row>
    <row r="948" spans="9:10">
      <c r="I948" s="50">
        <v>46005</v>
      </c>
      <c r="J948" s="22">
        <v>12</v>
      </c>
    </row>
    <row r="949" spans="9:10">
      <c r="I949" s="50">
        <v>46006</v>
      </c>
      <c r="J949" s="22">
        <v>12</v>
      </c>
    </row>
    <row r="950" spans="9:10">
      <c r="I950" s="50">
        <v>46007</v>
      </c>
      <c r="J950" s="22">
        <v>12</v>
      </c>
    </row>
    <row r="951" spans="9:10">
      <c r="I951" s="50">
        <v>46008</v>
      </c>
      <c r="J951" s="22">
        <v>12</v>
      </c>
    </row>
    <row r="952" spans="9:10">
      <c r="I952" s="50">
        <v>46009</v>
      </c>
      <c r="J952" s="22">
        <v>12</v>
      </c>
    </row>
    <row r="953" spans="9:10">
      <c r="I953" s="50">
        <v>46010</v>
      </c>
      <c r="J953" s="22">
        <v>12</v>
      </c>
    </row>
    <row r="954" spans="9:10">
      <c r="I954" s="50">
        <v>46011</v>
      </c>
      <c r="J954" s="22">
        <v>12</v>
      </c>
    </row>
    <row r="955" spans="9:10">
      <c r="I955" s="50">
        <v>46012</v>
      </c>
      <c r="J955" s="22">
        <v>12</v>
      </c>
    </row>
    <row r="956" spans="9:10">
      <c r="I956" s="50">
        <v>46013</v>
      </c>
      <c r="J956" s="22">
        <v>12</v>
      </c>
    </row>
    <row r="957" spans="9:10">
      <c r="I957" s="50">
        <v>46014</v>
      </c>
      <c r="J957" s="22">
        <v>12</v>
      </c>
    </row>
    <row r="958" spans="9:10">
      <c r="I958" s="50">
        <v>46015</v>
      </c>
      <c r="J958" s="22">
        <v>12</v>
      </c>
    </row>
    <row r="959" spans="9:10">
      <c r="I959" s="50">
        <v>46016</v>
      </c>
      <c r="J959" s="22">
        <v>12</v>
      </c>
    </row>
    <row r="960" spans="9:10">
      <c r="I960" s="50">
        <v>46017</v>
      </c>
      <c r="J960" s="22">
        <v>12</v>
      </c>
    </row>
    <row r="961" spans="9:10">
      <c r="I961" s="50">
        <v>46018</v>
      </c>
      <c r="J961" s="22">
        <v>12</v>
      </c>
    </row>
    <row r="962" spans="9:10">
      <c r="I962" s="50">
        <v>46019</v>
      </c>
      <c r="J962" s="22">
        <v>12</v>
      </c>
    </row>
    <row r="963" spans="9:10">
      <c r="I963" s="50">
        <v>46020</v>
      </c>
      <c r="J963" s="22">
        <v>12</v>
      </c>
    </row>
    <row r="964" spans="9:10">
      <c r="I964" s="50">
        <v>46021</v>
      </c>
      <c r="J964" s="22">
        <v>12</v>
      </c>
    </row>
    <row r="965" spans="9:10">
      <c r="I965" s="50">
        <v>46022</v>
      </c>
      <c r="J965" s="22">
        <v>12</v>
      </c>
    </row>
    <row r="966" spans="9:10">
      <c r="I966" s="50">
        <v>46023</v>
      </c>
    </row>
    <row r="967" spans="9:10">
      <c r="I967" s="50">
        <v>46024</v>
      </c>
    </row>
    <row r="968" spans="9:10">
      <c r="I968" s="50">
        <v>46025</v>
      </c>
    </row>
    <row r="969" spans="9:10">
      <c r="I969" s="50">
        <v>46026</v>
      </c>
    </row>
    <row r="970" spans="9:10">
      <c r="I970" s="50">
        <v>46027</v>
      </c>
    </row>
    <row r="971" spans="9:10">
      <c r="I971" s="50">
        <v>46028</v>
      </c>
    </row>
    <row r="972" spans="9:10">
      <c r="I972" s="50">
        <v>46029</v>
      </c>
    </row>
    <row r="973" spans="9:10">
      <c r="I973" s="50">
        <v>46030</v>
      </c>
    </row>
    <row r="974" spans="9:10">
      <c r="I974" s="50">
        <v>46031</v>
      </c>
    </row>
    <row r="975" spans="9:10">
      <c r="I975" s="50">
        <v>46032</v>
      </c>
    </row>
    <row r="976" spans="9:10">
      <c r="I976" s="50">
        <v>46033</v>
      </c>
    </row>
    <row r="977" spans="9:9">
      <c r="I977" s="50">
        <v>46034</v>
      </c>
    </row>
    <row r="978" spans="9:9">
      <c r="I978" s="50">
        <v>46035</v>
      </c>
    </row>
    <row r="979" spans="9:9">
      <c r="I979" s="50">
        <v>46036</v>
      </c>
    </row>
    <row r="980" spans="9:9">
      <c r="I980" s="50">
        <v>46037</v>
      </c>
    </row>
    <row r="981" spans="9:9">
      <c r="I981" s="50">
        <v>46038</v>
      </c>
    </row>
    <row r="982" spans="9:9">
      <c r="I982" s="50">
        <v>46039</v>
      </c>
    </row>
    <row r="983" spans="9:9">
      <c r="I983" s="50">
        <v>46040</v>
      </c>
    </row>
    <row r="984" spans="9:9">
      <c r="I984" s="50">
        <v>46041</v>
      </c>
    </row>
    <row r="985" spans="9:9">
      <c r="I985" s="50">
        <v>46042</v>
      </c>
    </row>
    <row r="986" spans="9:9">
      <c r="I986" s="50">
        <v>46043</v>
      </c>
    </row>
    <row r="987" spans="9:9">
      <c r="I987" s="50">
        <v>46044</v>
      </c>
    </row>
    <row r="988" spans="9:9">
      <c r="I988" s="50">
        <v>46045</v>
      </c>
    </row>
    <row r="989" spans="9:9">
      <c r="I989" s="50">
        <v>46046</v>
      </c>
    </row>
    <row r="990" spans="9:9">
      <c r="I990" s="50">
        <v>46047</v>
      </c>
    </row>
    <row r="991" spans="9:9">
      <c r="I991" s="50">
        <v>46048</v>
      </c>
    </row>
    <row r="992" spans="9:9">
      <c r="I992" s="50">
        <v>46049</v>
      </c>
    </row>
    <row r="993" spans="9:9">
      <c r="I993" s="50">
        <v>46050</v>
      </c>
    </row>
    <row r="994" spans="9:9">
      <c r="I994" s="50">
        <v>46051</v>
      </c>
    </row>
    <row r="995" spans="9:9">
      <c r="I995" s="50">
        <v>46052</v>
      </c>
    </row>
    <row r="996" spans="9:9">
      <c r="I996" s="50">
        <v>46053</v>
      </c>
    </row>
    <row r="997" spans="9:9">
      <c r="I997" s="50">
        <v>46054</v>
      </c>
    </row>
    <row r="998" spans="9:9">
      <c r="I998" s="50">
        <v>46055</v>
      </c>
    </row>
    <row r="999" spans="9:9">
      <c r="I999" s="50">
        <v>46056</v>
      </c>
    </row>
    <row r="1000" spans="9:9">
      <c r="I1000" s="50">
        <v>46057</v>
      </c>
    </row>
    <row r="1001" spans="9:9">
      <c r="I1001" s="50">
        <v>46058</v>
      </c>
    </row>
    <row r="1002" spans="9:9">
      <c r="I1002" s="50">
        <v>46059</v>
      </c>
    </row>
    <row r="1003" spans="9:9">
      <c r="I1003" s="50">
        <v>46060</v>
      </c>
    </row>
    <row r="1004" spans="9:9">
      <c r="I1004" s="50">
        <v>46061</v>
      </c>
    </row>
    <row r="1005" spans="9:9">
      <c r="I1005" s="50">
        <v>46062</v>
      </c>
    </row>
    <row r="1006" spans="9:9">
      <c r="I1006" s="50">
        <v>46063</v>
      </c>
    </row>
    <row r="1007" spans="9:9">
      <c r="I1007" s="50">
        <v>46064</v>
      </c>
    </row>
    <row r="1008" spans="9:9">
      <c r="I1008" s="50">
        <v>46065</v>
      </c>
    </row>
    <row r="1009" spans="9:9">
      <c r="I1009" s="50">
        <v>46066</v>
      </c>
    </row>
    <row r="1010" spans="9:9">
      <c r="I1010" s="50">
        <v>46067</v>
      </c>
    </row>
    <row r="1011" spans="9:9">
      <c r="I1011" s="50">
        <v>46068</v>
      </c>
    </row>
    <row r="1012" spans="9:9">
      <c r="I1012" s="50">
        <v>46069</v>
      </c>
    </row>
    <row r="1013" spans="9:9">
      <c r="I1013" s="50">
        <v>46070</v>
      </c>
    </row>
    <row r="1014" spans="9:9">
      <c r="I1014" s="50">
        <v>46071</v>
      </c>
    </row>
    <row r="1015" spans="9:9">
      <c r="I1015" s="50">
        <v>46072</v>
      </c>
    </row>
    <row r="1016" spans="9:9">
      <c r="I1016" s="50">
        <v>46073</v>
      </c>
    </row>
    <row r="1017" spans="9:9">
      <c r="I1017" s="50">
        <v>46074</v>
      </c>
    </row>
    <row r="1018" spans="9:9">
      <c r="I1018" s="50">
        <v>46075</v>
      </c>
    </row>
    <row r="1019" spans="9:9">
      <c r="I1019" s="50">
        <v>46076</v>
      </c>
    </row>
    <row r="1020" spans="9:9">
      <c r="I1020" s="50">
        <v>46077</v>
      </c>
    </row>
    <row r="1021" spans="9:9">
      <c r="I1021" s="50">
        <v>46078</v>
      </c>
    </row>
    <row r="1022" spans="9:9">
      <c r="I1022" s="50">
        <v>46079</v>
      </c>
    </row>
    <row r="1023" spans="9:9">
      <c r="I1023" s="50">
        <v>46080</v>
      </c>
    </row>
    <row r="1024" spans="9:9">
      <c r="I1024" s="50">
        <v>46081</v>
      </c>
    </row>
    <row r="1025" spans="9:9">
      <c r="I1025" s="50">
        <v>46082</v>
      </c>
    </row>
    <row r="1026" spans="9:9">
      <c r="I1026" s="50">
        <v>46083</v>
      </c>
    </row>
    <row r="1027" spans="9:9">
      <c r="I1027" s="50">
        <v>46084</v>
      </c>
    </row>
    <row r="1028" spans="9:9">
      <c r="I1028" s="50">
        <v>46085</v>
      </c>
    </row>
    <row r="1029" spans="9:9">
      <c r="I1029" s="50">
        <v>46086</v>
      </c>
    </row>
    <row r="1030" spans="9:9">
      <c r="I1030" s="50">
        <v>46087</v>
      </c>
    </row>
    <row r="1031" spans="9:9">
      <c r="I1031" s="50">
        <v>46088</v>
      </c>
    </row>
    <row r="1032" spans="9:9">
      <c r="I1032" s="50">
        <v>46089</v>
      </c>
    </row>
    <row r="1033" spans="9:9">
      <c r="I1033" s="50">
        <v>46090</v>
      </c>
    </row>
    <row r="1034" spans="9:9">
      <c r="I1034" s="50">
        <v>46091</v>
      </c>
    </row>
    <row r="1035" spans="9:9">
      <c r="I1035" s="50">
        <v>46092</v>
      </c>
    </row>
    <row r="1036" spans="9:9">
      <c r="I1036" s="50">
        <v>46093</v>
      </c>
    </row>
    <row r="1037" spans="9:9">
      <c r="I1037" s="50">
        <v>46094</v>
      </c>
    </row>
    <row r="1038" spans="9:9">
      <c r="I1038" s="50">
        <v>46095</v>
      </c>
    </row>
    <row r="1039" spans="9:9">
      <c r="I1039" s="50">
        <v>46096</v>
      </c>
    </row>
    <row r="1040" spans="9:9">
      <c r="I1040" s="50">
        <v>46097</v>
      </c>
    </row>
    <row r="1041" spans="9:9">
      <c r="I1041" s="50">
        <v>46098</v>
      </c>
    </row>
    <row r="1042" spans="9:9">
      <c r="I1042" s="50">
        <v>46099</v>
      </c>
    </row>
    <row r="1043" spans="9:9">
      <c r="I1043" s="50">
        <v>46100</v>
      </c>
    </row>
    <row r="1044" spans="9:9">
      <c r="I1044" s="50">
        <v>46101</v>
      </c>
    </row>
    <row r="1045" spans="9:9">
      <c r="I1045" s="50">
        <v>46102</v>
      </c>
    </row>
    <row r="1046" spans="9:9">
      <c r="I1046" s="50">
        <v>46103</v>
      </c>
    </row>
    <row r="1047" spans="9:9">
      <c r="I1047" s="50">
        <v>46104</v>
      </c>
    </row>
    <row r="1048" spans="9:9">
      <c r="I1048" s="50">
        <v>46105</v>
      </c>
    </row>
    <row r="1049" spans="9:9">
      <c r="I1049" s="50">
        <v>46106</v>
      </c>
    </row>
    <row r="1050" spans="9:9">
      <c r="I1050" s="50">
        <v>46107</v>
      </c>
    </row>
    <row r="1051" spans="9:9">
      <c r="I1051" s="50">
        <v>46108</v>
      </c>
    </row>
    <row r="1052" spans="9:9">
      <c r="I1052" s="50">
        <v>46109</v>
      </c>
    </row>
    <row r="1053" spans="9:9">
      <c r="I1053" s="50">
        <v>46110</v>
      </c>
    </row>
    <row r="1054" spans="9:9">
      <c r="I1054" s="50">
        <v>46111</v>
      </c>
    </row>
    <row r="1055" spans="9:9">
      <c r="I1055" s="50">
        <v>46112</v>
      </c>
    </row>
    <row r="1056" spans="9:9">
      <c r="I1056" s="50">
        <v>46113</v>
      </c>
    </row>
    <row r="1057" spans="9:9">
      <c r="I1057" s="50">
        <v>46114</v>
      </c>
    </row>
    <row r="1058" spans="9:9">
      <c r="I1058" s="50">
        <v>46115</v>
      </c>
    </row>
    <row r="1059" spans="9:9">
      <c r="I1059" s="50">
        <v>46116</v>
      </c>
    </row>
    <row r="1060" spans="9:9">
      <c r="I1060" s="50">
        <v>46117</v>
      </c>
    </row>
    <row r="1061" spans="9:9">
      <c r="I1061" s="50">
        <v>46118</v>
      </c>
    </row>
    <row r="1062" spans="9:9">
      <c r="I1062" s="50">
        <v>46119</v>
      </c>
    </row>
    <row r="1063" spans="9:9">
      <c r="I1063" s="50">
        <v>46120</v>
      </c>
    </row>
    <row r="1064" spans="9:9">
      <c r="I1064" s="50">
        <v>46121</v>
      </c>
    </row>
    <row r="1065" spans="9:9">
      <c r="I1065" s="50">
        <v>46122</v>
      </c>
    </row>
    <row r="1066" spans="9:9">
      <c r="I1066" s="50">
        <v>46123</v>
      </c>
    </row>
    <row r="1067" spans="9:9">
      <c r="I1067" s="50">
        <v>46124</v>
      </c>
    </row>
    <row r="1068" spans="9:9">
      <c r="I1068" s="50">
        <v>46125</v>
      </c>
    </row>
    <row r="1069" spans="9:9">
      <c r="I1069" s="50">
        <v>46126</v>
      </c>
    </row>
    <row r="1070" spans="9:9">
      <c r="I1070" s="50">
        <v>46127</v>
      </c>
    </row>
    <row r="1071" spans="9:9">
      <c r="I1071" s="50">
        <v>46128</v>
      </c>
    </row>
    <row r="1072" spans="9:9">
      <c r="I1072" s="50">
        <v>46129</v>
      </c>
    </row>
    <row r="1073" spans="9:9">
      <c r="I1073" s="50">
        <v>46130</v>
      </c>
    </row>
    <row r="1074" spans="9:9">
      <c r="I1074" s="50">
        <v>46131</v>
      </c>
    </row>
    <row r="1075" spans="9:9">
      <c r="I1075" s="50">
        <v>46132</v>
      </c>
    </row>
    <row r="1076" spans="9:9">
      <c r="I1076" s="50">
        <v>46133</v>
      </c>
    </row>
    <row r="1077" spans="9:9">
      <c r="I1077" s="50">
        <v>46134</v>
      </c>
    </row>
    <row r="1078" spans="9:9">
      <c r="I1078" s="50">
        <v>46135</v>
      </c>
    </row>
    <row r="1079" spans="9:9">
      <c r="I1079" s="50">
        <v>46136</v>
      </c>
    </row>
    <row r="1080" spans="9:9">
      <c r="I1080" s="50">
        <v>46137</v>
      </c>
    </row>
    <row r="1081" spans="9:9">
      <c r="I1081" s="50">
        <v>46138</v>
      </c>
    </row>
    <row r="1082" spans="9:9">
      <c r="I1082" s="50">
        <v>46139</v>
      </c>
    </row>
    <row r="1083" spans="9:9">
      <c r="I1083" s="50">
        <v>46140</v>
      </c>
    </row>
    <row r="1084" spans="9:9">
      <c r="I1084" s="50">
        <v>46141</v>
      </c>
    </row>
    <row r="1085" spans="9:9">
      <c r="I1085" s="50">
        <v>46142</v>
      </c>
    </row>
    <row r="1086" spans="9:9">
      <c r="I1086" s="50">
        <v>46143</v>
      </c>
    </row>
    <row r="1087" spans="9:9">
      <c r="I1087" s="50">
        <v>46144</v>
      </c>
    </row>
    <row r="1088" spans="9:9">
      <c r="I1088" s="50">
        <v>46145</v>
      </c>
    </row>
    <row r="1089" spans="9:9">
      <c r="I1089" s="50">
        <v>46146</v>
      </c>
    </row>
    <row r="1090" spans="9:9">
      <c r="I1090" s="50">
        <v>46147</v>
      </c>
    </row>
    <row r="1091" spans="9:9">
      <c r="I1091" s="50">
        <v>46148</v>
      </c>
    </row>
    <row r="1092" spans="9:9">
      <c r="I1092" s="50">
        <v>46149</v>
      </c>
    </row>
    <row r="1093" spans="9:9">
      <c r="I1093" s="50">
        <v>46150</v>
      </c>
    </row>
    <row r="1094" spans="9:9">
      <c r="I1094" s="50">
        <v>46151</v>
      </c>
    </row>
    <row r="1095" spans="9:9">
      <c r="I1095" s="50">
        <v>46152</v>
      </c>
    </row>
    <row r="1096" spans="9:9">
      <c r="I1096" s="50">
        <v>46153</v>
      </c>
    </row>
    <row r="1097" spans="9:9">
      <c r="I1097" s="50">
        <v>46154</v>
      </c>
    </row>
    <row r="1098" spans="9:9">
      <c r="I1098" s="50">
        <v>46155</v>
      </c>
    </row>
    <row r="1099" spans="9:9">
      <c r="I1099" s="50">
        <v>46156</v>
      </c>
    </row>
    <row r="1100" spans="9:9">
      <c r="I1100" s="50">
        <v>46157</v>
      </c>
    </row>
    <row r="1101" spans="9:9">
      <c r="I1101" s="50">
        <v>46158</v>
      </c>
    </row>
    <row r="1102" spans="9:9">
      <c r="I1102" s="50">
        <v>46159</v>
      </c>
    </row>
    <row r="1103" spans="9:9">
      <c r="I1103" s="50">
        <v>46160</v>
      </c>
    </row>
    <row r="1104" spans="9:9">
      <c r="I1104" s="50">
        <v>46161</v>
      </c>
    </row>
    <row r="1105" spans="9:9">
      <c r="I1105" s="50">
        <v>46162</v>
      </c>
    </row>
    <row r="1106" spans="9:9">
      <c r="I1106" s="50">
        <v>46163</v>
      </c>
    </row>
    <row r="1107" spans="9:9">
      <c r="I1107" s="50">
        <v>46164</v>
      </c>
    </row>
    <row r="1108" spans="9:9">
      <c r="I1108" s="50">
        <v>46165</v>
      </c>
    </row>
    <row r="1109" spans="9:9">
      <c r="I1109" s="50">
        <v>46166</v>
      </c>
    </row>
    <row r="1110" spans="9:9">
      <c r="I1110" s="50">
        <v>46167</v>
      </c>
    </row>
    <row r="1111" spans="9:9">
      <c r="I1111" s="50">
        <v>46168</v>
      </c>
    </row>
    <row r="1112" spans="9:9">
      <c r="I1112" s="50">
        <v>46169</v>
      </c>
    </row>
    <row r="1113" spans="9:9">
      <c r="I1113" s="50">
        <v>46170</v>
      </c>
    </row>
    <row r="1114" spans="9:9">
      <c r="I1114" s="50">
        <v>46171</v>
      </c>
    </row>
    <row r="1115" spans="9:9">
      <c r="I1115" s="50">
        <v>46172</v>
      </c>
    </row>
    <row r="1116" spans="9:9">
      <c r="I1116" s="50">
        <v>46173</v>
      </c>
    </row>
    <row r="1117" spans="9:9">
      <c r="I1117" s="50">
        <v>46174</v>
      </c>
    </row>
    <row r="1118" spans="9:9">
      <c r="I1118" s="50">
        <v>46175</v>
      </c>
    </row>
    <row r="1119" spans="9:9">
      <c r="I1119" s="50">
        <v>46176</v>
      </c>
    </row>
    <row r="1120" spans="9:9">
      <c r="I1120" s="50">
        <v>46177</v>
      </c>
    </row>
    <row r="1121" spans="9:9">
      <c r="I1121" s="50">
        <v>46178</v>
      </c>
    </row>
    <row r="1122" spans="9:9">
      <c r="I1122" s="50">
        <v>46179</v>
      </c>
    </row>
    <row r="1123" spans="9:9">
      <c r="I1123" s="50">
        <v>46180</v>
      </c>
    </row>
    <row r="1124" spans="9:9">
      <c r="I1124" s="50">
        <v>46181</v>
      </c>
    </row>
    <row r="1125" spans="9:9">
      <c r="I1125" s="50">
        <v>46182</v>
      </c>
    </row>
    <row r="1126" spans="9:9">
      <c r="I1126" s="50">
        <v>46183</v>
      </c>
    </row>
    <row r="1127" spans="9:9">
      <c r="I1127" s="50">
        <v>46184</v>
      </c>
    </row>
    <row r="1128" spans="9:9">
      <c r="I1128" s="50">
        <v>46185</v>
      </c>
    </row>
    <row r="1129" spans="9:9">
      <c r="I1129" s="50">
        <v>46186</v>
      </c>
    </row>
    <row r="1130" spans="9:9">
      <c r="I1130" s="50">
        <v>46187</v>
      </c>
    </row>
    <row r="1131" spans="9:9">
      <c r="I1131" s="50">
        <v>46188</v>
      </c>
    </row>
    <row r="1132" spans="9:9">
      <c r="I1132" s="50">
        <v>46189</v>
      </c>
    </row>
    <row r="1133" spans="9:9">
      <c r="I1133" s="50">
        <v>46190</v>
      </c>
    </row>
    <row r="1134" spans="9:9">
      <c r="I1134" s="50">
        <v>46191</v>
      </c>
    </row>
    <row r="1135" spans="9:9">
      <c r="I1135" s="50">
        <v>46192</v>
      </c>
    </row>
    <row r="1136" spans="9:9">
      <c r="I1136" s="50">
        <v>46193</v>
      </c>
    </row>
    <row r="1137" spans="9:9">
      <c r="I1137" s="50">
        <v>46194</v>
      </c>
    </row>
    <row r="1138" spans="9:9">
      <c r="I1138" s="50">
        <v>46195</v>
      </c>
    </row>
    <row r="1139" spans="9:9">
      <c r="I1139" s="50">
        <v>46196</v>
      </c>
    </row>
    <row r="1140" spans="9:9">
      <c r="I1140" s="50">
        <v>46197</v>
      </c>
    </row>
    <row r="1141" spans="9:9">
      <c r="I1141" s="50">
        <v>46198</v>
      </c>
    </row>
    <row r="1142" spans="9:9">
      <c r="I1142" s="50">
        <v>46199</v>
      </c>
    </row>
    <row r="1143" spans="9:9">
      <c r="I1143" s="50">
        <v>46200</v>
      </c>
    </row>
    <row r="1144" spans="9:9">
      <c r="I1144" s="50">
        <v>46201</v>
      </c>
    </row>
    <row r="1145" spans="9:9">
      <c r="I1145" s="50">
        <v>46202</v>
      </c>
    </row>
    <row r="1146" spans="9:9">
      <c r="I1146" s="50">
        <v>46203</v>
      </c>
    </row>
    <row r="1147" spans="9:9">
      <c r="I1147" s="50">
        <v>46204</v>
      </c>
    </row>
    <row r="1148" spans="9:9">
      <c r="I1148" s="50">
        <v>46205</v>
      </c>
    </row>
    <row r="1149" spans="9:9">
      <c r="I1149" s="50">
        <v>46206</v>
      </c>
    </row>
    <row r="1150" spans="9:9">
      <c r="I1150" s="50">
        <v>46207</v>
      </c>
    </row>
    <row r="1151" spans="9:9">
      <c r="I1151" s="50">
        <v>46208</v>
      </c>
    </row>
    <row r="1152" spans="9:9">
      <c r="I1152" s="50">
        <v>46209</v>
      </c>
    </row>
    <row r="1153" spans="9:9">
      <c r="I1153" s="50">
        <v>46210</v>
      </c>
    </row>
    <row r="1154" spans="9:9">
      <c r="I1154" s="50">
        <v>46211</v>
      </c>
    </row>
    <row r="1155" spans="9:9">
      <c r="I1155" s="50">
        <v>46212</v>
      </c>
    </row>
    <row r="1156" spans="9:9">
      <c r="I1156" s="50">
        <v>46213</v>
      </c>
    </row>
    <row r="1157" spans="9:9">
      <c r="I1157" s="50">
        <v>46214</v>
      </c>
    </row>
    <row r="1158" spans="9:9">
      <c r="I1158" s="50">
        <v>46215</v>
      </c>
    </row>
    <row r="1159" spans="9:9">
      <c r="I1159" s="50">
        <v>46216</v>
      </c>
    </row>
    <row r="1160" spans="9:9">
      <c r="I1160" s="50">
        <v>46217</v>
      </c>
    </row>
    <row r="1161" spans="9:9">
      <c r="I1161" s="50">
        <v>46218</v>
      </c>
    </row>
    <row r="1162" spans="9:9">
      <c r="I1162" s="50">
        <v>46219</v>
      </c>
    </row>
    <row r="1163" spans="9:9">
      <c r="I1163" s="50">
        <v>46220</v>
      </c>
    </row>
    <row r="1164" spans="9:9">
      <c r="I1164" s="50">
        <v>46221</v>
      </c>
    </row>
    <row r="1165" spans="9:9">
      <c r="I1165" s="50">
        <v>46222</v>
      </c>
    </row>
    <row r="1166" spans="9:9">
      <c r="I1166" s="50">
        <v>46223</v>
      </c>
    </row>
    <row r="1167" spans="9:9">
      <c r="I1167" s="50">
        <v>46224</v>
      </c>
    </row>
    <row r="1168" spans="9:9">
      <c r="I1168" s="50">
        <v>46225</v>
      </c>
    </row>
    <row r="1169" spans="9:9">
      <c r="I1169" s="50">
        <v>46226</v>
      </c>
    </row>
    <row r="1170" spans="9:9">
      <c r="I1170" s="50">
        <v>46227</v>
      </c>
    </row>
    <row r="1171" spans="9:9">
      <c r="I1171" s="50">
        <v>46228</v>
      </c>
    </row>
    <row r="1172" spans="9:9">
      <c r="I1172" s="50">
        <v>46229</v>
      </c>
    </row>
    <row r="1173" spans="9:9">
      <c r="I1173" s="50">
        <v>46230</v>
      </c>
    </row>
    <row r="1174" spans="9:9">
      <c r="I1174" s="50">
        <v>46231</v>
      </c>
    </row>
    <row r="1175" spans="9:9">
      <c r="I1175" s="50">
        <v>46232</v>
      </c>
    </row>
    <row r="1176" spans="9:9">
      <c r="I1176" s="50">
        <v>46233</v>
      </c>
    </row>
    <row r="1177" spans="9:9">
      <c r="I1177" s="50">
        <v>46234</v>
      </c>
    </row>
    <row r="1178" spans="9:9">
      <c r="I1178" s="50">
        <v>46235</v>
      </c>
    </row>
    <row r="1179" spans="9:9">
      <c r="I1179" s="50">
        <v>46236</v>
      </c>
    </row>
    <row r="1180" spans="9:9">
      <c r="I1180" s="50">
        <v>46237</v>
      </c>
    </row>
    <row r="1181" spans="9:9">
      <c r="I1181" s="50">
        <v>46238</v>
      </c>
    </row>
    <row r="1182" spans="9:9">
      <c r="I1182" s="50">
        <v>46239</v>
      </c>
    </row>
    <row r="1183" spans="9:9">
      <c r="I1183" s="50">
        <v>46240</v>
      </c>
    </row>
    <row r="1184" spans="9:9">
      <c r="I1184" s="50">
        <v>46241</v>
      </c>
    </row>
    <row r="1185" spans="9:9">
      <c r="I1185" s="50">
        <v>46242</v>
      </c>
    </row>
    <row r="1186" spans="9:9">
      <c r="I1186" s="50">
        <v>46243</v>
      </c>
    </row>
    <row r="1187" spans="9:9">
      <c r="I1187" s="50">
        <v>46244</v>
      </c>
    </row>
    <row r="1188" spans="9:9">
      <c r="I1188" s="50">
        <v>46245</v>
      </c>
    </row>
    <row r="1189" spans="9:9">
      <c r="I1189" s="50">
        <v>46246</v>
      </c>
    </row>
    <row r="1190" spans="9:9">
      <c r="I1190" s="50">
        <v>46247</v>
      </c>
    </row>
    <row r="1191" spans="9:9">
      <c r="I1191" s="50">
        <v>46248</v>
      </c>
    </row>
    <row r="1192" spans="9:9">
      <c r="I1192" s="50">
        <v>46249</v>
      </c>
    </row>
    <row r="1193" spans="9:9">
      <c r="I1193" s="50">
        <v>46250</v>
      </c>
    </row>
    <row r="1194" spans="9:9">
      <c r="I1194" s="50">
        <v>46251</v>
      </c>
    </row>
    <row r="1195" spans="9:9">
      <c r="I1195" s="50">
        <v>46252</v>
      </c>
    </row>
    <row r="1196" spans="9:9">
      <c r="I1196" s="50">
        <v>46253</v>
      </c>
    </row>
    <row r="1197" spans="9:9">
      <c r="I1197" s="50">
        <v>46254</v>
      </c>
    </row>
    <row r="1198" spans="9:9">
      <c r="I1198" s="50">
        <v>46255</v>
      </c>
    </row>
    <row r="1199" spans="9:9">
      <c r="I1199" s="50">
        <v>46256</v>
      </c>
    </row>
    <row r="1200" spans="9:9">
      <c r="I1200" s="50">
        <v>46257</v>
      </c>
    </row>
    <row r="1201" spans="9:9">
      <c r="I1201" s="50">
        <v>46258</v>
      </c>
    </row>
    <row r="1202" spans="9:9">
      <c r="I1202" s="50">
        <v>46259</v>
      </c>
    </row>
    <row r="1203" spans="9:9">
      <c r="I1203" s="50">
        <v>46260</v>
      </c>
    </row>
    <row r="1204" spans="9:9">
      <c r="I1204" s="50">
        <v>46261</v>
      </c>
    </row>
    <row r="1205" spans="9:9">
      <c r="I1205" s="50">
        <v>46262</v>
      </c>
    </row>
    <row r="1206" spans="9:9">
      <c r="I1206" s="50">
        <v>46263</v>
      </c>
    </row>
    <row r="1207" spans="9:9">
      <c r="I1207" s="50">
        <v>46264</v>
      </c>
    </row>
    <row r="1208" spans="9:9">
      <c r="I1208" s="50">
        <v>46265</v>
      </c>
    </row>
    <row r="1209" spans="9:9">
      <c r="I1209" s="50">
        <v>46266</v>
      </c>
    </row>
    <row r="1210" spans="9:9">
      <c r="I1210" s="50">
        <v>46267</v>
      </c>
    </row>
    <row r="1211" spans="9:9">
      <c r="I1211" s="50">
        <v>46268</v>
      </c>
    </row>
    <row r="1212" spans="9:9">
      <c r="I1212" s="50">
        <v>46269</v>
      </c>
    </row>
    <row r="1213" spans="9:9">
      <c r="I1213" s="50">
        <v>46270</v>
      </c>
    </row>
    <row r="1214" spans="9:9">
      <c r="I1214" s="50">
        <v>46271</v>
      </c>
    </row>
    <row r="1215" spans="9:9">
      <c r="I1215" s="50">
        <v>46272</v>
      </c>
    </row>
    <row r="1216" spans="9:9">
      <c r="I1216" s="50">
        <v>46273</v>
      </c>
    </row>
    <row r="1217" spans="9:9">
      <c r="I1217" s="50">
        <v>46274</v>
      </c>
    </row>
    <row r="1218" spans="9:9">
      <c r="I1218" s="50">
        <v>46275</v>
      </c>
    </row>
    <row r="1219" spans="9:9">
      <c r="I1219" s="50">
        <v>46276</v>
      </c>
    </row>
    <row r="1220" spans="9:9">
      <c r="I1220" s="50">
        <v>46277</v>
      </c>
    </row>
    <row r="1221" spans="9:9">
      <c r="I1221" s="50">
        <v>46278</v>
      </c>
    </row>
    <row r="1222" spans="9:9">
      <c r="I1222" s="50">
        <v>46279</v>
      </c>
    </row>
    <row r="1223" spans="9:9">
      <c r="I1223" s="50">
        <v>46280</v>
      </c>
    </row>
    <row r="1224" spans="9:9">
      <c r="I1224" s="50">
        <v>46281</v>
      </c>
    </row>
    <row r="1225" spans="9:9">
      <c r="I1225" s="50">
        <v>46282</v>
      </c>
    </row>
    <row r="1226" spans="9:9">
      <c r="I1226" s="50">
        <v>46283</v>
      </c>
    </row>
    <row r="1227" spans="9:9">
      <c r="I1227" s="50">
        <v>46284</v>
      </c>
    </row>
    <row r="1228" spans="9:9">
      <c r="I1228" s="50">
        <v>46285</v>
      </c>
    </row>
    <row r="1229" spans="9:9">
      <c r="I1229" s="50">
        <v>46286</v>
      </c>
    </row>
    <row r="1230" spans="9:9">
      <c r="I1230" s="50">
        <v>46287</v>
      </c>
    </row>
    <row r="1231" spans="9:9">
      <c r="I1231" s="50">
        <v>46288</v>
      </c>
    </row>
    <row r="1232" spans="9:9">
      <c r="I1232" s="50">
        <v>46289</v>
      </c>
    </row>
    <row r="1233" spans="9:9">
      <c r="I1233" s="50">
        <v>46290</v>
      </c>
    </row>
    <row r="1234" spans="9:9">
      <c r="I1234" s="50">
        <v>46291</v>
      </c>
    </row>
    <row r="1235" spans="9:9">
      <c r="I1235" s="50">
        <v>46292</v>
      </c>
    </row>
    <row r="1236" spans="9:9">
      <c r="I1236" s="50">
        <v>46293</v>
      </c>
    </row>
    <row r="1237" spans="9:9">
      <c r="I1237" s="50">
        <v>46294</v>
      </c>
    </row>
    <row r="1238" spans="9:9">
      <c r="I1238" s="50">
        <v>46295</v>
      </c>
    </row>
    <row r="1239" spans="9:9">
      <c r="I1239" s="50">
        <v>46296</v>
      </c>
    </row>
    <row r="1240" spans="9:9">
      <c r="I1240" s="50">
        <v>46297</v>
      </c>
    </row>
    <row r="1241" spans="9:9">
      <c r="I1241" s="50">
        <v>46298</v>
      </c>
    </row>
    <row r="1242" spans="9:9">
      <c r="I1242" s="50">
        <v>46299</v>
      </c>
    </row>
    <row r="1243" spans="9:9">
      <c r="I1243" s="50">
        <v>46300</v>
      </c>
    </row>
    <row r="1244" spans="9:9">
      <c r="I1244" s="50">
        <v>46301</v>
      </c>
    </row>
    <row r="1245" spans="9:9">
      <c r="I1245" s="50">
        <v>46302</v>
      </c>
    </row>
    <row r="1246" spans="9:9">
      <c r="I1246" s="50">
        <v>46303</v>
      </c>
    </row>
    <row r="1247" spans="9:9">
      <c r="I1247" s="50">
        <v>46304</v>
      </c>
    </row>
    <row r="1248" spans="9:9">
      <c r="I1248" s="50">
        <v>46305</v>
      </c>
    </row>
    <row r="1249" spans="9:9">
      <c r="I1249" s="50">
        <v>46306</v>
      </c>
    </row>
    <row r="1250" spans="9:9">
      <c r="I1250" s="50">
        <v>46307</v>
      </c>
    </row>
    <row r="1251" spans="9:9">
      <c r="I1251" s="50">
        <v>46308</v>
      </c>
    </row>
    <row r="1252" spans="9:9">
      <c r="I1252" s="50">
        <v>46309</v>
      </c>
    </row>
    <row r="1253" spans="9:9">
      <c r="I1253" s="50">
        <v>46310</v>
      </c>
    </row>
    <row r="1254" spans="9:9">
      <c r="I1254" s="50">
        <v>46311</v>
      </c>
    </row>
    <row r="1255" spans="9:9">
      <c r="I1255" s="50">
        <v>46312</v>
      </c>
    </row>
    <row r="1256" spans="9:9">
      <c r="I1256" s="50">
        <v>46313</v>
      </c>
    </row>
    <row r="1257" spans="9:9">
      <c r="I1257" s="50">
        <v>46314</v>
      </c>
    </row>
    <row r="1258" spans="9:9">
      <c r="I1258" s="50">
        <v>46315</v>
      </c>
    </row>
    <row r="1259" spans="9:9">
      <c r="I1259" s="50">
        <v>46316</v>
      </c>
    </row>
    <row r="1260" spans="9:9">
      <c r="I1260" s="50">
        <v>46317</v>
      </c>
    </row>
    <row r="1261" spans="9:9">
      <c r="I1261" s="50">
        <v>46318</v>
      </c>
    </row>
    <row r="1262" spans="9:9">
      <c r="I1262" s="50">
        <v>46319</v>
      </c>
    </row>
    <row r="1263" spans="9:9">
      <c r="I1263" s="50">
        <v>46320</v>
      </c>
    </row>
    <row r="1264" spans="9:9">
      <c r="I1264" s="50">
        <v>46321</v>
      </c>
    </row>
    <row r="1265" spans="9:9">
      <c r="I1265" s="50">
        <v>46322</v>
      </c>
    </row>
    <row r="1266" spans="9:9">
      <c r="I1266" s="50">
        <v>46323</v>
      </c>
    </row>
    <row r="1267" spans="9:9">
      <c r="I1267" s="50">
        <v>46324</v>
      </c>
    </row>
    <row r="1268" spans="9:9">
      <c r="I1268" s="50">
        <v>46325</v>
      </c>
    </row>
    <row r="1269" spans="9:9">
      <c r="I1269" s="50">
        <v>46326</v>
      </c>
    </row>
    <row r="1270" spans="9:9">
      <c r="I1270" s="50">
        <v>46327</v>
      </c>
    </row>
    <row r="1271" spans="9:9">
      <c r="I1271" s="50">
        <v>46328</v>
      </c>
    </row>
    <row r="1272" spans="9:9">
      <c r="I1272" s="50">
        <v>46329</v>
      </c>
    </row>
    <row r="1273" spans="9:9">
      <c r="I1273" s="50">
        <v>46330</v>
      </c>
    </row>
    <row r="1274" spans="9:9">
      <c r="I1274" s="50">
        <v>46331</v>
      </c>
    </row>
    <row r="1275" spans="9:9">
      <c r="I1275" s="50">
        <v>46332</v>
      </c>
    </row>
  </sheetData>
  <sortState xmlns:xlrd2="http://schemas.microsoft.com/office/spreadsheetml/2017/richdata2" ref="N3:N16">
    <sortCondition ref="N3:N16"/>
  </sortState>
  <phoneticPr fontId="4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964F-D9FD-43D5-B49D-8DBC0D733067}">
  <dimension ref="A1:V17"/>
  <sheetViews>
    <sheetView workbookViewId="0">
      <selection activeCell="U12" sqref="U12"/>
    </sheetView>
  </sheetViews>
  <sheetFormatPr defaultColWidth="8.88671875" defaultRowHeight="14.4"/>
  <cols>
    <col min="1" max="1" width="49.88671875" customWidth="1"/>
    <col min="2" max="2" width="12.33203125" customWidth="1"/>
    <col min="3" max="3" width="17.33203125" customWidth="1"/>
    <col min="4" max="4" width="13.6640625" customWidth="1"/>
    <col min="5" max="5" width="11.33203125" bestFit="1" customWidth="1"/>
    <col min="6" max="6" width="11" bestFit="1" customWidth="1"/>
    <col min="7" max="8" width="10.109375" bestFit="1" customWidth="1"/>
    <col min="13" max="16" width="10.109375" bestFit="1" customWidth="1"/>
    <col min="17" max="20" width="9.33203125" bestFit="1" customWidth="1"/>
    <col min="21" max="22" width="10.44140625" bestFit="1" customWidth="1"/>
  </cols>
  <sheetData>
    <row r="1" spans="1:22" ht="15.6">
      <c r="A1" s="481" t="s">
        <v>588</v>
      </c>
      <c r="B1" s="481"/>
      <c r="C1" s="481"/>
      <c r="D1" s="481"/>
      <c r="E1" s="481"/>
      <c r="F1" s="481"/>
    </row>
    <row r="2" spans="1:22" ht="15.6">
      <c r="A2" s="306"/>
      <c r="B2" s="306"/>
      <c r="C2" s="481" t="s">
        <v>589</v>
      </c>
      <c r="D2" s="481"/>
      <c r="E2" s="481"/>
      <c r="F2" s="481"/>
      <c r="G2" s="481"/>
      <c r="H2" s="481"/>
      <c r="I2" s="481"/>
      <c r="J2" s="481"/>
      <c r="K2" s="481"/>
      <c r="L2" s="481"/>
    </row>
    <row r="3" spans="1:22" ht="15.6">
      <c r="A3" s="306"/>
      <c r="B3" s="306"/>
      <c r="C3" s="307">
        <v>45737</v>
      </c>
      <c r="D3" s="307">
        <v>45740</v>
      </c>
      <c r="E3" s="307">
        <v>45741</v>
      </c>
      <c r="F3" s="307">
        <v>45742</v>
      </c>
      <c r="G3" s="309">
        <v>45743</v>
      </c>
      <c r="H3" s="309">
        <v>45744</v>
      </c>
      <c r="I3" s="309">
        <v>45749</v>
      </c>
      <c r="J3" s="309">
        <v>45750</v>
      </c>
      <c r="K3" s="309">
        <v>45751</v>
      </c>
      <c r="L3" s="309">
        <v>45754</v>
      </c>
      <c r="M3" s="309">
        <v>45757</v>
      </c>
      <c r="N3" s="309">
        <v>45762</v>
      </c>
      <c r="O3" s="309">
        <v>45772</v>
      </c>
      <c r="P3" s="309">
        <v>45775</v>
      </c>
      <c r="Q3" s="309">
        <v>45779</v>
      </c>
      <c r="R3" s="309">
        <v>45782</v>
      </c>
      <c r="S3" s="309">
        <v>45784</v>
      </c>
      <c r="T3" s="309">
        <v>45785</v>
      </c>
      <c r="U3" s="309">
        <v>45796</v>
      </c>
      <c r="V3" s="309">
        <v>45799</v>
      </c>
    </row>
    <row r="4" spans="1:22">
      <c r="A4" s="294" t="s">
        <v>10</v>
      </c>
      <c r="B4" s="29" t="s">
        <v>590</v>
      </c>
      <c r="C4">
        <v>1</v>
      </c>
      <c r="D4">
        <v>2</v>
      </c>
      <c r="E4">
        <v>1</v>
      </c>
      <c r="F4">
        <v>1</v>
      </c>
      <c r="G4">
        <v>2</v>
      </c>
      <c r="H4">
        <v>1</v>
      </c>
      <c r="I4">
        <v>2</v>
      </c>
      <c r="J4">
        <v>2</v>
      </c>
      <c r="K4">
        <v>2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R4">
        <v>2</v>
      </c>
      <c r="S4">
        <v>2</v>
      </c>
      <c r="T4">
        <v>1</v>
      </c>
      <c r="U4">
        <v>2</v>
      </c>
      <c r="V4">
        <v>2</v>
      </c>
    </row>
    <row r="5" spans="1:22">
      <c r="A5" s="305" t="s">
        <v>12</v>
      </c>
      <c r="B5" s="29" t="s">
        <v>591</v>
      </c>
      <c r="C5">
        <v>1</v>
      </c>
      <c r="M5">
        <v>1</v>
      </c>
    </row>
    <row r="6" spans="1:22">
      <c r="A6" t="s">
        <v>592</v>
      </c>
      <c r="B6" s="29" t="s">
        <v>593</v>
      </c>
    </row>
    <row r="7" spans="1:22">
      <c r="A7" t="s">
        <v>594</v>
      </c>
      <c r="B7" s="29" t="s">
        <v>595</v>
      </c>
    </row>
    <row r="8" spans="1:22">
      <c r="A8" t="s">
        <v>596</v>
      </c>
      <c r="B8" s="29" t="s">
        <v>597</v>
      </c>
    </row>
    <row r="9" spans="1:22">
      <c r="A9" t="s">
        <v>598</v>
      </c>
      <c r="B9" s="29" t="s">
        <v>599</v>
      </c>
    </row>
    <row r="10" spans="1:22">
      <c r="A10" t="s">
        <v>600</v>
      </c>
      <c r="B10" s="29" t="s">
        <v>601</v>
      </c>
    </row>
    <row r="11" spans="1:22">
      <c r="A11" t="s">
        <v>602</v>
      </c>
      <c r="B11" s="29" t="s">
        <v>603</v>
      </c>
    </row>
    <row r="12" spans="1:22">
      <c r="A12" t="s">
        <v>604</v>
      </c>
      <c r="B12" s="29" t="s">
        <v>605</v>
      </c>
    </row>
    <row r="13" spans="1:22">
      <c r="A13" t="s">
        <v>606</v>
      </c>
      <c r="B13" s="29" t="s">
        <v>607</v>
      </c>
    </row>
    <row r="14" spans="1:22">
      <c r="A14" t="s">
        <v>608</v>
      </c>
      <c r="B14" s="29" t="s">
        <v>609</v>
      </c>
    </row>
    <row r="15" spans="1:22">
      <c r="A15" t="s">
        <v>610</v>
      </c>
      <c r="B15" s="29" t="s">
        <v>611</v>
      </c>
    </row>
    <row r="16" spans="1:22">
      <c r="A16" t="s">
        <v>612</v>
      </c>
      <c r="B16" s="29" t="s">
        <v>613</v>
      </c>
    </row>
    <row r="17" spans="3:14" ht="86.4">
      <c r="C17" s="308" t="s">
        <v>614</v>
      </c>
      <c r="L17" s="308" t="s">
        <v>614</v>
      </c>
      <c r="M17" s="308" t="s">
        <v>615</v>
      </c>
      <c r="N17" s="308" t="s">
        <v>616</v>
      </c>
    </row>
  </sheetData>
  <mergeCells count="2">
    <mergeCell ref="A1:F1"/>
    <mergeCell ref="C2:L2"/>
  </mergeCells>
  <dataValidations count="1">
    <dataValidation type="list" allowBlank="1" showInputMessage="1" showErrorMessage="1" sqref="A4:A5" xr:uid="{F3CABB8C-BA77-4FC5-BCAE-57FB80F605BE}">
      <formula1>SUPPLY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51"/>
  <sheetViews>
    <sheetView view="pageBreakPreview" zoomScale="70" zoomScaleNormal="100" zoomScaleSheetLayoutView="70" workbookViewId="0">
      <selection activeCell="E24" sqref="E24"/>
    </sheetView>
  </sheetViews>
  <sheetFormatPr defaultColWidth="12.88671875" defaultRowHeight="14.4"/>
  <cols>
    <col min="1" max="1" width="8" style="1" customWidth="1"/>
    <col min="2" max="2" width="48.44140625" style="1" customWidth="1"/>
    <col min="3" max="3" width="12.88671875" style="1" hidden="1" customWidth="1"/>
    <col min="4" max="4" width="10.109375" style="1" customWidth="1"/>
    <col min="5" max="5" width="12.88671875" style="1"/>
    <col min="6" max="6" width="16" style="1" customWidth="1"/>
    <col min="7" max="7" width="15.109375" style="2" customWidth="1"/>
    <col min="8" max="8" width="15.88671875" style="1" customWidth="1"/>
    <col min="9" max="10" width="0" style="1" hidden="1" customWidth="1"/>
    <col min="11" max="11" width="13" style="1" customWidth="1"/>
    <col min="12" max="12" width="0" style="1" hidden="1" customWidth="1"/>
    <col min="22" max="252" width="12.88671875" style="1"/>
  </cols>
  <sheetData>
    <row r="1" spans="1:256" ht="15.6">
      <c r="A1" s="485" t="s">
        <v>617</v>
      </c>
      <c r="B1" s="485"/>
      <c r="C1" s="485"/>
      <c r="D1" s="485"/>
      <c r="E1" s="485"/>
      <c r="F1" s="485"/>
      <c r="G1" s="485"/>
      <c r="H1" s="485"/>
      <c r="V1"/>
    </row>
    <row r="2" spans="1:256" ht="17.399999999999999">
      <c r="A2" s="486" t="s">
        <v>618</v>
      </c>
      <c r="B2" s="486"/>
      <c r="C2" s="486"/>
      <c r="D2" s="486"/>
      <c r="E2" s="486"/>
      <c r="F2" s="486"/>
      <c r="G2" s="486"/>
      <c r="H2" s="486"/>
      <c r="L2"/>
      <c r="V2"/>
    </row>
    <row r="3" spans="1:256" ht="15.6">
      <c r="A3" s="487" t="s">
        <v>619</v>
      </c>
      <c r="B3" s="487"/>
      <c r="C3" s="487"/>
      <c r="D3" s="487"/>
      <c r="E3" s="487"/>
      <c r="F3" s="487"/>
      <c r="G3" s="487"/>
      <c r="H3" s="487"/>
      <c r="L3"/>
      <c r="V3"/>
    </row>
    <row r="4" spans="1:256">
      <c r="V4"/>
    </row>
    <row r="5" spans="1:256">
      <c r="A5" s="3" t="s">
        <v>620</v>
      </c>
      <c r="B5" s="3" t="s">
        <v>337</v>
      </c>
      <c r="C5" s="4" t="s">
        <v>572</v>
      </c>
      <c r="D5" s="3" t="s">
        <v>621</v>
      </c>
      <c r="E5" s="3" t="s">
        <v>622</v>
      </c>
      <c r="F5" s="3" t="s">
        <v>623</v>
      </c>
      <c r="G5" s="3" t="s">
        <v>624</v>
      </c>
      <c r="H5" s="3" t="s">
        <v>625</v>
      </c>
      <c r="I5" s="3" t="s">
        <v>626</v>
      </c>
      <c r="J5" s="3" t="s">
        <v>627</v>
      </c>
      <c r="K5" s="2"/>
      <c r="V5"/>
    </row>
    <row r="6" spans="1:256">
      <c r="A6" s="3" t="s">
        <v>628</v>
      </c>
      <c r="B6" s="4"/>
      <c r="C6" s="4"/>
      <c r="D6" s="3" t="s">
        <v>629</v>
      </c>
      <c r="E6" s="3" t="s">
        <v>630</v>
      </c>
      <c r="F6" s="3" t="s">
        <v>631</v>
      </c>
      <c r="G6" s="3" t="s">
        <v>631</v>
      </c>
      <c r="H6" s="3" t="s">
        <v>632</v>
      </c>
      <c r="I6" s="3" t="s">
        <v>633</v>
      </c>
      <c r="J6" s="5">
        <v>0.1</v>
      </c>
      <c r="K6" s="6"/>
      <c r="V6"/>
    </row>
    <row r="7" spans="1:256">
      <c r="A7" s="3"/>
      <c r="B7" s="4"/>
      <c r="C7" s="4"/>
      <c r="D7" s="3"/>
      <c r="E7" s="3"/>
      <c r="F7" s="3"/>
      <c r="G7" s="3"/>
      <c r="H7" s="3"/>
      <c r="I7" s="3"/>
      <c r="J7" s="5"/>
      <c r="K7" s="6"/>
      <c r="V7"/>
    </row>
    <row r="8" spans="1:256" s="10" customFormat="1" ht="17.399999999999999" customHeight="1">
      <c r="A8" s="482" t="s">
        <v>343</v>
      </c>
      <c r="B8" s="482"/>
      <c r="C8" s="8"/>
      <c r="D8" s="8"/>
      <c r="E8" s="77"/>
      <c r="F8" s="8"/>
      <c r="G8" s="8"/>
      <c r="H8" s="7"/>
      <c r="I8" s="8"/>
      <c r="J8" s="8"/>
      <c r="K8" s="9"/>
      <c r="M8"/>
      <c r="N8"/>
      <c r="O8"/>
      <c r="P8"/>
      <c r="Q8"/>
      <c r="R8"/>
      <c r="S8"/>
      <c r="T8"/>
      <c r="U8"/>
      <c r="V8"/>
      <c r="IS8" s="11"/>
      <c r="IT8" s="11"/>
      <c r="IU8" s="11"/>
      <c r="IV8" s="11"/>
    </row>
    <row r="9" spans="1:256" s="10" customFormat="1" ht="17.399999999999999" customHeight="1">
      <c r="A9" s="57">
        <v>27</v>
      </c>
      <c r="B9" s="12" t="s">
        <v>345</v>
      </c>
      <c r="C9" s="8" t="s">
        <v>634</v>
      </c>
      <c r="D9" s="8" t="s">
        <v>95</v>
      </c>
      <c r="E9" s="77">
        <v>0</v>
      </c>
      <c r="F9" s="8">
        <v>0</v>
      </c>
      <c r="G9" s="8">
        <v>0</v>
      </c>
      <c r="H9" s="7">
        <v>0</v>
      </c>
      <c r="I9" s="13">
        <f>H9*0.9</f>
        <v>0</v>
      </c>
      <c r="J9" s="13">
        <f>H9*0.1</f>
        <v>0</v>
      </c>
      <c r="K9" s="14"/>
      <c r="L9" s="8">
        <v>0</v>
      </c>
      <c r="M9"/>
      <c r="N9"/>
      <c r="O9"/>
      <c r="P9"/>
      <c r="Q9"/>
      <c r="R9"/>
      <c r="S9"/>
      <c r="T9"/>
      <c r="U9"/>
      <c r="V9"/>
      <c r="IS9" s="11"/>
      <c r="IT9" s="11"/>
      <c r="IU9" s="11"/>
      <c r="IV9" s="11"/>
    </row>
    <row r="10" spans="1:256" s="10" customFormat="1" ht="17.399999999999999" customHeight="1">
      <c r="A10" s="57">
        <v>2067</v>
      </c>
      <c r="B10" s="12" t="s">
        <v>325</v>
      </c>
      <c r="C10" s="8" t="s">
        <v>634</v>
      </c>
      <c r="D10" s="8" t="s">
        <v>95</v>
      </c>
      <c r="E10" s="77">
        <v>5</v>
      </c>
      <c r="F10" s="8">
        <v>0</v>
      </c>
      <c r="G10" s="8">
        <v>0</v>
      </c>
      <c r="H10" s="7">
        <v>5</v>
      </c>
      <c r="I10" s="13">
        <f>H10*0.9</f>
        <v>4.5</v>
      </c>
      <c r="J10" s="13">
        <f>H10*0.1</f>
        <v>0.5</v>
      </c>
      <c r="K10" s="14"/>
      <c r="L10" s="8">
        <v>0</v>
      </c>
      <c r="M10"/>
      <c r="N10"/>
      <c r="O10"/>
      <c r="P10"/>
      <c r="Q10"/>
      <c r="R10"/>
      <c r="S10"/>
      <c r="T10"/>
      <c r="U10"/>
      <c r="V10"/>
      <c r="IS10" s="11"/>
      <c r="IT10" s="11"/>
      <c r="IU10" s="11"/>
      <c r="IV10" s="11"/>
    </row>
    <row r="11" spans="1:256" s="10" customFormat="1" ht="17.399999999999999" customHeight="1">
      <c r="A11" s="57">
        <v>2376</v>
      </c>
      <c r="B11" s="12" t="s">
        <v>326</v>
      </c>
      <c r="C11" s="8"/>
      <c r="D11" s="8" t="s">
        <v>95</v>
      </c>
      <c r="E11" s="77">
        <v>0</v>
      </c>
      <c r="F11" s="8">
        <v>0</v>
      </c>
      <c r="G11" s="8">
        <v>0</v>
      </c>
      <c r="H11" s="7">
        <v>0</v>
      </c>
      <c r="I11" s="13"/>
      <c r="J11" s="13"/>
      <c r="K11" s="14"/>
      <c r="L11" s="8">
        <v>0</v>
      </c>
      <c r="M11"/>
      <c r="N11"/>
      <c r="O11"/>
      <c r="P11"/>
      <c r="Q11"/>
      <c r="R11"/>
      <c r="S11"/>
      <c r="T11"/>
      <c r="U11"/>
      <c r="V11"/>
      <c r="IS11" s="11"/>
      <c r="IT11" s="11"/>
      <c r="IU11" s="11"/>
      <c r="IV11" s="11"/>
    </row>
    <row r="12" spans="1:256" s="10" customFormat="1" ht="17.399999999999999" customHeight="1">
      <c r="A12" s="57">
        <v>26</v>
      </c>
      <c r="B12" s="12" t="s">
        <v>346</v>
      </c>
      <c r="C12" s="8"/>
      <c r="D12" s="8" t="s">
        <v>98</v>
      </c>
      <c r="E12" s="77">
        <v>0</v>
      </c>
      <c r="F12" s="8"/>
      <c r="G12" s="8"/>
      <c r="H12" s="7">
        <v>0</v>
      </c>
      <c r="I12" s="13"/>
      <c r="J12" s="13"/>
      <c r="K12" s="14"/>
      <c r="L12" s="8">
        <v>6</v>
      </c>
      <c r="M12"/>
      <c r="N12"/>
      <c r="O12"/>
      <c r="P12"/>
      <c r="Q12"/>
      <c r="R12"/>
      <c r="S12"/>
      <c r="T12"/>
      <c r="U12"/>
      <c r="V12"/>
      <c r="IS12" s="11"/>
      <c r="IT12" s="11"/>
      <c r="IU12" s="11"/>
      <c r="IV12" s="11"/>
    </row>
    <row r="13" spans="1:256" s="10" customFormat="1" ht="17.399999999999999" customHeight="1">
      <c r="A13" s="57">
        <v>37</v>
      </c>
      <c r="B13" s="12" t="s">
        <v>328</v>
      </c>
      <c r="C13" s="8" t="s">
        <v>634</v>
      </c>
      <c r="D13" s="8" t="s">
        <v>98</v>
      </c>
      <c r="E13" s="77">
        <v>7</v>
      </c>
      <c r="F13" s="8"/>
      <c r="G13" s="8"/>
      <c r="H13" s="7">
        <v>7</v>
      </c>
      <c r="I13" s="13">
        <f>H13*0.9</f>
        <v>6.3</v>
      </c>
      <c r="J13" s="13">
        <f t="shared" ref="J13:J19" si="0">H13*0.1</f>
        <v>0.70000000000000007</v>
      </c>
      <c r="K13" s="14"/>
      <c r="L13" s="8">
        <v>7</v>
      </c>
      <c r="M13"/>
      <c r="N13"/>
      <c r="O13"/>
      <c r="P13"/>
      <c r="Q13"/>
      <c r="R13"/>
      <c r="S13"/>
      <c r="T13"/>
      <c r="U13"/>
      <c r="V13"/>
      <c r="IS13" s="11"/>
      <c r="IT13" s="11"/>
      <c r="IU13" s="11"/>
      <c r="IV13" s="11"/>
    </row>
    <row r="14" spans="1:256" s="10" customFormat="1" ht="17.399999999999999" customHeight="1">
      <c r="A14" s="57">
        <v>40</v>
      </c>
      <c r="B14" s="12" t="s">
        <v>347</v>
      </c>
      <c r="C14" s="8" t="s">
        <v>634</v>
      </c>
      <c r="D14" s="8" t="s">
        <v>98</v>
      </c>
      <c r="E14" s="77">
        <v>0</v>
      </c>
      <c r="F14" s="8"/>
      <c r="G14" s="8"/>
      <c r="H14" s="7">
        <v>0</v>
      </c>
      <c r="I14" s="13">
        <f>H14*0.9</f>
        <v>0</v>
      </c>
      <c r="J14" s="13">
        <f t="shared" si="0"/>
        <v>0</v>
      </c>
      <c r="K14" s="14"/>
      <c r="L14" s="8">
        <v>2</v>
      </c>
      <c r="M14"/>
      <c r="N14"/>
      <c r="O14"/>
      <c r="P14"/>
      <c r="Q14"/>
      <c r="R14"/>
      <c r="S14"/>
      <c r="T14"/>
      <c r="U14"/>
      <c r="V14"/>
      <c r="IS14" s="11"/>
      <c r="IT14" s="11"/>
      <c r="IU14" s="11"/>
      <c r="IV14" s="11"/>
    </row>
    <row r="15" spans="1:256" s="10" customFormat="1" ht="17.399999999999999" customHeight="1">
      <c r="A15" s="57">
        <v>46</v>
      </c>
      <c r="B15" s="12" t="s">
        <v>348</v>
      </c>
      <c r="C15" s="8" t="s">
        <v>634</v>
      </c>
      <c r="D15" s="8" t="s">
        <v>110</v>
      </c>
      <c r="E15" s="77">
        <v>50</v>
      </c>
      <c r="F15" s="8"/>
      <c r="G15" s="8">
        <v>50</v>
      </c>
      <c r="H15" s="7">
        <v>0</v>
      </c>
      <c r="I15" s="13">
        <f>H15*0.9</f>
        <v>0</v>
      </c>
      <c r="J15" s="13">
        <f t="shared" si="0"/>
        <v>0</v>
      </c>
      <c r="K15" s="14"/>
      <c r="L15" s="8">
        <v>18</v>
      </c>
      <c r="M15"/>
      <c r="N15"/>
      <c r="O15"/>
      <c r="P15"/>
      <c r="Q15"/>
      <c r="R15"/>
      <c r="S15"/>
      <c r="T15"/>
      <c r="U15"/>
      <c r="V15"/>
      <c r="IS15" s="11"/>
      <c r="IT15" s="11"/>
      <c r="IU15" s="11"/>
    </row>
    <row r="16" spans="1:256" s="10" customFormat="1" ht="17.399999999999999" customHeight="1">
      <c r="A16" s="57">
        <v>49</v>
      </c>
      <c r="B16" s="12" t="s">
        <v>349</v>
      </c>
      <c r="C16" s="8" t="s">
        <v>634</v>
      </c>
      <c r="D16" s="8" t="s">
        <v>234</v>
      </c>
      <c r="E16" s="77">
        <v>0</v>
      </c>
      <c r="F16" s="8"/>
      <c r="G16" s="8"/>
      <c r="H16" s="7">
        <v>0</v>
      </c>
      <c r="I16" s="13">
        <f>H16*0.9</f>
        <v>0</v>
      </c>
      <c r="J16" s="13">
        <f t="shared" si="0"/>
        <v>0</v>
      </c>
      <c r="K16" s="14"/>
      <c r="L16" s="8">
        <v>0</v>
      </c>
      <c r="M16"/>
      <c r="N16"/>
      <c r="O16"/>
      <c r="P16"/>
      <c r="Q16"/>
      <c r="R16"/>
      <c r="S16"/>
      <c r="T16"/>
      <c r="U16"/>
      <c r="V16"/>
      <c r="IS16" s="11"/>
      <c r="IT16" s="11"/>
      <c r="IU16" s="11"/>
      <c r="IV16" s="11"/>
    </row>
    <row r="17" spans="1:256" s="10" customFormat="1" ht="17.399999999999999" customHeight="1">
      <c r="A17" s="57">
        <v>330</v>
      </c>
      <c r="B17" s="12" t="s">
        <v>327</v>
      </c>
      <c r="C17" s="8" t="s">
        <v>634</v>
      </c>
      <c r="D17" s="8" t="s">
        <v>110</v>
      </c>
      <c r="E17" s="77">
        <v>250</v>
      </c>
      <c r="F17" s="8"/>
      <c r="G17" s="8"/>
      <c r="H17" s="7">
        <v>250</v>
      </c>
      <c r="I17" s="13">
        <f>H17*0.9</f>
        <v>225</v>
      </c>
      <c r="J17" s="13">
        <f t="shared" si="0"/>
        <v>25</v>
      </c>
      <c r="K17" s="14"/>
      <c r="L17" s="8">
        <v>3</v>
      </c>
      <c r="M17"/>
      <c r="N17"/>
      <c r="O17"/>
      <c r="P17"/>
      <c r="Q17"/>
      <c r="R17"/>
      <c r="S17"/>
      <c r="T17"/>
      <c r="U17"/>
      <c r="V17"/>
      <c r="IS17" s="11"/>
      <c r="IT17" s="11"/>
      <c r="IU17" s="11"/>
      <c r="IV17" s="11"/>
    </row>
    <row r="18" spans="1:256" s="10" customFormat="1" ht="17.399999999999999" customHeight="1">
      <c r="A18" s="482" t="s">
        <v>350</v>
      </c>
      <c r="B18" s="482"/>
      <c r="C18" s="8"/>
      <c r="D18" s="8"/>
      <c r="E18" s="77"/>
      <c r="F18" s="8"/>
      <c r="G18" s="8"/>
      <c r="H18" s="7">
        <v>0</v>
      </c>
      <c r="I18" s="13">
        <f t="shared" ref="I18:I53" si="1">H18*0.9</f>
        <v>0</v>
      </c>
      <c r="J18" s="13">
        <f t="shared" si="0"/>
        <v>0</v>
      </c>
      <c r="K18" s="14"/>
      <c r="L18" s="8"/>
      <c r="M18"/>
      <c r="N18"/>
      <c r="O18"/>
      <c r="P18"/>
      <c r="Q18"/>
      <c r="R18"/>
      <c r="S18"/>
      <c r="T18"/>
      <c r="U18"/>
      <c r="V18"/>
      <c r="IS18" s="11"/>
      <c r="IT18" s="11"/>
      <c r="IU18" s="11"/>
      <c r="IV18" s="11"/>
    </row>
    <row r="19" spans="1:256" s="10" customFormat="1" ht="17.399999999999999" customHeight="1">
      <c r="A19" s="57">
        <v>181</v>
      </c>
      <c r="B19" s="12" t="s">
        <v>353</v>
      </c>
      <c r="C19" s="8" t="s">
        <v>554</v>
      </c>
      <c r="D19" s="8" t="s">
        <v>234</v>
      </c>
      <c r="E19" s="77">
        <v>7</v>
      </c>
      <c r="F19" s="8">
        <v>0</v>
      </c>
      <c r="G19" s="8">
        <v>0</v>
      </c>
      <c r="H19" s="7">
        <v>7</v>
      </c>
      <c r="I19" s="13">
        <f t="shared" si="1"/>
        <v>6.3</v>
      </c>
      <c r="J19" s="13">
        <f t="shared" si="0"/>
        <v>0.70000000000000007</v>
      </c>
      <c r="K19" s="14"/>
      <c r="L19" s="8">
        <v>1</v>
      </c>
      <c r="M19"/>
      <c r="N19"/>
      <c r="O19"/>
      <c r="P19"/>
      <c r="Q19"/>
      <c r="R19"/>
      <c r="S19"/>
      <c r="T19"/>
      <c r="U19"/>
      <c r="V19"/>
      <c r="IS19" s="11"/>
      <c r="IT19" s="11"/>
      <c r="IU19" s="11"/>
      <c r="IV19" s="11"/>
    </row>
    <row r="20" spans="1:256" s="10" customFormat="1" ht="17.399999999999999" customHeight="1">
      <c r="A20" s="57">
        <v>2386</v>
      </c>
      <c r="B20" s="12" t="s">
        <v>354</v>
      </c>
      <c r="C20" s="8" t="s">
        <v>556</v>
      </c>
      <c r="D20" s="8" t="s">
        <v>355</v>
      </c>
      <c r="E20" s="77">
        <v>11</v>
      </c>
      <c r="F20" s="8">
        <v>0</v>
      </c>
      <c r="G20" s="8">
        <v>0</v>
      </c>
      <c r="H20" s="7">
        <v>11</v>
      </c>
      <c r="I20" s="13">
        <f t="shared" si="1"/>
        <v>9.9</v>
      </c>
      <c r="J20" s="15"/>
      <c r="K20" s="16"/>
      <c r="L20" s="8">
        <v>3</v>
      </c>
      <c r="M20"/>
      <c r="N20"/>
      <c r="O20"/>
      <c r="P20"/>
      <c r="Q20"/>
      <c r="R20"/>
      <c r="S20"/>
      <c r="T20"/>
      <c r="U20"/>
      <c r="V20"/>
      <c r="IS20" s="11"/>
      <c r="IT20" s="11"/>
      <c r="IU20" s="11"/>
      <c r="IV20" s="11"/>
    </row>
    <row r="21" spans="1:256" s="10" customFormat="1" ht="17.399999999999999" customHeight="1">
      <c r="A21" s="57">
        <v>2399</v>
      </c>
      <c r="B21" s="12" t="s">
        <v>356</v>
      </c>
      <c r="C21" s="8" t="s">
        <v>556</v>
      </c>
      <c r="D21" s="8" t="s">
        <v>355</v>
      </c>
      <c r="E21" s="77">
        <v>41</v>
      </c>
      <c r="F21" s="8">
        <v>0</v>
      </c>
      <c r="G21" s="8">
        <v>0</v>
      </c>
      <c r="H21" s="7">
        <v>41</v>
      </c>
      <c r="I21" s="13">
        <f t="shared" si="1"/>
        <v>36.9</v>
      </c>
      <c r="J21" s="15"/>
      <c r="K21" s="16"/>
      <c r="L21" s="8">
        <v>40</v>
      </c>
      <c r="M21"/>
      <c r="N21"/>
      <c r="O21"/>
      <c r="P21"/>
      <c r="Q21"/>
      <c r="R21"/>
      <c r="S21"/>
      <c r="T21"/>
      <c r="U21"/>
      <c r="V21"/>
      <c r="IS21" s="11"/>
      <c r="IT21" s="11"/>
      <c r="IU21" s="11"/>
      <c r="IV21" s="11"/>
    </row>
    <row r="22" spans="1:256" s="10" customFormat="1" ht="17.399999999999999" customHeight="1">
      <c r="A22" s="58">
        <v>198</v>
      </c>
      <c r="B22" s="17" t="s">
        <v>357</v>
      </c>
      <c r="C22" s="8" t="s">
        <v>556</v>
      </c>
      <c r="D22" s="8" t="s">
        <v>234</v>
      </c>
      <c r="E22" s="77">
        <v>0</v>
      </c>
      <c r="F22" s="8"/>
      <c r="G22" s="8"/>
      <c r="H22" s="7">
        <v>0</v>
      </c>
      <c r="I22" s="13">
        <f t="shared" si="1"/>
        <v>0</v>
      </c>
      <c r="J22" s="15"/>
      <c r="K22" s="16"/>
      <c r="L22" s="8">
        <v>2446</v>
      </c>
      <c r="M22"/>
      <c r="N22"/>
      <c r="O22"/>
      <c r="P22"/>
      <c r="Q22"/>
      <c r="R22"/>
      <c r="S22"/>
      <c r="T22"/>
      <c r="U22"/>
      <c r="V22"/>
      <c r="IS22" s="11"/>
      <c r="IT22" s="11"/>
      <c r="IU22" s="11"/>
      <c r="IV22" s="11"/>
    </row>
    <row r="23" spans="1:256" s="10" customFormat="1" ht="17.399999999999999" customHeight="1">
      <c r="A23" s="58">
        <v>202</v>
      </c>
      <c r="B23" s="17" t="s">
        <v>358</v>
      </c>
      <c r="C23" s="8" t="s">
        <v>556</v>
      </c>
      <c r="D23" s="8" t="s">
        <v>95</v>
      </c>
      <c r="E23" s="77">
        <v>0</v>
      </c>
      <c r="F23" s="8"/>
      <c r="G23" s="8"/>
      <c r="H23" s="7">
        <v>0</v>
      </c>
      <c r="I23" s="13">
        <f t="shared" si="1"/>
        <v>0</v>
      </c>
      <c r="J23" s="15"/>
      <c r="K23" s="16"/>
      <c r="L23" s="8">
        <v>0</v>
      </c>
      <c r="M23"/>
      <c r="N23"/>
      <c r="O23"/>
      <c r="P23"/>
      <c r="Q23"/>
      <c r="R23"/>
      <c r="S23"/>
      <c r="T23"/>
      <c r="U23"/>
      <c r="V23"/>
      <c r="IS23" s="11"/>
      <c r="IT23" s="11"/>
      <c r="IU23" s="11"/>
      <c r="IV23" s="11"/>
    </row>
    <row r="24" spans="1:256" s="10" customFormat="1" ht="17.399999999999999" customHeight="1">
      <c r="A24" s="58">
        <v>204</v>
      </c>
      <c r="B24" s="17" t="s">
        <v>359</v>
      </c>
      <c r="C24" s="8" t="s">
        <v>556</v>
      </c>
      <c r="D24" s="8" t="s">
        <v>95</v>
      </c>
      <c r="E24" s="77">
        <v>250</v>
      </c>
      <c r="F24" s="8">
        <v>0</v>
      </c>
      <c r="G24" s="8">
        <v>0</v>
      </c>
      <c r="H24" s="7">
        <v>250</v>
      </c>
      <c r="I24" s="13">
        <f t="shared" si="1"/>
        <v>225</v>
      </c>
      <c r="J24" s="15"/>
      <c r="K24" s="16"/>
      <c r="L24" s="8">
        <v>2</v>
      </c>
      <c r="M24"/>
      <c r="N24"/>
      <c r="O24"/>
      <c r="P24"/>
      <c r="Q24"/>
      <c r="R24"/>
      <c r="S24"/>
      <c r="T24"/>
      <c r="U24"/>
      <c r="V24"/>
      <c r="IS24" s="11"/>
      <c r="IT24" s="11"/>
      <c r="IU24" s="11"/>
      <c r="IV24" s="11"/>
    </row>
    <row r="25" spans="1:256" s="10" customFormat="1" ht="17.399999999999999" hidden="1" customHeight="1">
      <c r="A25" s="57">
        <v>210</v>
      </c>
      <c r="B25" s="12" t="s">
        <v>360</v>
      </c>
      <c r="C25" s="8" t="s">
        <v>556</v>
      </c>
      <c r="D25" s="8" t="s">
        <v>355</v>
      </c>
      <c r="E25" s="77"/>
      <c r="F25" s="8"/>
      <c r="G25" s="8"/>
      <c r="H25" s="7">
        <v>0</v>
      </c>
      <c r="I25" s="13">
        <f t="shared" si="1"/>
        <v>0</v>
      </c>
      <c r="J25" s="15"/>
      <c r="K25" s="16"/>
      <c r="L25" s="8">
        <v>0</v>
      </c>
      <c r="M25"/>
      <c r="N25"/>
      <c r="O25"/>
      <c r="P25"/>
      <c r="Q25"/>
      <c r="R25"/>
      <c r="S25"/>
      <c r="T25"/>
      <c r="U25"/>
      <c r="V25"/>
      <c r="IS25" s="11"/>
      <c r="IT25" s="11"/>
      <c r="IU25" s="11"/>
      <c r="IV25" s="11"/>
    </row>
    <row r="26" spans="1:256" s="10" customFormat="1" ht="17.399999999999999" customHeight="1">
      <c r="A26" s="58">
        <v>2286</v>
      </c>
      <c r="B26" s="17" t="s">
        <v>361</v>
      </c>
      <c r="C26" s="8" t="s">
        <v>556</v>
      </c>
      <c r="D26" s="8" t="s">
        <v>95</v>
      </c>
      <c r="E26" s="77">
        <v>0</v>
      </c>
      <c r="F26" s="8"/>
      <c r="G26" s="8"/>
      <c r="H26" s="7">
        <v>0</v>
      </c>
      <c r="I26" s="13">
        <f t="shared" si="1"/>
        <v>0</v>
      </c>
      <c r="J26" s="15"/>
      <c r="K26" s="16"/>
      <c r="L26" s="8">
        <v>2</v>
      </c>
      <c r="M26"/>
      <c r="N26"/>
      <c r="O26"/>
      <c r="P26"/>
      <c r="Q26"/>
      <c r="R26"/>
      <c r="S26"/>
      <c r="T26"/>
      <c r="U26"/>
      <c r="V26"/>
      <c r="IS26" s="11"/>
      <c r="IT26" s="11"/>
      <c r="IU26" s="11"/>
      <c r="IV26" s="11"/>
    </row>
    <row r="27" spans="1:256" s="10" customFormat="1" ht="17.399999999999999" customHeight="1">
      <c r="A27" s="58">
        <v>2287</v>
      </c>
      <c r="B27" s="17" t="s">
        <v>362</v>
      </c>
      <c r="C27" s="8" t="s">
        <v>556</v>
      </c>
      <c r="D27" s="8" t="s">
        <v>95</v>
      </c>
      <c r="E27" s="77">
        <v>330</v>
      </c>
      <c r="F27" s="8">
        <v>0</v>
      </c>
      <c r="G27" s="8">
        <v>0</v>
      </c>
      <c r="H27" s="7">
        <v>330</v>
      </c>
      <c r="I27" s="13">
        <f t="shared" si="1"/>
        <v>297</v>
      </c>
      <c r="J27" s="15"/>
      <c r="K27" s="16"/>
      <c r="L27" s="8">
        <v>3</v>
      </c>
      <c r="M27"/>
      <c r="N27"/>
      <c r="O27"/>
      <c r="P27"/>
      <c r="Q27"/>
      <c r="R27"/>
      <c r="S27"/>
      <c r="T27"/>
      <c r="U27"/>
      <c r="V27"/>
      <c r="IS27" s="11"/>
      <c r="IT27" s="11"/>
      <c r="IU27" s="11"/>
      <c r="IV27" s="11"/>
    </row>
    <row r="28" spans="1:256" s="10" customFormat="1" ht="17.399999999999999" customHeight="1">
      <c r="A28" s="58">
        <v>214</v>
      </c>
      <c r="B28" s="17" t="s">
        <v>363</v>
      </c>
      <c r="C28" s="18"/>
      <c r="D28" s="8" t="s">
        <v>95</v>
      </c>
      <c r="E28" s="77">
        <v>0</v>
      </c>
      <c r="F28" s="8"/>
      <c r="G28" s="8"/>
      <c r="H28" s="7">
        <v>0</v>
      </c>
      <c r="I28" s="13">
        <f t="shared" si="1"/>
        <v>0</v>
      </c>
      <c r="J28" s="15"/>
      <c r="K28" s="16"/>
      <c r="L28" s="8">
        <v>3</v>
      </c>
      <c r="M28"/>
      <c r="N28"/>
      <c r="O28"/>
      <c r="P28"/>
      <c r="Q28"/>
      <c r="R28"/>
      <c r="S28"/>
      <c r="T28"/>
      <c r="U28"/>
      <c r="V28"/>
      <c r="IS28" s="11"/>
      <c r="IT28" s="11"/>
      <c r="IU28" s="11"/>
      <c r="IV28" s="11"/>
    </row>
    <row r="29" spans="1:256" s="10" customFormat="1" ht="17.399999999999999" customHeight="1">
      <c r="A29" s="58">
        <v>215</v>
      </c>
      <c r="B29" s="17" t="s">
        <v>364</v>
      </c>
      <c r="C29" s="18" t="s">
        <v>556</v>
      </c>
      <c r="D29" s="8" t="s">
        <v>95</v>
      </c>
      <c r="E29" s="77">
        <v>0</v>
      </c>
      <c r="F29" s="8"/>
      <c r="G29" s="8"/>
      <c r="H29" s="7">
        <v>0</v>
      </c>
      <c r="I29" s="13">
        <f t="shared" si="1"/>
        <v>0</v>
      </c>
      <c r="J29" s="15"/>
      <c r="K29" s="16"/>
      <c r="L29" s="8">
        <v>3</v>
      </c>
      <c r="M29"/>
      <c r="N29"/>
      <c r="O29"/>
      <c r="P29"/>
      <c r="Q29"/>
      <c r="R29"/>
      <c r="S29"/>
      <c r="T29"/>
      <c r="U29"/>
      <c r="V29"/>
      <c r="IS29" s="11"/>
      <c r="IT29" s="11"/>
      <c r="IU29" s="11"/>
      <c r="IV29" s="11"/>
    </row>
    <row r="30" spans="1:256" s="10" customFormat="1" ht="17.399999999999999" customHeight="1">
      <c r="A30" s="59">
        <v>217</v>
      </c>
      <c r="B30" s="19" t="s">
        <v>365</v>
      </c>
      <c r="C30" s="8" t="s">
        <v>556</v>
      </c>
      <c r="D30" s="8" t="s">
        <v>95</v>
      </c>
      <c r="E30" s="77">
        <v>0</v>
      </c>
      <c r="F30" s="8"/>
      <c r="G30" s="8"/>
      <c r="H30" s="7">
        <v>0</v>
      </c>
      <c r="I30" s="13">
        <f t="shared" si="1"/>
        <v>0</v>
      </c>
      <c r="J30" s="15"/>
      <c r="K30" s="16"/>
      <c r="L30" s="8">
        <v>8</v>
      </c>
      <c r="M30"/>
      <c r="N30"/>
      <c r="O30"/>
      <c r="P30"/>
      <c r="Q30"/>
      <c r="R30"/>
      <c r="S30"/>
      <c r="T30"/>
      <c r="U30"/>
      <c r="V30"/>
      <c r="IS30" s="11"/>
      <c r="IT30" s="11"/>
      <c r="IU30" s="11"/>
      <c r="IV30" s="11"/>
    </row>
    <row r="31" spans="1:256" s="10" customFormat="1" ht="17.399999999999999" hidden="1" customHeight="1">
      <c r="A31" s="57">
        <v>218</v>
      </c>
      <c r="B31" s="12" t="s">
        <v>366</v>
      </c>
      <c r="C31" s="8" t="s">
        <v>556</v>
      </c>
      <c r="D31" s="8" t="s">
        <v>355</v>
      </c>
      <c r="E31" s="77"/>
      <c r="F31" s="8"/>
      <c r="G31" s="8"/>
      <c r="H31" s="7">
        <v>0</v>
      </c>
      <c r="I31" s="13">
        <f t="shared" si="1"/>
        <v>0</v>
      </c>
      <c r="J31" s="15"/>
      <c r="K31" s="16"/>
      <c r="L31" s="8">
        <v>13</v>
      </c>
      <c r="M31"/>
      <c r="N31"/>
      <c r="O31"/>
      <c r="P31"/>
      <c r="Q31"/>
      <c r="R31"/>
      <c r="S31"/>
      <c r="T31"/>
      <c r="U31"/>
      <c r="V31"/>
      <c r="IS31" s="11"/>
      <c r="IT31" s="11"/>
      <c r="IU31" s="11"/>
      <c r="IV31" s="11"/>
    </row>
    <row r="32" spans="1:256" s="10" customFormat="1" ht="17.399999999999999" customHeight="1">
      <c r="A32" s="58">
        <v>222</v>
      </c>
      <c r="B32" s="17" t="s">
        <v>367</v>
      </c>
      <c r="C32" s="8" t="s">
        <v>556</v>
      </c>
      <c r="D32" s="8" t="s">
        <v>234</v>
      </c>
      <c r="E32" s="77">
        <v>0</v>
      </c>
      <c r="F32" s="8"/>
      <c r="G32" s="8"/>
      <c r="H32" s="7">
        <v>0</v>
      </c>
      <c r="I32" s="13">
        <f t="shared" si="1"/>
        <v>0</v>
      </c>
      <c r="J32" s="15"/>
      <c r="K32" s="16"/>
      <c r="L32" s="8">
        <v>196</v>
      </c>
      <c r="M32"/>
      <c r="N32"/>
      <c r="O32"/>
      <c r="P32"/>
      <c r="Q32"/>
      <c r="R32"/>
      <c r="S32"/>
      <c r="T32"/>
      <c r="U32"/>
      <c r="V32"/>
      <c r="IS32" s="11"/>
      <c r="IT32" s="11"/>
      <c r="IU32" s="11"/>
      <c r="IV32" s="11"/>
    </row>
    <row r="33" spans="1:256" s="10" customFormat="1" ht="17.399999999999999" customHeight="1">
      <c r="A33" s="57">
        <v>224</v>
      </c>
      <c r="B33" s="12" t="s">
        <v>368</v>
      </c>
      <c r="C33" s="8"/>
      <c r="D33" s="8" t="s">
        <v>95</v>
      </c>
      <c r="E33" s="77">
        <v>250</v>
      </c>
      <c r="F33" s="8">
        <v>0</v>
      </c>
      <c r="G33" s="8">
        <v>50</v>
      </c>
      <c r="H33" s="7">
        <v>200</v>
      </c>
      <c r="I33" s="13">
        <f t="shared" si="1"/>
        <v>180</v>
      </c>
      <c r="J33" s="15"/>
      <c r="K33" s="16"/>
      <c r="L33" s="8">
        <v>4</v>
      </c>
      <c r="M33"/>
      <c r="N33"/>
      <c r="O33"/>
      <c r="P33"/>
      <c r="Q33"/>
      <c r="R33"/>
      <c r="S33"/>
      <c r="T33"/>
      <c r="U33"/>
      <c r="V33"/>
      <c r="IS33" s="11"/>
      <c r="IT33" s="11"/>
      <c r="IU33" s="11"/>
      <c r="IV33" s="11"/>
    </row>
    <row r="34" spans="1:256" s="10" customFormat="1" ht="17.399999999999999" customHeight="1">
      <c r="A34" s="58">
        <v>232</v>
      </c>
      <c r="B34" s="17" t="s">
        <v>369</v>
      </c>
      <c r="C34" s="8" t="s">
        <v>556</v>
      </c>
      <c r="D34" s="8" t="s">
        <v>95</v>
      </c>
      <c r="E34" s="77">
        <v>0</v>
      </c>
      <c r="F34" s="8"/>
      <c r="G34" s="8"/>
      <c r="H34" s="7">
        <v>0</v>
      </c>
      <c r="I34" s="13">
        <f t="shared" si="1"/>
        <v>0</v>
      </c>
      <c r="J34" s="15"/>
      <c r="K34" s="16"/>
      <c r="L34" s="8">
        <v>2</v>
      </c>
      <c r="M34"/>
      <c r="N34"/>
      <c r="O34"/>
      <c r="P34"/>
      <c r="Q34"/>
      <c r="R34"/>
      <c r="S34"/>
      <c r="T34"/>
      <c r="U34"/>
      <c r="V34"/>
      <c r="IS34" s="11"/>
      <c r="IT34" s="11"/>
      <c r="IU34" s="11"/>
      <c r="IV34" s="11"/>
    </row>
    <row r="35" spans="1:256" s="10" customFormat="1" ht="17.399999999999999" customHeight="1">
      <c r="A35" s="58">
        <v>233</v>
      </c>
      <c r="B35" s="17" t="s">
        <v>370</v>
      </c>
      <c r="C35" s="8" t="s">
        <v>556</v>
      </c>
      <c r="D35" s="8" t="s">
        <v>95</v>
      </c>
      <c r="E35" s="77">
        <v>0</v>
      </c>
      <c r="F35" s="8"/>
      <c r="G35" s="8"/>
      <c r="H35" s="7">
        <v>0</v>
      </c>
      <c r="I35" s="13">
        <f t="shared" si="1"/>
        <v>0</v>
      </c>
      <c r="J35" s="15"/>
      <c r="K35" s="16"/>
      <c r="L35" s="8">
        <v>2</v>
      </c>
      <c r="M35"/>
      <c r="N35"/>
      <c r="O35"/>
      <c r="P35"/>
      <c r="Q35"/>
      <c r="R35"/>
      <c r="S35"/>
      <c r="T35"/>
      <c r="U35"/>
      <c r="V35"/>
      <c r="IS35" s="11"/>
      <c r="IT35" s="11"/>
      <c r="IU35" s="11"/>
      <c r="IV35" s="11"/>
    </row>
    <row r="36" spans="1:256" s="10" customFormat="1" ht="17.399999999999999" customHeight="1">
      <c r="A36" s="57">
        <v>270</v>
      </c>
      <c r="B36" s="12" t="s">
        <v>371</v>
      </c>
      <c r="C36" s="8"/>
      <c r="D36" s="8" t="s">
        <v>95</v>
      </c>
      <c r="E36" s="77">
        <v>0</v>
      </c>
      <c r="F36" s="8"/>
      <c r="G36" s="8"/>
      <c r="H36" s="7">
        <v>0</v>
      </c>
      <c r="I36" s="13">
        <f t="shared" si="1"/>
        <v>0</v>
      </c>
      <c r="J36" s="15"/>
      <c r="K36" s="16"/>
      <c r="L36" s="8">
        <v>2</v>
      </c>
      <c r="M36"/>
      <c r="N36"/>
      <c r="O36"/>
      <c r="P36"/>
      <c r="Q36"/>
      <c r="R36"/>
      <c r="S36"/>
      <c r="T36"/>
      <c r="U36"/>
      <c r="V36"/>
      <c r="IS36" s="11"/>
      <c r="IT36" s="11"/>
      <c r="IU36" s="11"/>
      <c r="IV36" s="11"/>
    </row>
    <row r="37" spans="1:256" s="10" customFormat="1" ht="17.399999999999999" customHeight="1">
      <c r="A37" s="57">
        <v>2326</v>
      </c>
      <c r="B37" s="12" t="s">
        <v>372</v>
      </c>
      <c r="C37" s="8" t="s">
        <v>556</v>
      </c>
      <c r="D37" s="8" t="s">
        <v>95</v>
      </c>
      <c r="E37" s="77">
        <v>0</v>
      </c>
      <c r="F37" s="8"/>
      <c r="G37" s="8"/>
      <c r="H37" s="7">
        <v>0</v>
      </c>
      <c r="I37" s="13">
        <f t="shared" si="1"/>
        <v>0</v>
      </c>
      <c r="J37" s="15"/>
      <c r="K37" s="16"/>
      <c r="L37" s="8">
        <v>2</v>
      </c>
      <c r="M37"/>
      <c r="N37"/>
      <c r="O37"/>
      <c r="P37"/>
      <c r="Q37"/>
      <c r="R37"/>
      <c r="S37"/>
      <c r="T37"/>
      <c r="U37"/>
      <c r="V37"/>
      <c r="IS37" s="11"/>
      <c r="IT37" s="11"/>
      <c r="IU37" s="11"/>
      <c r="IV37" s="11"/>
    </row>
    <row r="38" spans="1:256" s="10" customFormat="1" ht="17.399999999999999" customHeight="1">
      <c r="A38" s="58">
        <v>276</v>
      </c>
      <c r="B38" s="17" t="s">
        <v>373</v>
      </c>
      <c r="C38" s="8" t="s">
        <v>556</v>
      </c>
      <c r="D38" s="8" t="s">
        <v>95</v>
      </c>
      <c r="E38" s="77">
        <v>0</v>
      </c>
      <c r="F38" s="8"/>
      <c r="G38" s="8"/>
      <c r="H38" s="7">
        <v>0</v>
      </c>
      <c r="I38" s="13">
        <f t="shared" si="1"/>
        <v>0</v>
      </c>
      <c r="J38" s="15"/>
      <c r="K38" s="16"/>
      <c r="L38" s="8">
        <v>0</v>
      </c>
      <c r="M38"/>
      <c r="N38"/>
      <c r="O38"/>
      <c r="P38"/>
      <c r="Q38"/>
      <c r="R38"/>
      <c r="S38"/>
      <c r="T38"/>
      <c r="U38"/>
      <c r="V38"/>
      <c r="IS38" s="11"/>
      <c r="IT38" s="11"/>
      <c r="IU38" s="11"/>
      <c r="IV38" s="11"/>
    </row>
    <row r="39" spans="1:256" s="10" customFormat="1" ht="17.399999999999999" customHeight="1">
      <c r="A39" s="59">
        <v>1544</v>
      </c>
      <c r="B39" s="19" t="s">
        <v>374</v>
      </c>
      <c r="C39" s="8" t="s">
        <v>556</v>
      </c>
      <c r="D39" s="8" t="s">
        <v>95</v>
      </c>
      <c r="E39" s="77">
        <v>0</v>
      </c>
      <c r="F39" s="8"/>
      <c r="G39" s="8"/>
      <c r="H39" s="7">
        <v>0</v>
      </c>
      <c r="I39" s="13">
        <f t="shared" si="1"/>
        <v>0</v>
      </c>
      <c r="J39" s="15"/>
      <c r="K39" s="16"/>
      <c r="L39" s="8">
        <v>2</v>
      </c>
      <c r="M39"/>
      <c r="N39"/>
      <c r="O39"/>
      <c r="P39"/>
      <c r="Q39"/>
      <c r="R39"/>
      <c r="S39"/>
      <c r="T39"/>
      <c r="U39"/>
      <c r="V39"/>
      <c r="IS39" s="11"/>
      <c r="IT39" s="11"/>
      <c r="IU39" s="11"/>
      <c r="IV39" s="11"/>
    </row>
    <row r="40" spans="1:256" s="10" customFormat="1" ht="17.399999999999999" customHeight="1">
      <c r="A40" s="57">
        <v>1938</v>
      </c>
      <c r="B40" s="12" t="s">
        <v>375</v>
      </c>
      <c r="C40" s="8"/>
      <c r="D40" s="8" t="s">
        <v>95</v>
      </c>
      <c r="E40" s="77">
        <v>500</v>
      </c>
      <c r="F40" s="8">
        <v>0</v>
      </c>
      <c r="G40" s="8">
        <v>50</v>
      </c>
      <c r="H40" s="7">
        <v>450</v>
      </c>
      <c r="I40" s="13">
        <f t="shared" si="1"/>
        <v>405</v>
      </c>
      <c r="J40" s="15"/>
      <c r="K40" s="16"/>
      <c r="L40" s="8">
        <v>6</v>
      </c>
      <c r="M40"/>
      <c r="N40"/>
      <c r="O40"/>
      <c r="P40"/>
      <c r="Q40"/>
      <c r="R40"/>
      <c r="S40"/>
      <c r="T40"/>
      <c r="U40"/>
      <c r="V40"/>
      <c r="IS40" s="11"/>
      <c r="IT40" s="11"/>
      <c r="IU40" s="11"/>
      <c r="IV40" s="11"/>
    </row>
    <row r="41" spans="1:256" s="10" customFormat="1" ht="17.399999999999999" customHeight="1">
      <c r="A41" s="57">
        <v>1949</v>
      </c>
      <c r="B41" s="12" t="s">
        <v>375</v>
      </c>
      <c r="C41" s="8"/>
      <c r="D41" s="8" t="s">
        <v>95</v>
      </c>
      <c r="E41" s="77">
        <v>450</v>
      </c>
      <c r="F41" s="8">
        <v>0</v>
      </c>
      <c r="G41" s="8">
        <v>50</v>
      </c>
      <c r="H41" s="7">
        <v>400</v>
      </c>
      <c r="I41" s="13">
        <f t="shared" si="1"/>
        <v>360</v>
      </c>
      <c r="J41" s="15"/>
      <c r="K41" s="16"/>
      <c r="L41" s="8">
        <v>5</v>
      </c>
      <c r="M41"/>
      <c r="N41"/>
      <c r="O41"/>
      <c r="P41"/>
      <c r="Q41"/>
      <c r="R41"/>
      <c r="S41"/>
      <c r="T41"/>
      <c r="U41"/>
      <c r="V41"/>
      <c r="IS41" s="11"/>
      <c r="IT41" s="11"/>
      <c r="IU41" s="11"/>
      <c r="IV41" s="11"/>
    </row>
    <row r="42" spans="1:256" s="10" customFormat="1" ht="17.399999999999999" customHeight="1">
      <c r="A42" s="58">
        <v>1939</v>
      </c>
      <c r="B42" s="17" t="s">
        <v>377</v>
      </c>
      <c r="C42" s="8" t="s">
        <v>556</v>
      </c>
      <c r="D42" s="8" t="s">
        <v>95</v>
      </c>
      <c r="E42" s="77">
        <v>500</v>
      </c>
      <c r="F42" s="8">
        <v>0</v>
      </c>
      <c r="G42" s="8">
        <v>50</v>
      </c>
      <c r="H42" s="7">
        <v>450</v>
      </c>
      <c r="I42" s="13">
        <f t="shared" si="1"/>
        <v>405</v>
      </c>
      <c r="J42" s="15"/>
      <c r="K42" s="16"/>
      <c r="L42" s="8">
        <v>3</v>
      </c>
      <c r="M42"/>
      <c r="N42"/>
      <c r="O42"/>
      <c r="P42"/>
      <c r="Q42"/>
      <c r="R42"/>
      <c r="S42"/>
      <c r="T42"/>
      <c r="U42"/>
      <c r="V42"/>
      <c r="IS42" s="11"/>
      <c r="IT42" s="11"/>
      <c r="IU42" s="11"/>
      <c r="IV42" s="11"/>
    </row>
    <row r="43" spans="1:256" s="10" customFormat="1" ht="17.399999999999999" customHeight="1">
      <c r="A43" s="58">
        <v>1950</v>
      </c>
      <c r="B43" s="17" t="s">
        <v>378</v>
      </c>
      <c r="C43" s="8" t="s">
        <v>556</v>
      </c>
      <c r="D43" s="8" t="s">
        <v>95</v>
      </c>
      <c r="E43" s="77">
        <v>500</v>
      </c>
      <c r="F43" s="8">
        <v>0</v>
      </c>
      <c r="G43" s="8">
        <v>50</v>
      </c>
      <c r="H43" s="7">
        <v>450</v>
      </c>
      <c r="I43" s="13">
        <f t="shared" si="1"/>
        <v>405</v>
      </c>
      <c r="J43" s="15"/>
      <c r="K43" s="16"/>
      <c r="L43" s="8">
        <v>9</v>
      </c>
      <c r="M43"/>
      <c r="N43"/>
      <c r="O43"/>
      <c r="P43"/>
      <c r="Q43"/>
      <c r="R43"/>
      <c r="S43"/>
      <c r="T43"/>
      <c r="U43"/>
      <c r="V43"/>
      <c r="IS43" s="11"/>
      <c r="IT43" s="11"/>
      <c r="IU43" s="11"/>
      <c r="IV43" s="11"/>
    </row>
    <row r="44" spans="1:256" s="10" customFormat="1" ht="17.399999999999999" customHeight="1">
      <c r="A44" s="57">
        <v>1667</v>
      </c>
      <c r="B44" s="12" t="s">
        <v>379</v>
      </c>
      <c r="C44" s="8"/>
      <c r="D44" s="8" t="s">
        <v>95</v>
      </c>
      <c r="E44" s="77">
        <v>0</v>
      </c>
      <c r="F44" s="8"/>
      <c r="G44" s="8"/>
      <c r="H44" s="7">
        <v>0</v>
      </c>
      <c r="I44" s="13">
        <f t="shared" si="1"/>
        <v>0</v>
      </c>
      <c r="J44" s="15"/>
      <c r="K44" s="16"/>
      <c r="L44" s="8">
        <v>5</v>
      </c>
      <c r="M44"/>
      <c r="N44"/>
      <c r="O44"/>
      <c r="P44"/>
      <c r="Q44"/>
      <c r="R44"/>
      <c r="S44"/>
      <c r="T44"/>
      <c r="U44"/>
      <c r="V44"/>
      <c r="IS44" s="11"/>
      <c r="IT44" s="11"/>
      <c r="IU44" s="11"/>
      <c r="IV44" s="11"/>
    </row>
    <row r="45" spans="1:256" s="10" customFormat="1" ht="17.399999999999999" customHeight="1">
      <c r="A45" s="57">
        <v>1668</v>
      </c>
      <c r="B45" s="12" t="s">
        <v>380</v>
      </c>
      <c r="C45" s="8" t="s">
        <v>556</v>
      </c>
      <c r="D45" s="8" t="s">
        <v>95</v>
      </c>
      <c r="E45" s="77">
        <v>0</v>
      </c>
      <c r="F45" s="8"/>
      <c r="G45" s="8"/>
      <c r="H45" s="7">
        <v>0</v>
      </c>
      <c r="I45" s="13">
        <f t="shared" si="1"/>
        <v>0</v>
      </c>
      <c r="J45" s="15"/>
      <c r="K45" s="16"/>
      <c r="L45" s="8">
        <v>3</v>
      </c>
      <c r="M45"/>
      <c r="N45"/>
      <c r="O45"/>
      <c r="P45"/>
      <c r="Q45"/>
      <c r="R45"/>
      <c r="S45"/>
      <c r="T45"/>
      <c r="U45"/>
      <c r="V45"/>
      <c r="IS45" s="11"/>
      <c r="IT45" s="11"/>
      <c r="IU45" s="11"/>
      <c r="IV45" s="11"/>
    </row>
    <row r="46" spans="1:256" s="10" customFormat="1" ht="12.6" hidden="1" customHeight="1">
      <c r="A46" s="58">
        <v>1668</v>
      </c>
      <c r="B46" s="17" t="s">
        <v>381</v>
      </c>
      <c r="C46" s="8" t="s">
        <v>556</v>
      </c>
      <c r="D46" s="8" t="s">
        <v>95</v>
      </c>
      <c r="E46" s="77"/>
      <c r="F46" s="8"/>
      <c r="G46" s="8"/>
      <c r="H46" s="7">
        <v>0</v>
      </c>
      <c r="I46" s="13">
        <f t="shared" si="1"/>
        <v>0</v>
      </c>
      <c r="J46" s="15"/>
      <c r="K46" s="16"/>
      <c r="L46" s="8">
        <v>1</v>
      </c>
      <c r="M46"/>
      <c r="N46"/>
      <c r="O46"/>
      <c r="P46"/>
      <c r="Q46"/>
      <c r="R46"/>
      <c r="S46"/>
      <c r="T46"/>
      <c r="U46"/>
      <c r="V46"/>
      <c r="IS46" s="11"/>
      <c r="IT46" s="11"/>
      <c r="IU46" s="11"/>
      <c r="IV46" s="11"/>
    </row>
    <row r="47" spans="1:256" s="10" customFormat="1" ht="17.399999999999999" hidden="1" customHeight="1">
      <c r="A47" s="60">
        <v>1727</v>
      </c>
      <c r="B47" s="12" t="s">
        <v>382</v>
      </c>
      <c r="C47" s="8" t="s">
        <v>556</v>
      </c>
      <c r="D47" s="8" t="s">
        <v>355</v>
      </c>
      <c r="E47" s="77"/>
      <c r="F47" s="8"/>
      <c r="G47" s="8"/>
      <c r="H47" s="7">
        <v>0</v>
      </c>
      <c r="I47" s="13">
        <f t="shared" si="1"/>
        <v>0</v>
      </c>
      <c r="J47" s="15"/>
      <c r="K47" s="16"/>
      <c r="L47" s="8">
        <v>0</v>
      </c>
      <c r="M47"/>
      <c r="N47"/>
      <c r="O47"/>
      <c r="P47"/>
      <c r="Q47"/>
      <c r="R47"/>
      <c r="S47"/>
      <c r="T47"/>
      <c r="U47"/>
      <c r="V47"/>
      <c r="IS47" s="11"/>
      <c r="IT47" s="11"/>
      <c r="IU47" s="11"/>
      <c r="IV47" s="11"/>
    </row>
    <row r="48" spans="1:256" s="10" customFormat="1" ht="17.399999999999999" customHeight="1">
      <c r="A48" s="57">
        <v>1856</v>
      </c>
      <c r="B48" s="12" t="s">
        <v>383</v>
      </c>
      <c r="C48" s="8" t="s">
        <v>556</v>
      </c>
      <c r="D48" s="8" t="s">
        <v>95</v>
      </c>
      <c r="E48" s="77">
        <v>0</v>
      </c>
      <c r="F48" s="8"/>
      <c r="G48" s="8"/>
      <c r="H48" s="7">
        <v>0</v>
      </c>
      <c r="I48" s="13">
        <f t="shared" si="1"/>
        <v>0</v>
      </c>
      <c r="J48" s="15"/>
      <c r="K48" s="16"/>
      <c r="L48" s="8">
        <v>4</v>
      </c>
      <c r="M48"/>
      <c r="N48"/>
      <c r="O48"/>
      <c r="P48"/>
      <c r="Q48"/>
      <c r="R48"/>
      <c r="S48"/>
      <c r="T48"/>
      <c r="U48"/>
      <c r="V48"/>
      <c r="IS48" s="11"/>
      <c r="IT48" s="11"/>
      <c r="IU48" s="11"/>
      <c r="IV48" s="11"/>
    </row>
    <row r="49" spans="1:256" s="10" customFormat="1" ht="17.399999999999999" customHeight="1">
      <c r="A49" s="57">
        <v>2400</v>
      </c>
      <c r="B49" s="12" t="s">
        <v>384</v>
      </c>
      <c r="C49" s="8" t="s">
        <v>556</v>
      </c>
      <c r="D49" s="8" t="s">
        <v>355</v>
      </c>
      <c r="E49" s="77">
        <v>0</v>
      </c>
      <c r="F49" s="8"/>
      <c r="G49" s="8"/>
      <c r="H49" s="7">
        <v>0</v>
      </c>
      <c r="I49" s="13">
        <f t="shared" si="1"/>
        <v>0</v>
      </c>
      <c r="J49" s="15"/>
      <c r="K49" s="16"/>
      <c r="L49" s="8">
        <v>13</v>
      </c>
      <c r="M49"/>
      <c r="N49"/>
      <c r="O49"/>
      <c r="P49"/>
      <c r="Q49"/>
      <c r="R49"/>
      <c r="S49"/>
      <c r="T49"/>
      <c r="U49"/>
      <c r="V49"/>
      <c r="IS49" s="11"/>
      <c r="IT49" s="11"/>
      <c r="IU49" s="11"/>
      <c r="IV49" s="11"/>
    </row>
    <row r="50" spans="1:256" s="10" customFormat="1" ht="17.399999999999999" customHeight="1">
      <c r="A50" s="57">
        <v>1976</v>
      </c>
      <c r="B50" s="12" t="s">
        <v>385</v>
      </c>
      <c r="C50" s="8" t="s">
        <v>556</v>
      </c>
      <c r="D50" s="8" t="s">
        <v>95</v>
      </c>
      <c r="E50" s="77">
        <v>0</v>
      </c>
      <c r="F50" s="8"/>
      <c r="G50" s="8"/>
      <c r="H50" s="7">
        <v>0</v>
      </c>
      <c r="I50" s="13">
        <f t="shared" si="1"/>
        <v>0</v>
      </c>
      <c r="J50" s="15"/>
      <c r="K50" s="16"/>
      <c r="L50" s="8">
        <v>16</v>
      </c>
      <c r="M50"/>
      <c r="N50"/>
      <c r="O50"/>
      <c r="P50"/>
      <c r="Q50"/>
      <c r="R50"/>
      <c r="S50"/>
      <c r="T50"/>
      <c r="U50"/>
      <c r="V50"/>
      <c r="IS50" s="11"/>
      <c r="IT50" s="11"/>
      <c r="IU50" s="11"/>
      <c r="IV50" s="11"/>
    </row>
    <row r="51" spans="1:256" s="10" customFormat="1" ht="17.399999999999999" customHeight="1">
      <c r="A51" s="57">
        <v>2518</v>
      </c>
      <c r="B51" s="12" t="s">
        <v>386</v>
      </c>
      <c r="C51" s="8" t="s">
        <v>556</v>
      </c>
      <c r="D51" s="8" t="s">
        <v>95</v>
      </c>
      <c r="E51" s="77">
        <v>0</v>
      </c>
      <c r="F51" s="8"/>
      <c r="G51" s="8"/>
      <c r="H51" s="7">
        <v>0</v>
      </c>
      <c r="I51" s="13">
        <f t="shared" si="1"/>
        <v>0</v>
      </c>
      <c r="J51" s="15"/>
      <c r="K51" s="16"/>
      <c r="L51" s="8">
        <v>17</v>
      </c>
      <c r="M51"/>
      <c r="N51"/>
      <c r="O51"/>
      <c r="P51"/>
      <c r="Q51"/>
      <c r="R51"/>
      <c r="S51"/>
      <c r="T51"/>
      <c r="U51"/>
      <c r="V51"/>
      <c r="IS51" s="11"/>
      <c r="IT51" s="11"/>
      <c r="IU51" s="11"/>
      <c r="IV51" s="11"/>
    </row>
    <row r="52" spans="1:256" s="10" customFormat="1" ht="17.399999999999999" hidden="1" customHeight="1">
      <c r="A52" s="57"/>
      <c r="B52" s="12"/>
      <c r="C52" s="8"/>
      <c r="D52" s="8"/>
      <c r="E52" s="77"/>
      <c r="F52" s="8"/>
      <c r="G52" s="8"/>
      <c r="H52" s="7">
        <v>0</v>
      </c>
      <c r="I52" s="13">
        <f t="shared" si="1"/>
        <v>0</v>
      </c>
      <c r="J52" s="15"/>
      <c r="K52" s="16"/>
      <c r="L52" s="8">
        <v>0</v>
      </c>
      <c r="M52"/>
      <c r="N52"/>
      <c r="O52"/>
      <c r="P52"/>
      <c r="Q52"/>
      <c r="R52"/>
      <c r="S52"/>
      <c r="T52"/>
      <c r="U52"/>
      <c r="V52"/>
      <c r="IS52" s="11"/>
      <c r="IT52" s="11"/>
      <c r="IU52" s="11"/>
      <c r="IV52" s="11"/>
    </row>
    <row r="53" spans="1:256" s="10" customFormat="1" ht="17.399999999999999" customHeight="1">
      <c r="A53" s="58">
        <v>2279</v>
      </c>
      <c r="B53" s="17" t="s">
        <v>387</v>
      </c>
      <c r="C53" s="8" t="s">
        <v>556</v>
      </c>
      <c r="D53" s="8" t="s">
        <v>95</v>
      </c>
      <c r="E53" s="77">
        <v>0</v>
      </c>
      <c r="F53" s="8"/>
      <c r="G53" s="8"/>
      <c r="H53" s="7">
        <v>0</v>
      </c>
      <c r="I53" s="13">
        <f t="shared" si="1"/>
        <v>0</v>
      </c>
      <c r="J53" s="15"/>
      <c r="K53"/>
      <c r="L53" s="8">
        <v>3</v>
      </c>
      <c r="M53"/>
      <c r="N53"/>
      <c r="O53"/>
      <c r="P53"/>
      <c r="Q53"/>
      <c r="R53"/>
      <c r="S53"/>
      <c r="T53"/>
      <c r="U53"/>
      <c r="V53"/>
      <c r="IS53" s="11"/>
      <c r="IT53" s="11"/>
      <c r="IU53" s="11"/>
      <c r="IV53" s="11"/>
    </row>
    <row r="54" spans="1:256" s="10" customFormat="1" ht="17.399999999999999" customHeight="1">
      <c r="A54" s="58">
        <v>2280</v>
      </c>
      <c r="B54" s="17" t="s">
        <v>388</v>
      </c>
      <c r="C54" s="8"/>
      <c r="D54" s="8" t="s">
        <v>95</v>
      </c>
      <c r="E54" s="77">
        <v>50</v>
      </c>
      <c r="F54" s="8"/>
      <c r="G54" s="8"/>
      <c r="H54" s="7">
        <v>50</v>
      </c>
      <c r="I54" s="13"/>
      <c r="J54" s="15"/>
      <c r="K54"/>
      <c r="L54" s="8">
        <v>3</v>
      </c>
      <c r="M54"/>
      <c r="N54"/>
      <c r="O54"/>
      <c r="P54"/>
      <c r="Q54"/>
      <c r="R54"/>
      <c r="S54"/>
      <c r="T54"/>
      <c r="U54"/>
      <c r="V54"/>
      <c r="IS54" s="11"/>
      <c r="IT54" s="11"/>
      <c r="IU54" s="11"/>
      <c r="IV54" s="11"/>
    </row>
    <row r="55" spans="1:256" s="10" customFormat="1" ht="17.399999999999999" customHeight="1">
      <c r="A55" s="58">
        <v>2281</v>
      </c>
      <c r="B55" s="17" t="s">
        <v>389</v>
      </c>
      <c r="C55" s="8" t="s">
        <v>556</v>
      </c>
      <c r="D55" s="8" t="s">
        <v>95</v>
      </c>
      <c r="E55" s="77">
        <v>50</v>
      </c>
      <c r="F55" s="8"/>
      <c r="G55" s="8"/>
      <c r="H55" s="7">
        <v>50</v>
      </c>
      <c r="I55" s="13">
        <f>H55*0.9</f>
        <v>45</v>
      </c>
      <c r="J55" s="15"/>
      <c r="K55"/>
      <c r="L55" s="8">
        <v>11</v>
      </c>
      <c r="M55"/>
      <c r="N55"/>
      <c r="O55"/>
      <c r="P55"/>
      <c r="Q55"/>
      <c r="R55"/>
      <c r="S55"/>
      <c r="T55"/>
      <c r="U55"/>
      <c r="V55"/>
      <c r="IS55" s="11"/>
      <c r="IT55" s="11"/>
      <c r="IU55" s="11"/>
      <c r="IV55" s="11"/>
    </row>
    <row r="56" spans="1:256" s="10" customFormat="1" ht="17.399999999999999" customHeight="1">
      <c r="A56" s="58">
        <v>2291</v>
      </c>
      <c r="B56" s="17" t="s">
        <v>390</v>
      </c>
      <c r="C56" s="8" t="s">
        <v>556</v>
      </c>
      <c r="D56" s="8" t="s">
        <v>95</v>
      </c>
      <c r="E56" s="77">
        <v>50</v>
      </c>
      <c r="F56" s="8"/>
      <c r="G56" s="8"/>
      <c r="H56" s="7">
        <v>50</v>
      </c>
      <c r="I56" s="13"/>
      <c r="J56" s="15"/>
      <c r="K56"/>
      <c r="L56" s="8">
        <v>9</v>
      </c>
      <c r="M56"/>
      <c r="N56"/>
      <c r="O56"/>
      <c r="P56"/>
      <c r="Q56"/>
      <c r="R56"/>
      <c r="S56"/>
      <c r="T56"/>
      <c r="U56"/>
      <c r="V56"/>
      <c r="IS56" s="11"/>
      <c r="IT56" s="11"/>
      <c r="IU56" s="11"/>
      <c r="IV56" s="11"/>
    </row>
    <row r="57" spans="1:256" s="10" customFormat="1" ht="17.399999999999999" customHeight="1">
      <c r="A57" s="60">
        <v>2282</v>
      </c>
      <c r="B57" s="17" t="s">
        <v>391</v>
      </c>
      <c r="C57" s="8" t="s">
        <v>556</v>
      </c>
      <c r="D57" s="8" t="s">
        <v>95</v>
      </c>
      <c r="E57" s="77">
        <v>0</v>
      </c>
      <c r="F57" s="8"/>
      <c r="G57" s="8"/>
      <c r="H57" s="7">
        <v>0</v>
      </c>
      <c r="I57" s="13">
        <f>H57*0.9</f>
        <v>0</v>
      </c>
      <c r="J57" s="15"/>
      <c r="K57"/>
      <c r="L57" s="8">
        <v>3</v>
      </c>
      <c r="M57"/>
      <c r="N57"/>
      <c r="O57"/>
      <c r="P57"/>
      <c r="Q57"/>
      <c r="R57"/>
      <c r="S57"/>
      <c r="T57"/>
      <c r="U57"/>
      <c r="V57"/>
      <c r="IS57" s="11"/>
      <c r="IT57" s="11"/>
      <c r="IU57" s="11"/>
      <c r="IV57" s="11"/>
    </row>
    <row r="58" spans="1:256" s="10" customFormat="1" ht="17.399999999999999" customHeight="1">
      <c r="A58" s="58">
        <v>2283</v>
      </c>
      <c r="B58" s="17" t="s">
        <v>392</v>
      </c>
      <c r="C58" s="8" t="s">
        <v>556</v>
      </c>
      <c r="D58" s="8" t="s">
        <v>95</v>
      </c>
      <c r="E58" s="77">
        <v>300</v>
      </c>
      <c r="F58" s="8"/>
      <c r="G58" s="8"/>
      <c r="H58" s="7">
        <v>300</v>
      </c>
      <c r="I58" s="13">
        <f>H58*0.9</f>
        <v>270</v>
      </c>
      <c r="J58" s="15"/>
      <c r="K58"/>
      <c r="L58" s="8">
        <v>3</v>
      </c>
      <c r="M58"/>
      <c r="N58"/>
      <c r="O58"/>
      <c r="P58"/>
      <c r="Q58"/>
      <c r="R58"/>
      <c r="S58"/>
      <c r="T58"/>
      <c r="U58"/>
      <c r="V58"/>
      <c r="IS58" s="11"/>
      <c r="IT58" s="11"/>
      <c r="IU58" s="11"/>
      <c r="IV58" s="11"/>
    </row>
    <row r="59" spans="1:256" s="10" customFormat="1" ht="17.399999999999999" customHeight="1">
      <c r="A59" s="58">
        <v>2292</v>
      </c>
      <c r="B59" s="17" t="s">
        <v>393</v>
      </c>
      <c r="C59" s="8"/>
      <c r="D59" s="8" t="s">
        <v>95</v>
      </c>
      <c r="E59" s="77">
        <v>350</v>
      </c>
      <c r="F59" s="8"/>
      <c r="G59" s="8"/>
      <c r="H59" s="7">
        <v>350</v>
      </c>
      <c r="I59" s="13"/>
      <c r="J59" s="15"/>
      <c r="K59"/>
      <c r="L59" s="8">
        <v>2</v>
      </c>
      <c r="M59"/>
      <c r="N59"/>
      <c r="O59"/>
      <c r="P59"/>
      <c r="Q59"/>
      <c r="R59"/>
      <c r="S59"/>
      <c r="T59"/>
      <c r="U59"/>
      <c r="V59"/>
      <c r="IS59" s="11"/>
      <c r="IT59" s="11"/>
      <c r="IU59" s="11"/>
      <c r="IV59" s="11"/>
    </row>
    <row r="60" spans="1:256" s="10" customFormat="1" ht="17.399999999999999" customHeight="1">
      <c r="A60" s="58">
        <v>2284</v>
      </c>
      <c r="B60" s="17" t="s">
        <v>394</v>
      </c>
      <c r="C60" s="8" t="s">
        <v>556</v>
      </c>
      <c r="D60" s="8" t="s">
        <v>95</v>
      </c>
      <c r="E60" s="77">
        <v>500</v>
      </c>
      <c r="F60" s="8"/>
      <c r="G60" s="8"/>
      <c r="H60" s="7">
        <v>500</v>
      </c>
      <c r="I60" s="13">
        <f>H60*0.9</f>
        <v>450</v>
      </c>
      <c r="J60" s="15"/>
      <c r="K60"/>
      <c r="L60" s="8">
        <v>6</v>
      </c>
      <c r="M60"/>
      <c r="N60"/>
      <c r="O60"/>
      <c r="P60"/>
      <c r="Q60"/>
      <c r="R60"/>
      <c r="S60"/>
      <c r="T60"/>
      <c r="U60"/>
      <c r="V60"/>
      <c r="IS60" s="11"/>
      <c r="IT60" s="11"/>
      <c r="IU60" s="11"/>
      <c r="IV60" s="11"/>
    </row>
    <row r="61" spans="1:256" s="10" customFormat="1" ht="17.399999999999999" customHeight="1">
      <c r="A61" s="58">
        <v>2293</v>
      </c>
      <c r="B61" s="17" t="s">
        <v>395</v>
      </c>
      <c r="C61" s="8"/>
      <c r="D61" s="8" t="s">
        <v>95</v>
      </c>
      <c r="E61" s="77">
        <v>500</v>
      </c>
      <c r="F61" s="8"/>
      <c r="G61" s="8"/>
      <c r="H61" s="7">
        <v>500</v>
      </c>
      <c r="I61" s="13"/>
      <c r="J61" s="15"/>
      <c r="K61"/>
      <c r="L61" s="8">
        <v>1</v>
      </c>
      <c r="M61"/>
      <c r="N61"/>
      <c r="O61"/>
      <c r="P61"/>
      <c r="Q61"/>
      <c r="R61"/>
      <c r="S61"/>
      <c r="T61"/>
      <c r="U61"/>
      <c r="V61"/>
      <c r="IS61" s="11"/>
      <c r="IT61" s="11"/>
      <c r="IU61" s="11"/>
      <c r="IV61" s="11"/>
    </row>
    <row r="62" spans="1:256" s="10" customFormat="1" ht="17.399999999999999" hidden="1" customHeight="1">
      <c r="A62" s="58">
        <v>2077</v>
      </c>
      <c r="B62" s="17" t="s">
        <v>396</v>
      </c>
      <c r="C62" s="8" t="s">
        <v>556</v>
      </c>
      <c r="D62" s="8" t="s">
        <v>95</v>
      </c>
      <c r="E62" s="77"/>
      <c r="F62" s="8"/>
      <c r="G62" s="8"/>
      <c r="H62" s="7">
        <v>0</v>
      </c>
      <c r="I62" s="13">
        <f>H62*0.9</f>
        <v>0</v>
      </c>
      <c r="J62" s="15"/>
      <c r="K62"/>
      <c r="L62" s="8">
        <v>5</v>
      </c>
      <c r="M62"/>
      <c r="N62"/>
      <c r="O62"/>
      <c r="P62"/>
      <c r="Q62"/>
      <c r="R62"/>
      <c r="S62"/>
      <c r="T62"/>
      <c r="U62"/>
      <c r="V62"/>
      <c r="IS62" s="11"/>
      <c r="IT62" s="11"/>
      <c r="IU62" s="11"/>
      <c r="IV62" s="11"/>
    </row>
    <row r="63" spans="1:256" s="10" customFormat="1" ht="17.399999999999999" hidden="1" customHeight="1">
      <c r="A63" s="58">
        <v>2013</v>
      </c>
      <c r="B63" s="17" t="s">
        <v>397</v>
      </c>
      <c r="C63" s="8"/>
      <c r="D63" s="8" t="s">
        <v>95</v>
      </c>
      <c r="E63" s="77"/>
      <c r="F63" s="8"/>
      <c r="G63" s="8"/>
      <c r="H63" s="7">
        <v>0</v>
      </c>
      <c r="I63" s="13"/>
      <c r="J63" s="15"/>
      <c r="K63"/>
      <c r="L63" s="8">
        <v>5</v>
      </c>
      <c r="M63"/>
      <c r="N63"/>
      <c r="O63"/>
      <c r="P63"/>
      <c r="Q63"/>
      <c r="R63"/>
      <c r="S63"/>
      <c r="T63"/>
      <c r="U63"/>
      <c r="V63"/>
      <c r="IS63" s="11"/>
      <c r="IT63" s="11"/>
      <c r="IU63" s="11"/>
      <c r="IV63" s="11"/>
    </row>
    <row r="64" spans="1:256" s="10" customFormat="1" ht="17.399999999999999" customHeight="1">
      <c r="A64" s="57"/>
      <c r="B64" s="12" t="s">
        <v>398</v>
      </c>
      <c r="C64" s="8" t="s">
        <v>556</v>
      </c>
      <c r="D64" s="8" t="s">
        <v>95</v>
      </c>
      <c r="E64" s="77">
        <v>0</v>
      </c>
      <c r="F64" s="8"/>
      <c r="G64" s="8"/>
      <c r="H64" s="7">
        <v>0</v>
      </c>
      <c r="I64" s="13">
        <f>H64*0.9</f>
        <v>0</v>
      </c>
      <c r="J64" s="15"/>
      <c r="K64"/>
      <c r="L64" s="8">
        <v>3</v>
      </c>
      <c r="M64"/>
      <c r="N64"/>
      <c r="O64"/>
      <c r="P64"/>
      <c r="Q64"/>
      <c r="R64"/>
      <c r="S64"/>
      <c r="T64"/>
      <c r="U64"/>
      <c r="V64"/>
      <c r="IS64" s="11"/>
      <c r="IT64" s="11"/>
      <c r="IU64" s="11"/>
      <c r="IV64" s="11"/>
    </row>
    <row r="65" spans="1:256" s="10" customFormat="1" ht="17.399999999999999" customHeight="1">
      <c r="A65" s="57">
        <v>2517</v>
      </c>
      <c r="B65" s="12" t="s">
        <v>399</v>
      </c>
      <c r="C65" s="8"/>
      <c r="D65" s="8" t="s">
        <v>95</v>
      </c>
      <c r="E65" s="77">
        <v>1000</v>
      </c>
      <c r="F65" s="8"/>
      <c r="G65" s="8"/>
      <c r="H65" s="7">
        <v>1000</v>
      </c>
      <c r="I65" s="13"/>
      <c r="J65" s="15"/>
      <c r="K65"/>
      <c r="L65" s="8">
        <v>5</v>
      </c>
      <c r="M65"/>
      <c r="N65"/>
      <c r="O65"/>
      <c r="P65"/>
      <c r="Q65"/>
      <c r="R65"/>
      <c r="S65"/>
      <c r="T65"/>
      <c r="U65"/>
      <c r="V65"/>
      <c r="IS65" s="11"/>
      <c r="IT65" s="11"/>
      <c r="IU65" s="11"/>
      <c r="IV65" s="11"/>
    </row>
    <row r="66" spans="1:256" s="10" customFormat="1" ht="17.399999999999999" customHeight="1">
      <c r="A66" s="57">
        <v>2519</v>
      </c>
      <c r="B66" s="12" t="s">
        <v>400</v>
      </c>
      <c r="C66" s="8"/>
      <c r="D66" s="8" t="s">
        <v>95</v>
      </c>
      <c r="E66" s="77">
        <v>0</v>
      </c>
      <c r="F66" s="8"/>
      <c r="G66" s="8"/>
      <c r="H66" s="7">
        <v>0</v>
      </c>
      <c r="I66" s="13"/>
      <c r="J66" s="15"/>
      <c r="K66"/>
      <c r="L66" s="8">
        <v>4</v>
      </c>
      <c r="M66"/>
      <c r="N66"/>
      <c r="O66"/>
      <c r="P66"/>
      <c r="Q66"/>
      <c r="R66"/>
      <c r="S66"/>
      <c r="T66"/>
      <c r="U66"/>
      <c r="V66"/>
      <c r="IS66" s="11"/>
      <c r="IT66" s="11"/>
      <c r="IU66" s="11"/>
      <c r="IV66" s="11"/>
    </row>
    <row r="67" spans="1:256" s="10" customFormat="1" ht="17.399999999999999" customHeight="1">
      <c r="A67" s="57">
        <v>2520</v>
      </c>
      <c r="B67" s="12" t="s">
        <v>401</v>
      </c>
      <c r="C67" s="8"/>
      <c r="D67" s="8" t="s">
        <v>95</v>
      </c>
      <c r="E67" s="77">
        <v>0</v>
      </c>
      <c r="F67" s="8"/>
      <c r="G67" s="8"/>
      <c r="H67" s="7">
        <v>0</v>
      </c>
      <c r="I67" s="13"/>
      <c r="J67" s="15"/>
      <c r="K67"/>
      <c r="L67" s="8">
        <v>4</v>
      </c>
      <c r="M67"/>
      <c r="N67"/>
      <c r="O67"/>
      <c r="P67"/>
      <c r="Q67"/>
      <c r="R67"/>
      <c r="S67"/>
      <c r="T67"/>
      <c r="U67"/>
      <c r="V67"/>
      <c r="IS67" s="11"/>
      <c r="IT67" s="11"/>
      <c r="IU67" s="11"/>
      <c r="IV67" s="11"/>
    </row>
    <row r="68" spans="1:256" s="10" customFormat="1" ht="17.399999999999999" customHeight="1">
      <c r="A68" s="57">
        <v>226</v>
      </c>
      <c r="B68" s="12" t="s">
        <v>402</v>
      </c>
      <c r="C68" s="8"/>
      <c r="D68" s="8" t="s">
        <v>95</v>
      </c>
      <c r="E68" s="77">
        <v>0</v>
      </c>
      <c r="F68" s="8"/>
      <c r="G68" s="8"/>
      <c r="H68" s="7">
        <v>0</v>
      </c>
      <c r="I68" s="13"/>
      <c r="J68" s="15"/>
      <c r="K68"/>
      <c r="L68" s="8">
        <v>0</v>
      </c>
      <c r="M68"/>
      <c r="N68"/>
      <c r="O68"/>
      <c r="P68"/>
      <c r="Q68"/>
      <c r="R68"/>
      <c r="S68"/>
      <c r="T68"/>
      <c r="U68"/>
      <c r="V68"/>
      <c r="IS68" s="11"/>
      <c r="IT68" s="11"/>
      <c r="IU68" s="11"/>
      <c r="IV68" s="11"/>
    </row>
    <row r="69" spans="1:256" s="10" customFormat="1" ht="17.399999999999999" customHeight="1">
      <c r="A69" s="57">
        <v>225</v>
      </c>
      <c r="B69" s="12" t="s">
        <v>403</v>
      </c>
      <c r="C69" s="8"/>
      <c r="D69" s="8" t="s">
        <v>95</v>
      </c>
      <c r="E69" s="77">
        <v>50</v>
      </c>
      <c r="F69" s="8"/>
      <c r="G69" s="8"/>
      <c r="H69" s="7">
        <v>50</v>
      </c>
      <c r="I69" s="13"/>
      <c r="J69" s="15"/>
      <c r="K69"/>
      <c r="L69" s="8">
        <v>0</v>
      </c>
      <c r="M69"/>
      <c r="N69"/>
      <c r="O69"/>
      <c r="P69"/>
      <c r="Q69"/>
      <c r="R69"/>
      <c r="S69"/>
      <c r="T69"/>
      <c r="U69"/>
      <c r="V69"/>
      <c r="IS69" s="11"/>
      <c r="IT69" s="11"/>
      <c r="IU69" s="11"/>
      <c r="IV69" s="11"/>
    </row>
    <row r="70" spans="1:256" s="10" customFormat="1" ht="17.399999999999999" customHeight="1">
      <c r="A70" s="57">
        <v>227</v>
      </c>
      <c r="B70" s="12" t="s">
        <v>404</v>
      </c>
      <c r="C70" s="8"/>
      <c r="D70" s="8" t="s">
        <v>95</v>
      </c>
      <c r="E70" s="77">
        <v>50</v>
      </c>
      <c r="F70" s="8"/>
      <c r="G70" s="8"/>
      <c r="H70" s="7">
        <v>50</v>
      </c>
      <c r="I70" s="13"/>
      <c r="J70" s="15"/>
      <c r="K70"/>
      <c r="L70" s="8">
        <v>0</v>
      </c>
      <c r="M70"/>
      <c r="N70"/>
      <c r="O70"/>
      <c r="P70"/>
      <c r="Q70"/>
      <c r="R70"/>
      <c r="S70"/>
      <c r="T70"/>
      <c r="U70"/>
      <c r="V70"/>
      <c r="IS70" s="11"/>
      <c r="IT70" s="11"/>
      <c r="IU70" s="11"/>
      <c r="IV70" s="11"/>
    </row>
    <row r="71" spans="1:256" s="10" customFormat="1" ht="17.399999999999999" customHeight="1">
      <c r="A71" s="57">
        <v>242</v>
      </c>
      <c r="B71" s="12" t="s">
        <v>405</v>
      </c>
      <c r="C71" s="8"/>
      <c r="D71" s="8" t="s">
        <v>95</v>
      </c>
      <c r="E71" s="77">
        <v>0</v>
      </c>
      <c r="F71" s="8"/>
      <c r="G71" s="8"/>
      <c r="H71" s="7">
        <v>0</v>
      </c>
      <c r="I71" s="13"/>
      <c r="J71" s="15"/>
      <c r="K71"/>
      <c r="L71" s="8">
        <v>2</v>
      </c>
      <c r="M71"/>
      <c r="N71"/>
      <c r="O71"/>
      <c r="P71"/>
      <c r="Q71"/>
      <c r="R71"/>
      <c r="S71"/>
      <c r="T71"/>
      <c r="U71"/>
      <c r="V71"/>
      <c r="IS71" s="11"/>
      <c r="IT71" s="11"/>
      <c r="IU71" s="11"/>
      <c r="IV71" s="11"/>
    </row>
    <row r="72" spans="1:256" s="10" customFormat="1" ht="17.399999999999999" customHeight="1">
      <c r="A72" s="57">
        <v>243</v>
      </c>
      <c r="B72" s="12" t="s">
        <v>406</v>
      </c>
      <c r="C72" s="8"/>
      <c r="D72" s="8" t="s">
        <v>95</v>
      </c>
      <c r="E72" s="77">
        <v>0</v>
      </c>
      <c r="F72" s="8"/>
      <c r="G72" s="8"/>
      <c r="H72" s="7">
        <v>0</v>
      </c>
      <c r="I72" s="13"/>
      <c r="J72" s="15"/>
      <c r="K72"/>
      <c r="L72" s="8">
        <v>2</v>
      </c>
      <c r="M72"/>
      <c r="N72"/>
      <c r="O72"/>
      <c r="P72"/>
      <c r="Q72"/>
      <c r="R72"/>
      <c r="S72"/>
      <c r="T72"/>
      <c r="U72"/>
      <c r="V72"/>
      <c r="IS72" s="11"/>
      <c r="IT72" s="11"/>
      <c r="IU72" s="11"/>
      <c r="IV72" s="11"/>
    </row>
    <row r="73" spans="1:256" s="10" customFormat="1" ht="17.399999999999999" customHeight="1">
      <c r="A73" s="57"/>
      <c r="B73" s="12" t="s">
        <v>407</v>
      </c>
      <c r="C73" s="8"/>
      <c r="D73" s="8" t="s">
        <v>95</v>
      </c>
      <c r="E73" s="77">
        <v>0</v>
      </c>
      <c r="F73" s="8"/>
      <c r="G73" s="8"/>
      <c r="H73" s="7">
        <v>0</v>
      </c>
      <c r="I73" s="13"/>
      <c r="J73" s="15"/>
      <c r="K73"/>
      <c r="L73" s="8">
        <v>2</v>
      </c>
      <c r="M73"/>
      <c r="N73"/>
      <c r="O73"/>
      <c r="P73"/>
      <c r="Q73"/>
      <c r="R73"/>
      <c r="S73"/>
      <c r="T73"/>
      <c r="U73"/>
      <c r="V73"/>
      <c r="IS73" s="11"/>
      <c r="IT73" s="11"/>
      <c r="IU73" s="11"/>
      <c r="IV73" s="11"/>
    </row>
    <row r="74" spans="1:256" s="10" customFormat="1" ht="17.399999999999999" customHeight="1">
      <c r="A74" s="57"/>
      <c r="B74" s="12" t="s">
        <v>408</v>
      </c>
      <c r="C74" s="8"/>
      <c r="D74" s="8" t="s">
        <v>95</v>
      </c>
      <c r="E74" s="77">
        <v>0</v>
      </c>
      <c r="F74" s="8"/>
      <c r="G74" s="8"/>
      <c r="H74" s="7">
        <v>0</v>
      </c>
      <c r="I74" s="13"/>
      <c r="J74" s="15"/>
      <c r="K74"/>
      <c r="L74" s="8">
        <v>2</v>
      </c>
      <c r="M74"/>
      <c r="N74"/>
      <c r="O74"/>
      <c r="P74"/>
      <c r="Q74"/>
      <c r="R74"/>
      <c r="S74"/>
      <c r="T74"/>
      <c r="U74"/>
      <c r="V74"/>
      <c r="IS74" s="11"/>
      <c r="IT74" s="11"/>
      <c r="IU74" s="11"/>
      <c r="IV74" s="11"/>
    </row>
    <row r="75" spans="1:256" s="10" customFormat="1" ht="17.399999999999999" customHeight="1">
      <c r="A75" s="57"/>
      <c r="B75" s="12" t="s">
        <v>409</v>
      </c>
      <c r="C75" s="8"/>
      <c r="D75" s="8" t="s">
        <v>95</v>
      </c>
      <c r="E75" s="77">
        <v>0</v>
      </c>
      <c r="F75" s="8"/>
      <c r="G75" s="8"/>
      <c r="H75" s="7">
        <v>0</v>
      </c>
      <c r="I75" s="13"/>
      <c r="J75" s="15"/>
      <c r="K75"/>
      <c r="L75" s="8">
        <v>2</v>
      </c>
      <c r="M75"/>
      <c r="N75"/>
      <c r="O75"/>
      <c r="P75"/>
      <c r="Q75"/>
      <c r="R75"/>
      <c r="S75"/>
      <c r="T75"/>
      <c r="U75"/>
      <c r="V75"/>
      <c r="IS75" s="11"/>
      <c r="IT75" s="11"/>
      <c r="IU75" s="11"/>
      <c r="IV75" s="11"/>
    </row>
    <row r="76" spans="1:256" s="10" customFormat="1" ht="17.399999999999999" customHeight="1">
      <c r="A76" s="57">
        <v>103</v>
      </c>
      <c r="B76" s="12" t="s">
        <v>410</v>
      </c>
      <c r="C76" s="8"/>
      <c r="D76" s="8" t="s">
        <v>411</v>
      </c>
      <c r="E76" s="77">
        <v>0</v>
      </c>
      <c r="F76" s="8"/>
      <c r="G76" s="8"/>
      <c r="H76" s="7">
        <v>0</v>
      </c>
      <c r="I76" s="13"/>
      <c r="J76" s="15"/>
      <c r="K76"/>
      <c r="L76" s="8">
        <v>1</v>
      </c>
      <c r="M76"/>
      <c r="N76"/>
      <c r="O76"/>
      <c r="P76"/>
      <c r="Q76"/>
      <c r="R76"/>
      <c r="S76"/>
      <c r="T76"/>
      <c r="U76"/>
      <c r="V76"/>
      <c r="IS76" s="11"/>
      <c r="IT76" s="11"/>
      <c r="IU76" s="11"/>
      <c r="IV76" s="11"/>
    </row>
    <row r="77" spans="1:256" s="10" customFormat="1" ht="17.399999999999999" customHeight="1">
      <c r="A77" s="57">
        <v>1551</v>
      </c>
      <c r="B77" s="12" t="s">
        <v>412</v>
      </c>
      <c r="C77" s="8"/>
      <c r="D77" s="8" t="s">
        <v>95</v>
      </c>
      <c r="E77" s="77">
        <v>0</v>
      </c>
      <c r="F77" s="8"/>
      <c r="G77" s="8"/>
      <c r="H77" s="7">
        <v>0</v>
      </c>
      <c r="I77" s="13"/>
      <c r="J77" s="15"/>
      <c r="K77"/>
      <c r="L77" s="8">
        <v>1</v>
      </c>
      <c r="M77"/>
      <c r="N77"/>
      <c r="O77"/>
      <c r="P77"/>
      <c r="Q77"/>
      <c r="R77"/>
      <c r="S77"/>
      <c r="T77"/>
      <c r="U77"/>
      <c r="V77"/>
      <c r="IS77" s="11"/>
      <c r="IT77" s="11"/>
      <c r="IU77" s="11"/>
      <c r="IV77" s="11"/>
    </row>
    <row r="78" spans="1:256" s="10" customFormat="1" ht="17.399999999999999" customHeight="1">
      <c r="A78" s="57">
        <v>1552</v>
      </c>
      <c r="B78" s="12" t="s">
        <v>413</v>
      </c>
      <c r="C78" s="8"/>
      <c r="D78" s="8" t="s">
        <v>95</v>
      </c>
      <c r="E78" s="77">
        <v>0</v>
      </c>
      <c r="F78" s="8"/>
      <c r="G78" s="8"/>
      <c r="H78" s="7">
        <v>0</v>
      </c>
      <c r="I78" s="13"/>
      <c r="J78" s="15"/>
      <c r="K78"/>
      <c r="L78" s="8">
        <v>1</v>
      </c>
      <c r="M78"/>
      <c r="N78"/>
      <c r="O78"/>
      <c r="P78"/>
      <c r="Q78"/>
      <c r="R78"/>
      <c r="S78"/>
      <c r="T78"/>
      <c r="U78"/>
      <c r="V78"/>
      <c r="IS78" s="11"/>
      <c r="IT78" s="11"/>
      <c r="IU78" s="11"/>
      <c r="IV78" s="11"/>
    </row>
    <row r="79" spans="1:256" s="10" customFormat="1" ht="17.399999999999999" customHeight="1">
      <c r="A79" s="57"/>
      <c r="B79" s="12" t="s">
        <v>414</v>
      </c>
      <c r="C79" s="8"/>
      <c r="D79" s="8" t="s">
        <v>95</v>
      </c>
      <c r="E79" s="77">
        <v>0</v>
      </c>
      <c r="F79" s="8"/>
      <c r="G79" s="8"/>
      <c r="H79" s="7">
        <v>0</v>
      </c>
      <c r="I79" s="13"/>
      <c r="J79" s="15"/>
      <c r="K79"/>
      <c r="L79" s="8">
        <v>2</v>
      </c>
      <c r="M79"/>
      <c r="N79"/>
      <c r="O79"/>
      <c r="P79"/>
      <c r="Q79"/>
      <c r="R79"/>
      <c r="S79"/>
      <c r="T79"/>
      <c r="U79"/>
      <c r="V79"/>
      <c r="IS79" s="11"/>
      <c r="IT79" s="11"/>
      <c r="IU79" s="11"/>
      <c r="IV79" s="11"/>
    </row>
    <row r="80" spans="1:256" s="10" customFormat="1" ht="17.399999999999999" customHeight="1">
      <c r="A80" s="57"/>
      <c r="B80" s="12" t="s">
        <v>415</v>
      </c>
      <c r="C80" s="8"/>
      <c r="D80" s="8" t="s">
        <v>95</v>
      </c>
      <c r="E80" s="77">
        <v>0</v>
      </c>
      <c r="F80" s="8"/>
      <c r="G80" s="8"/>
      <c r="H80" s="7">
        <v>0</v>
      </c>
      <c r="I80" s="13"/>
      <c r="J80" s="15"/>
      <c r="K80"/>
      <c r="L80" s="8">
        <v>4</v>
      </c>
      <c r="M80"/>
      <c r="N80"/>
      <c r="O80"/>
      <c r="P80"/>
      <c r="Q80"/>
      <c r="R80"/>
      <c r="S80"/>
      <c r="T80"/>
      <c r="U80"/>
      <c r="V80"/>
      <c r="IS80" s="11"/>
      <c r="IT80" s="11"/>
      <c r="IU80" s="11"/>
      <c r="IV80" s="11"/>
    </row>
    <row r="81" spans="1:256" s="10" customFormat="1" ht="29.85" customHeight="1">
      <c r="A81" s="57"/>
      <c r="B81" s="20" t="s">
        <v>416</v>
      </c>
      <c r="C81" s="8"/>
      <c r="D81" s="8" t="s">
        <v>95</v>
      </c>
      <c r="E81" s="77">
        <v>0</v>
      </c>
      <c r="F81" s="8"/>
      <c r="G81" s="8"/>
      <c r="H81" s="7">
        <v>0</v>
      </c>
      <c r="I81" s="13"/>
      <c r="J81" s="15"/>
      <c r="K81"/>
      <c r="L81" s="8">
        <v>1</v>
      </c>
      <c r="M81"/>
      <c r="N81"/>
      <c r="O81"/>
      <c r="P81"/>
      <c r="Q81"/>
      <c r="R81"/>
      <c r="S81"/>
      <c r="T81"/>
      <c r="U81"/>
      <c r="V81"/>
      <c r="IS81" s="11"/>
      <c r="IT81" s="11"/>
      <c r="IU81" s="11"/>
      <c r="IV81" s="11"/>
    </row>
    <row r="82" spans="1:256" s="10" customFormat="1" ht="17.399999999999999" customHeight="1">
      <c r="A82" s="57"/>
      <c r="B82" s="20" t="s">
        <v>417</v>
      </c>
      <c r="C82" s="8"/>
      <c r="D82" s="8" t="s">
        <v>95</v>
      </c>
      <c r="E82" s="77">
        <v>0</v>
      </c>
      <c r="F82" s="8"/>
      <c r="G82" s="8"/>
      <c r="H82" s="7">
        <v>0</v>
      </c>
      <c r="I82" s="13"/>
      <c r="J82" s="15"/>
      <c r="K82"/>
      <c r="L82" s="8">
        <v>0</v>
      </c>
      <c r="M82"/>
      <c r="N82"/>
      <c r="O82"/>
      <c r="P82"/>
      <c r="Q82"/>
      <c r="R82"/>
      <c r="S82"/>
      <c r="T82"/>
      <c r="U82"/>
      <c r="V82"/>
      <c r="IS82" s="11"/>
      <c r="IT82" s="11"/>
      <c r="IU82" s="11"/>
      <c r="IV82" s="11"/>
    </row>
    <row r="83" spans="1:256" s="10" customFormat="1" ht="17.399999999999999" customHeight="1">
      <c r="A83" s="57"/>
      <c r="B83" s="20" t="s">
        <v>418</v>
      </c>
      <c r="C83" s="8"/>
      <c r="D83" s="8" t="s">
        <v>95</v>
      </c>
      <c r="E83" s="77">
        <v>0</v>
      </c>
      <c r="F83" s="8"/>
      <c r="G83" s="8"/>
      <c r="H83" s="7">
        <v>0</v>
      </c>
      <c r="I83" s="13"/>
      <c r="J83" s="15"/>
      <c r="K83"/>
      <c r="L83" s="8">
        <v>1</v>
      </c>
      <c r="M83"/>
      <c r="N83"/>
      <c r="O83"/>
      <c r="P83"/>
      <c r="Q83"/>
      <c r="R83"/>
      <c r="S83"/>
      <c r="T83"/>
      <c r="U83"/>
      <c r="V83"/>
      <c r="IS83" s="11"/>
      <c r="IT83" s="11"/>
      <c r="IU83" s="11"/>
      <c r="IV83" s="11"/>
    </row>
    <row r="84" spans="1:256" s="10" customFormat="1" ht="17.399999999999999" customHeight="1">
      <c r="A84" s="57"/>
      <c r="B84" s="20" t="s">
        <v>419</v>
      </c>
      <c r="C84" s="8"/>
      <c r="D84" s="8" t="s">
        <v>95</v>
      </c>
      <c r="E84" s="77">
        <v>0</v>
      </c>
      <c r="F84" s="8"/>
      <c r="G84" s="8"/>
      <c r="H84" s="7">
        <v>0</v>
      </c>
      <c r="I84" s="13"/>
      <c r="J84" s="15"/>
      <c r="K84"/>
      <c r="L84" s="8">
        <v>4</v>
      </c>
      <c r="M84"/>
      <c r="N84"/>
      <c r="O84"/>
      <c r="P84"/>
      <c r="Q84"/>
      <c r="R84"/>
      <c r="S84"/>
      <c r="T84"/>
      <c r="U84"/>
      <c r="V84"/>
      <c r="IS84" s="11"/>
      <c r="IT84" s="11"/>
      <c r="IU84" s="11"/>
      <c r="IV84" s="11"/>
    </row>
    <row r="85" spans="1:256" s="10" customFormat="1" ht="33.9" customHeight="1">
      <c r="A85" s="57">
        <v>2377</v>
      </c>
      <c r="B85" s="20" t="s">
        <v>420</v>
      </c>
      <c r="C85" s="8"/>
      <c r="D85" s="8" t="s">
        <v>234</v>
      </c>
      <c r="E85" s="77">
        <v>0</v>
      </c>
      <c r="F85" s="8">
        <v>200</v>
      </c>
      <c r="G85" s="8">
        <v>0</v>
      </c>
      <c r="H85" s="7">
        <v>200</v>
      </c>
      <c r="I85" s="13"/>
      <c r="J85" s="15"/>
      <c r="K85"/>
      <c r="L85" s="8">
        <v>499</v>
      </c>
      <c r="M85"/>
      <c r="N85"/>
      <c r="O85"/>
      <c r="P85"/>
      <c r="Q85"/>
      <c r="R85"/>
      <c r="S85"/>
      <c r="T85"/>
      <c r="U85"/>
      <c r="V85"/>
      <c r="IS85" s="11"/>
      <c r="IT85" s="11"/>
      <c r="IU85" s="11"/>
      <c r="IV85" s="11"/>
    </row>
    <row r="86" spans="1:256" s="10" customFormat="1" ht="18.600000000000001" customHeight="1">
      <c r="A86" s="57">
        <v>252</v>
      </c>
      <c r="B86" s="20" t="s">
        <v>421</v>
      </c>
      <c r="C86" s="8"/>
      <c r="D86" s="8" t="s">
        <v>95</v>
      </c>
      <c r="E86" s="77">
        <v>0</v>
      </c>
      <c r="F86" s="8"/>
      <c r="G86" s="8"/>
      <c r="H86" s="7">
        <v>0</v>
      </c>
      <c r="I86" s="13"/>
      <c r="J86" s="15"/>
      <c r="K86"/>
      <c r="L86" s="8">
        <v>2</v>
      </c>
      <c r="M86"/>
      <c r="N86"/>
      <c r="O86"/>
      <c r="P86"/>
      <c r="Q86"/>
      <c r="R86"/>
      <c r="S86"/>
      <c r="T86"/>
      <c r="U86"/>
      <c r="V86"/>
      <c r="IS86" s="11"/>
      <c r="IT86" s="11"/>
      <c r="IU86" s="11"/>
      <c r="IV86" s="11"/>
    </row>
    <row r="87" spans="1:256" s="10" customFormat="1" ht="18.600000000000001" customHeight="1">
      <c r="A87" s="57">
        <v>232</v>
      </c>
      <c r="B87" s="20" t="s">
        <v>422</v>
      </c>
      <c r="C87" s="8"/>
      <c r="D87" s="8" t="s">
        <v>95</v>
      </c>
      <c r="E87" s="77">
        <v>0</v>
      </c>
      <c r="F87" s="8"/>
      <c r="G87" s="8"/>
      <c r="H87" s="7">
        <v>0</v>
      </c>
      <c r="I87" s="13"/>
      <c r="J87" s="15"/>
      <c r="K87"/>
      <c r="L87" s="8">
        <v>3</v>
      </c>
      <c r="M87"/>
      <c r="N87"/>
      <c r="O87"/>
      <c r="P87"/>
      <c r="Q87"/>
      <c r="R87"/>
      <c r="S87"/>
      <c r="T87"/>
      <c r="U87"/>
      <c r="V87"/>
      <c r="IS87" s="11"/>
      <c r="IT87" s="11"/>
      <c r="IU87" s="11"/>
      <c r="IV87" s="11"/>
    </row>
    <row r="88" spans="1:256" s="10" customFormat="1" ht="18.600000000000001" customHeight="1">
      <c r="A88" s="57">
        <v>233</v>
      </c>
      <c r="B88" s="20" t="s">
        <v>423</v>
      </c>
      <c r="C88" s="8"/>
      <c r="D88" s="8" t="s">
        <v>95</v>
      </c>
      <c r="E88" s="77">
        <v>0</v>
      </c>
      <c r="F88" s="8"/>
      <c r="G88" s="8"/>
      <c r="H88" s="7">
        <v>0</v>
      </c>
      <c r="I88" s="13"/>
      <c r="J88" s="15"/>
      <c r="K88"/>
      <c r="L88" s="8">
        <v>3</v>
      </c>
      <c r="M88"/>
      <c r="N88"/>
      <c r="O88"/>
      <c r="P88"/>
      <c r="Q88"/>
      <c r="R88"/>
      <c r="S88"/>
      <c r="T88"/>
      <c r="U88"/>
      <c r="V88"/>
      <c r="IS88" s="11"/>
      <c r="IT88" s="11"/>
      <c r="IU88" s="11"/>
      <c r="IV88" s="11"/>
    </row>
    <row r="89" spans="1:256" s="10" customFormat="1" ht="27.6" customHeight="1">
      <c r="A89" s="57"/>
      <c r="B89" s="20" t="s">
        <v>424</v>
      </c>
      <c r="C89" s="8"/>
      <c r="D89" s="8" t="s">
        <v>95</v>
      </c>
      <c r="E89" s="77">
        <v>0</v>
      </c>
      <c r="F89" s="8"/>
      <c r="G89" s="8"/>
      <c r="H89" s="7">
        <v>0</v>
      </c>
      <c r="I89" s="13"/>
      <c r="J89" s="15"/>
      <c r="K89"/>
      <c r="L89" s="8">
        <v>2</v>
      </c>
      <c r="M89"/>
      <c r="N89"/>
      <c r="O89"/>
      <c r="P89"/>
      <c r="Q89"/>
      <c r="R89"/>
      <c r="S89"/>
      <c r="T89"/>
      <c r="U89"/>
      <c r="V89"/>
      <c r="IS89" s="11"/>
      <c r="IT89" s="11"/>
      <c r="IU89" s="11"/>
      <c r="IV89" s="11"/>
    </row>
    <row r="90" spans="1:256" s="10" customFormat="1" ht="20.100000000000001" customHeight="1">
      <c r="A90" s="57"/>
      <c r="B90" s="20" t="s">
        <v>425</v>
      </c>
      <c r="C90" s="8"/>
      <c r="D90" s="8" t="s">
        <v>95</v>
      </c>
      <c r="E90" s="77">
        <v>0</v>
      </c>
      <c r="F90" s="8"/>
      <c r="G90" s="8"/>
      <c r="H90" s="7">
        <v>0</v>
      </c>
      <c r="I90" s="13"/>
      <c r="J90" s="15"/>
      <c r="K90"/>
      <c r="L90" s="8">
        <v>2</v>
      </c>
      <c r="M90"/>
      <c r="N90"/>
      <c r="O90"/>
      <c r="P90"/>
      <c r="Q90"/>
      <c r="R90"/>
      <c r="S90"/>
      <c r="T90"/>
      <c r="U90"/>
      <c r="V90"/>
      <c r="IS90" s="11"/>
      <c r="IT90" s="11"/>
      <c r="IU90" s="11"/>
      <c r="IV90" s="11"/>
    </row>
    <row r="91" spans="1:256" s="10" customFormat="1" ht="20.100000000000001" customHeight="1">
      <c r="A91" s="57"/>
      <c r="B91" s="20" t="s">
        <v>426</v>
      </c>
      <c r="C91" s="8"/>
      <c r="D91" s="8" t="s">
        <v>95</v>
      </c>
      <c r="E91" s="77">
        <v>0</v>
      </c>
      <c r="F91" s="8"/>
      <c r="G91" s="8"/>
      <c r="H91" s="7">
        <v>0</v>
      </c>
      <c r="I91" s="13"/>
      <c r="J91" s="15"/>
      <c r="K91"/>
      <c r="L91" s="8">
        <v>5</v>
      </c>
      <c r="M91"/>
      <c r="N91"/>
      <c r="O91"/>
      <c r="P91"/>
      <c r="Q91"/>
      <c r="R91"/>
      <c r="S91"/>
      <c r="T91"/>
      <c r="U91"/>
      <c r="V91"/>
      <c r="IS91" s="11"/>
      <c r="IT91" s="11"/>
      <c r="IU91" s="11"/>
      <c r="IV91" s="11"/>
    </row>
    <row r="92" spans="1:256" s="10" customFormat="1" ht="20.100000000000001" customHeight="1">
      <c r="A92" s="57">
        <v>241</v>
      </c>
      <c r="B92" s="12" t="s">
        <v>427</v>
      </c>
      <c r="C92" s="8" t="s">
        <v>554</v>
      </c>
      <c r="D92" s="8" t="s">
        <v>95</v>
      </c>
      <c r="E92" s="77">
        <v>0</v>
      </c>
      <c r="F92" s="8"/>
      <c r="G92" s="8"/>
      <c r="H92" s="7">
        <v>0</v>
      </c>
      <c r="I92" s="13"/>
      <c r="J92" s="15"/>
      <c r="K92"/>
      <c r="L92" s="8">
        <v>1</v>
      </c>
      <c r="M92"/>
      <c r="N92"/>
      <c r="O92"/>
      <c r="P92"/>
      <c r="Q92"/>
      <c r="R92"/>
      <c r="S92"/>
      <c r="T92"/>
      <c r="U92"/>
      <c r="V92"/>
      <c r="IS92" s="11"/>
      <c r="IT92" s="11"/>
      <c r="IU92" s="11"/>
      <c r="IV92" s="11"/>
    </row>
    <row r="93" spans="1:256" s="10" customFormat="1" ht="20.100000000000001" customHeight="1">
      <c r="A93" s="57">
        <v>2521</v>
      </c>
      <c r="B93" s="12" t="s">
        <v>428</v>
      </c>
      <c r="C93" s="8"/>
      <c r="D93" s="8" t="s">
        <v>95</v>
      </c>
      <c r="E93" s="77">
        <v>0</v>
      </c>
      <c r="F93" s="8"/>
      <c r="G93" s="8"/>
      <c r="H93" s="7">
        <v>0</v>
      </c>
      <c r="I93" s="13"/>
      <c r="J93" s="15"/>
      <c r="K93"/>
      <c r="L93" s="8">
        <v>0</v>
      </c>
      <c r="M93"/>
      <c r="N93"/>
      <c r="O93"/>
      <c r="P93"/>
      <c r="Q93"/>
      <c r="R93"/>
      <c r="S93"/>
      <c r="T93"/>
      <c r="U93"/>
      <c r="V93"/>
      <c r="IS93" s="11"/>
      <c r="IT93" s="11"/>
      <c r="IU93" s="11"/>
      <c r="IV93" s="11"/>
    </row>
    <row r="94" spans="1:256" s="10" customFormat="1" ht="20.100000000000001" customHeight="1">
      <c r="A94" s="57"/>
      <c r="B94" s="12" t="s">
        <v>429</v>
      </c>
      <c r="C94" s="8"/>
      <c r="D94" s="8" t="s">
        <v>95</v>
      </c>
      <c r="E94" s="77">
        <v>0</v>
      </c>
      <c r="F94" s="8"/>
      <c r="G94" s="8"/>
      <c r="H94" s="7">
        <v>0</v>
      </c>
      <c r="I94" s="13"/>
      <c r="J94" s="15"/>
      <c r="K94"/>
      <c r="L94" s="8">
        <v>3</v>
      </c>
      <c r="M94"/>
      <c r="N94"/>
      <c r="O94"/>
      <c r="P94"/>
      <c r="Q94"/>
      <c r="R94"/>
      <c r="S94"/>
      <c r="T94"/>
      <c r="U94"/>
      <c r="V94"/>
      <c r="IS94" s="11"/>
      <c r="IT94" s="11"/>
      <c r="IU94" s="11"/>
      <c r="IV94" s="11"/>
    </row>
    <row r="95" spans="1:256" s="10" customFormat="1" ht="20.100000000000001" customHeight="1">
      <c r="A95" s="57"/>
      <c r="B95" s="12" t="s">
        <v>430</v>
      </c>
      <c r="C95" s="8"/>
      <c r="D95" s="8" t="s">
        <v>95</v>
      </c>
      <c r="E95" s="77">
        <v>0</v>
      </c>
      <c r="F95" s="8"/>
      <c r="G95" s="8"/>
      <c r="H95" s="7">
        <v>0</v>
      </c>
      <c r="I95" s="13"/>
      <c r="J95" s="15"/>
      <c r="K95"/>
      <c r="L95" s="8">
        <v>7</v>
      </c>
      <c r="M95"/>
      <c r="N95"/>
      <c r="O95"/>
      <c r="P95"/>
      <c r="Q95"/>
      <c r="R95"/>
      <c r="S95"/>
      <c r="T95"/>
      <c r="U95"/>
      <c r="V95"/>
      <c r="IS95" s="11"/>
      <c r="IT95" s="11"/>
      <c r="IU95" s="11"/>
      <c r="IV95" s="11"/>
    </row>
    <row r="96" spans="1:256" s="10" customFormat="1" ht="20.100000000000001" customHeight="1">
      <c r="A96" s="57">
        <v>2508</v>
      </c>
      <c r="B96" s="12" t="s">
        <v>431</v>
      </c>
      <c r="C96" s="8"/>
      <c r="D96" s="8" t="s">
        <v>95</v>
      </c>
      <c r="E96" s="77">
        <v>0</v>
      </c>
      <c r="F96" s="8"/>
      <c r="G96" s="8"/>
      <c r="H96" s="7">
        <v>0</v>
      </c>
      <c r="I96" s="13"/>
      <c r="J96" s="15"/>
      <c r="K96"/>
      <c r="L96" s="8">
        <v>2</v>
      </c>
      <c r="M96"/>
      <c r="N96"/>
      <c r="O96"/>
      <c r="P96"/>
      <c r="Q96"/>
      <c r="R96"/>
      <c r="S96"/>
      <c r="T96"/>
      <c r="U96"/>
      <c r="V96"/>
      <c r="IS96" s="11"/>
      <c r="IT96" s="11"/>
      <c r="IU96" s="11"/>
      <c r="IV96" s="11"/>
    </row>
    <row r="97" spans="1:256" s="10" customFormat="1" ht="20.100000000000001" customHeight="1">
      <c r="A97" s="57"/>
      <c r="B97" s="12" t="s">
        <v>432</v>
      </c>
      <c r="C97" s="8"/>
      <c r="D97" s="8" t="s">
        <v>95</v>
      </c>
      <c r="E97" s="77">
        <v>0</v>
      </c>
      <c r="F97" s="8"/>
      <c r="G97" s="8"/>
      <c r="H97" s="7">
        <v>0</v>
      </c>
      <c r="I97" s="13"/>
      <c r="J97" s="15"/>
      <c r="K97"/>
      <c r="L97" s="8">
        <v>5</v>
      </c>
      <c r="M97"/>
      <c r="N97"/>
      <c r="O97"/>
      <c r="P97"/>
      <c r="Q97"/>
      <c r="R97"/>
      <c r="S97"/>
      <c r="T97"/>
      <c r="U97"/>
      <c r="V97"/>
      <c r="IS97" s="11"/>
      <c r="IT97" s="11"/>
      <c r="IU97" s="11"/>
      <c r="IV97" s="11"/>
    </row>
    <row r="98" spans="1:256" s="10" customFormat="1" ht="17.399999999999999" customHeight="1">
      <c r="A98" s="483" t="s">
        <v>436</v>
      </c>
      <c r="B98" s="483"/>
      <c r="C98" s="8"/>
      <c r="D98" s="8"/>
      <c r="E98" s="77"/>
      <c r="F98" s="8"/>
      <c r="G98" s="8"/>
      <c r="H98" s="7">
        <v>0</v>
      </c>
      <c r="I98" s="13">
        <f>H98*0.9</f>
        <v>0</v>
      </c>
      <c r="J98" s="13">
        <f>H98*0.1</f>
        <v>0</v>
      </c>
      <c r="K98" s="14"/>
      <c r="L98" s="8"/>
      <c r="M98"/>
      <c r="N98"/>
      <c r="O98"/>
      <c r="P98"/>
      <c r="Q98"/>
      <c r="R98"/>
      <c r="S98"/>
      <c r="T98"/>
      <c r="U98"/>
      <c r="V98"/>
      <c r="IS98" s="11"/>
      <c r="IT98" s="11"/>
      <c r="IU98" s="11"/>
      <c r="IV98" s="11"/>
    </row>
    <row r="99" spans="1:256" s="10" customFormat="1" ht="17.399999999999999" customHeight="1">
      <c r="A99" s="57">
        <v>300</v>
      </c>
      <c r="B99" s="12" t="s">
        <v>635</v>
      </c>
      <c r="C99" s="8" t="s">
        <v>578</v>
      </c>
      <c r="D99" s="8" t="s">
        <v>101</v>
      </c>
      <c r="E99" s="77">
        <v>2</v>
      </c>
      <c r="F99" s="8"/>
      <c r="G99" s="8"/>
      <c r="H99" s="7">
        <v>2</v>
      </c>
      <c r="I99" s="13">
        <f>H99*0.9</f>
        <v>1.8</v>
      </c>
      <c r="J99" s="15"/>
      <c r="K99" s="16"/>
      <c r="L99" s="8">
        <v>0</v>
      </c>
      <c r="M99"/>
      <c r="N99"/>
      <c r="O99"/>
      <c r="P99"/>
      <c r="Q99"/>
      <c r="R99"/>
      <c r="S99"/>
      <c r="T99"/>
      <c r="U99"/>
      <c r="V99"/>
      <c r="IS99" s="11"/>
      <c r="IT99" s="11"/>
      <c r="IU99" s="11"/>
      <c r="IV99" s="11"/>
    </row>
    <row r="100" spans="1:256" s="10" customFormat="1" ht="17.399999999999999" customHeight="1">
      <c r="A100" s="57">
        <v>301</v>
      </c>
      <c r="B100" s="12" t="s">
        <v>438</v>
      </c>
      <c r="C100" s="8" t="s">
        <v>578</v>
      </c>
      <c r="D100" s="8" t="s">
        <v>234</v>
      </c>
      <c r="E100" s="77">
        <v>0</v>
      </c>
      <c r="F100" s="8">
        <v>0</v>
      </c>
      <c r="G100" s="8">
        <v>0</v>
      </c>
      <c r="H100" s="7">
        <v>0</v>
      </c>
      <c r="I100" s="13">
        <f>H100*0.9</f>
        <v>0</v>
      </c>
      <c r="J100" s="15"/>
      <c r="K100" s="16"/>
      <c r="L100" s="8">
        <v>0</v>
      </c>
      <c r="M100"/>
      <c r="N100"/>
      <c r="O100"/>
      <c r="P100"/>
      <c r="Q100"/>
      <c r="R100"/>
      <c r="S100"/>
      <c r="T100"/>
      <c r="U100"/>
      <c r="V100"/>
      <c r="IS100" s="11"/>
      <c r="IT100" s="11"/>
      <c r="IU100" s="11"/>
      <c r="IV100" s="11"/>
    </row>
    <row r="101" spans="1:256" s="10" customFormat="1" ht="17.399999999999999" customHeight="1">
      <c r="A101" s="57">
        <v>305</v>
      </c>
      <c r="B101" s="12" t="s">
        <v>439</v>
      </c>
      <c r="C101" s="8" t="s">
        <v>578</v>
      </c>
      <c r="D101" s="8" t="s">
        <v>98</v>
      </c>
      <c r="E101" s="77">
        <v>38</v>
      </c>
      <c r="F101" s="8"/>
      <c r="G101" s="8"/>
      <c r="H101" s="7">
        <v>38</v>
      </c>
      <c r="I101" s="13">
        <f>H101*0.9</f>
        <v>34.200000000000003</v>
      </c>
      <c r="J101" s="15"/>
      <c r="K101" s="16"/>
      <c r="L101" s="8">
        <v>7</v>
      </c>
      <c r="M101"/>
      <c r="N101"/>
      <c r="O101"/>
      <c r="P101"/>
      <c r="Q101"/>
      <c r="R101"/>
      <c r="S101"/>
      <c r="T101"/>
      <c r="U101"/>
      <c r="V101"/>
      <c r="IS101" s="11"/>
      <c r="IT101" s="11"/>
      <c r="IU101" s="11"/>
      <c r="IV101" s="11"/>
    </row>
    <row r="102" spans="1:256" s="10" customFormat="1" ht="17.399999999999999" customHeight="1">
      <c r="A102" s="57">
        <v>307</v>
      </c>
      <c r="B102" s="12" t="s">
        <v>440</v>
      </c>
      <c r="C102" s="8"/>
      <c r="D102" s="8" t="s">
        <v>98</v>
      </c>
      <c r="E102" s="77">
        <v>1</v>
      </c>
      <c r="F102" s="8"/>
      <c r="G102" s="8"/>
      <c r="H102" s="7">
        <v>1</v>
      </c>
      <c r="I102" s="13"/>
      <c r="J102" s="15"/>
      <c r="K102" s="16"/>
      <c r="L102" s="8">
        <v>2</v>
      </c>
      <c r="M102"/>
      <c r="N102"/>
      <c r="O102"/>
      <c r="P102"/>
      <c r="Q102"/>
      <c r="R102"/>
      <c r="S102"/>
      <c r="T102"/>
      <c r="U102"/>
      <c r="V102"/>
      <c r="IS102" s="11"/>
      <c r="IT102" s="11"/>
      <c r="IU102" s="11"/>
      <c r="IV102" s="11"/>
    </row>
    <row r="103" spans="1:256" s="10" customFormat="1" ht="17.399999999999999" customHeight="1">
      <c r="A103" s="57">
        <v>308</v>
      </c>
      <c r="B103" s="12" t="s">
        <v>441</v>
      </c>
      <c r="C103" s="8"/>
      <c r="D103" s="8" t="s">
        <v>442</v>
      </c>
      <c r="E103" s="77">
        <v>0</v>
      </c>
      <c r="F103" s="8"/>
      <c r="G103" s="8"/>
      <c r="H103" s="7">
        <v>0</v>
      </c>
      <c r="I103" s="13">
        <f t="shared" ref="I103:I108" si="2">H103*0.9</f>
        <v>0</v>
      </c>
      <c r="J103" s="15"/>
      <c r="K103" s="16"/>
      <c r="L103" s="8">
        <v>0</v>
      </c>
      <c r="M103"/>
      <c r="N103"/>
      <c r="O103"/>
      <c r="P103"/>
      <c r="Q103"/>
      <c r="R103"/>
      <c r="S103"/>
      <c r="T103"/>
      <c r="U103"/>
      <c r="V103"/>
      <c r="IS103" s="11"/>
      <c r="IT103" s="11"/>
      <c r="IU103" s="11"/>
      <c r="IV103" s="11"/>
    </row>
    <row r="104" spans="1:256" s="10" customFormat="1" ht="17.399999999999999" customHeight="1">
      <c r="A104" s="57">
        <v>309</v>
      </c>
      <c r="B104" s="12" t="s">
        <v>443</v>
      </c>
      <c r="C104" s="8"/>
      <c r="D104" s="8" t="s">
        <v>444</v>
      </c>
      <c r="E104" s="77">
        <v>30</v>
      </c>
      <c r="F104" s="8"/>
      <c r="G104" s="8">
        <v>30</v>
      </c>
      <c r="H104" s="7">
        <v>0</v>
      </c>
      <c r="I104" s="13">
        <f t="shared" si="2"/>
        <v>0</v>
      </c>
      <c r="J104" s="15"/>
      <c r="K104" s="16"/>
      <c r="L104" s="8">
        <v>0</v>
      </c>
      <c r="M104"/>
      <c r="N104"/>
      <c r="O104"/>
      <c r="P104"/>
      <c r="Q104"/>
      <c r="R104"/>
      <c r="S104"/>
      <c r="T104"/>
      <c r="U104"/>
      <c r="V104"/>
      <c r="IS104" s="11"/>
      <c r="IT104" s="11"/>
      <c r="IU104" s="11"/>
      <c r="IV104" s="11"/>
    </row>
    <row r="105" spans="1:256" s="10" customFormat="1" ht="17.399999999999999" customHeight="1">
      <c r="A105" s="57">
        <v>310</v>
      </c>
      <c r="B105" s="12" t="s">
        <v>30</v>
      </c>
      <c r="C105" s="8" t="s">
        <v>578</v>
      </c>
      <c r="D105" s="8" t="s">
        <v>98</v>
      </c>
      <c r="E105" s="77">
        <v>8</v>
      </c>
      <c r="F105" s="8"/>
      <c r="G105" s="8"/>
      <c r="H105" s="7">
        <v>8</v>
      </c>
      <c r="I105" s="13">
        <f t="shared" si="2"/>
        <v>7.2</v>
      </c>
      <c r="J105" s="15"/>
      <c r="K105" s="16"/>
      <c r="L105" s="8">
        <v>38</v>
      </c>
      <c r="M105"/>
      <c r="N105"/>
      <c r="O105"/>
      <c r="P105"/>
      <c r="Q105"/>
      <c r="R105"/>
      <c r="S105"/>
      <c r="T105"/>
      <c r="U105"/>
      <c r="V105"/>
      <c r="IS105" s="11"/>
      <c r="IT105" s="11"/>
      <c r="IU105" s="11"/>
      <c r="IV105" s="11"/>
    </row>
    <row r="106" spans="1:256" s="10" customFormat="1" ht="17.399999999999999" customHeight="1">
      <c r="A106" s="57">
        <v>311</v>
      </c>
      <c r="B106" s="12" t="s">
        <v>445</v>
      </c>
      <c r="C106" s="8"/>
      <c r="D106" s="8" t="s">
        <v>446</v>
      </c>
      <c r="E106" s="77">
        <v>0</v>
      </c>
      <c r="F106" s="8"/>
      <c r="G106" s="8"/>
      <c r="H106" s="7">
        <v>0</v>
      </c>
      <c r="I106" s="13">
        <f t="shared" si="2"/>
        <v>0</v>
      </c>
      <c r="J106" s="15"/>
      <c r="K106" s="16"/>
      <c r="L106" s="8">
        <v>1</v>
      </c>
      <c r="M106"/>
      <c r="N106"/>
      <c r="O106"/>
      <c r="P106"/>
      <c r="Q106"/>
      <c r="R106"/>
      <c r="S106"/>
      <c r="T106"/>
      <c r="U106"/>
      <c r="V106"/>
      <c r="IS106" s="11"/>
      <c r="IT106" s="11"/>
      <c r="IU106" s="11"/>
      <c r="IV106" s="11"/>
    </row>
    <row r="107" spans="1:256" s="10" customFormat="1" ht="17.399999999999999" customHeight="1">
      <c r="A107" s="57">
        <v>313</v>
      </c>
      <c r="B107" s="12" t="s">
        <v>447</v>
      </c>
      <c r="C107" s="8" t="s">
        <v>578</v>
      </c>
      <c r="D107" s="8" t="s">
        <v>448</v>
      </c>
      <c r="E107" s="77">
        <v>0</v>
      </c>
      <c r="F107" s="8"/>
      <c r="G107" s="8"/>
      <c r="H107" s="7">
        <v>0</v>
      </c>
      <c r="I107" s="13">
        <f t="shared" si="2"/>
        <v>0</v>
      </c>
      <c r="J107" s="15"/>
      <c r="K107" s="16"/>
      <c r="L107" s="8">
        <v>0</v>
      </c>
      <c r="M107"/>
      <c r="N107"/>
      <c r="O107"/>
      <c r="P107"/>
      <c r="Q107"/>
      <c r="R107"/>
      <c r="S107"/>
      <c r="T107"/>
      <c r="U107"/>
      <c r="V107"/>
      <c r="IS107" s="11"/>
      <c r="IT107" s="11"/>
      <c r="IU107" s="11"/>
      <c r="IV107" s="11"/>
    </row>
    <row r="108" spans="1:256" s="10" customFormat="1" ht="17.399999999999999" customHeight="1">
      <c r="A108" s="57">
        <v>333</v>
      </c>
      <c r="B108" s="12" t="s">
        <v>449</v>
      </c>
      <c r="C108" s="8" t="s">
        <v>578</v>
      </c>
      <c r="D108" s="8" t="s">
        <v>234</v>
      </c>
      <c r="E108" s="77">
        <v>0</v>
      </c>
      <c r="F108" s="8"/>
      <c r="G108" s="8"/>
      <c r="H108" s="7">
        <v>0</v>
      </c>
      <c r="I108" s="13">
        <f t="shared" si="2"/>
        <v>0</v>
      </c>
      <c r="J108" s="15"/>
      <c r="K108" s="16"/>
      <c r="L108" s="8">
        <v>5</v>
      </c>
      <c r="M108"/>
      <c r="N108"/>
      <c r="O108"/>
      <c r="P108"/>
      <c r="Q108"/>
      <c r="R108"/>
      <c r="S108"/>
      <c r="T108"/>
      <c r="U108"/>
      <c r="V108"/>
      <c r="IS108" s="11"/>
      <c r="IT108" s="11"/>
      <c r="IU108" s="11"/>
      <c r="IV108" s="11"/>
    </row>
    <row r="109" spans="1:256" s="10" customFormat="1" ht="17.399999999999999" customHeight="1">
      <c r="A109" s="57">
        <v>335</v>
      </c>
      <c r="B109" s="12" t="s">
        <v>450</v>
      </c>
      <c r="C109" s="8"/>
      <c r="D109" s="8" t="s">
        <v>234</v>
      </c>
      <c r="E109" s="77">
        <v>0</v>
      </c>
      <c r="F109" s="8"/>
      <c r="G109" s="8"/>
      <c r="H109" s="7">
        <v>0</v>
      </c>
      <c r="I109" s="13"/>
      <c r="J109" s="15"/>
      <c r="K109" s="16"/>
      <c r="L109" s="8">
        <v>0</v>
      </c>
      <c r="M109"/>
      <c r="N109"/>
      <c r="O109"/>
      <c r="P109"/>
      <c r="Q109"/>
      <c r="R109"/>
      <c r="S109"/>
      <c r="T109"/>
      <c r="U109"/>
      <c r="V109"/>
      <c r="IS109" s="11"/>
      <c r="IT109" s="11"/>
      <c r="IU109" s="11"/>
      <c r="IV109" s="11"/>
    </row>
    <row r="110" spans="1:256" s="10" customFormat="1" ht="17.399999999999999" customHeight="1">
      <c r="A110" s="57">
        <v>337</v>
      </c>
      <c r="B110" s="12" t="s">
        <v>451</v>
      </c>
      <c r="C110" s="8" t="s">
        <v>578</v>
      </c>
      <c r="D110" s="8" t="s">
        <v>234</v>
      </c>
      <c r="E110" s="77">
        <v>0</v>
      </c>
      <c r="F110" s="8">
        <v>150</v>
      </c>
      <c r="G110" s="8">
        <v>50</v>
      </c>
      <c r="H110" s="7">
        <v>100</v>
      </c>
      <c r="I110" s="13">
        <f t="shared" ref="I110:I118" si="3">H110*0.9</f>
        <v>90</v>
      </c>
      <c r="J110" s="15"/>
      <c r="K110" s="16"/>
      <c r="L110" s="8">
        <v>0</v>
      </c>
      <c r="M110"/>
      <c r="N110"/>
      <c r="O110"/>
      <c r="P110"/>
      <c r="Q110"/>
      <c r="R110"/>
      <c r="S110"/>
      <c r="T110"/>
      <c r="U110"/>
      <c r="V110"/>
      <c r="IS110" s="11"/>
      <c r="IT110" s="11"/>
      <c r="IU110" s="11"/>
      <c r="IV110" s="11"/>
    </row>
    <row r="111" spans="1:256" s="10" customFormat="1" ht="17.399999999999999" customHeight="1">
      <c r="A111" s="57">
        <v>337</v>
      </c>
      <c r="B111" s="12" t="s">
        <v>452</v>
      </c>
      <c r="C111" s="8" t="s">
        <v>578</v>
      </c>
      <c r="D111" s="8" t="s">
        <v>234</v>
      </c>
      <c r="E111" s="77">
        <v>0</v>
      </c>
      <c r="F111" s="8"/>
      <c r="G111" s="8"/>
      <c r="H111" s="7">
        <v>0</v>
      </c>
      <c r="I111" s="13">
        <f t="shared" si="3"/>
        <v>0</v>
      </c>
      <c r="J111" s="15"/>
      <c r="K111" s="16"/>
      <c r="L111" s="8">
        <v>0</v>
      </c>
      <c r="M111"/>
      <c r="N111"/>
      <c r="O111"/>
      <c r="P111"/>
      <c r="Q111"/>
      <c r="R111"/>
      <c r="S111"/>
      <c r="T111"/>
      <c r="U111"/>
      <c r="V111"/>
      <c r="IS111" s="11"/>
      <c r="IT111" s="11"/>
      <c r="IU111" s="11"/>
      <c r="IV111" s="11"/>
    </row>
    <row r="112" spans="1:256" s="10" customFormat="1" ht="17.399999999999999" customHeight="1">
      <c r="A112" s="57">
        <v>338</v>
      </c>
      <c r="B112" s="12" t="s">
        <v>453</v>
      </c>
      <c r="C112" s="8" t="s">
        <v>578</v>
      </c>
      <c r="D112" s="8" t="s">
        <v>234</v>
      </c>
      <c r="E112" s="77">
        <v>20</v>
      </c>
      <c r="F112" s="8"/>
      <c r="G112" s="8">
        <v>20</v>
      </c>
      <c r="H112" s="7">
        <v>0</v>
      </c>
      <c r="I112" s="13">
        <f t="shared" si="3"/>
        <v>0</v>
      </c>
      <c r="J112" s="15"/>
      <c r="K112" s="16"/>
      <c r="L112" s="8">
        <v>25</v>
      </c>
      <c r="M112"/>
      <c r="N112"/>
      <c r="O112"/>
      <c r="P112"/>
      <c r="Q112"/>
      <c r="R112"/>
      <c r="S112"/>
      <c r="T112"/>
      <c r="U112"/>
      <c r="V112"/>
      <c r="IS112" s="11"/>
      <c r="IT112" s="11"/>
      <c r="IU112" s="11"/>
      <c r="IV112" s="11"/>
    </row>
    <row r="113" spans="1:256" s="10" customFormat="1" ht="17.399999999999999" customHeight="1">
      <c r="A113" s="57">
        <v>339</v>
      </c>
      <c r="B113" s="12" t="s">
        <v>454</v>
      </c>
      <c r="C113" s="8" t="s">
        <v>578</v>
      </c>
      <c r="D113" s="8" t="s">
        <v>234</v>
      </c>
      <c r="E113" s="77">
        <v>0</v>
      </c>
      <c r="F113" s="8"/>
      <c r="G113" s="8"/>
      <c r="H113" s="7">
        <v>0</v>
      </c>
      <c r="I113" s="13">
        <f t="shared" si="3"/>
        <v>0</v>
      </c>
      <c r="J113" s="15"/>
      <c r="K113" s="16"/>
      <c r="L113" s="8">
        <v>0</v>
      </c>
      <c r="M113"/>
      <c r="N113"/>
      <c r="O113"/>
      <c r="P113"/>
      <c r="Q113"/>
      <c r="R113"/>
      <c r="S113"/>
      <c r="T113"/>
      <c r="U113"/>
      <c r="V113"/>
      <c r="IS113" s="11"/>
      <c r="IT113" s="11"/>
      <c r="IU113" s="11"/>
      <c r="IV113" s="11"/>
    </row>
    <row r="114" spans="1:256" s="10" customFormat="1" ht="17.399999999999999" customHeight="1">
      <c r="A114" s="57">
        <v>340</v>
      </c>
      <c r="B114" s="12" t="s">
        <v>23</v>
      </c>
      <c r="C114" s="8" t="s">
        <v>578</v>
      </c>
      <c r="D114" s="8" t="s">
        <v>234</v>
      </c>
      <c r="E114" s="77">
        <v>15</v>
      </c>
      <c r="F114" s="8"/>
      <c r="G114" s="8">
        <v>15</v>
      </c>
      <c r="H114" s="7">
        <v>0</v>
      </c>
      <c r="I114" s="13">
        <f t="shared" si="3"/>
        <v>0</v>
      </c>
      <c r="J114" s="15"/>
      <c r="K114" s="16"/>
      <c r="L114" s="8">
        <v>4</v>
      </c>
      <c r="M114"/>
      <c r="N114"/>
      <c r="O114"/>
      <c r="P114"/>
      <c r="Q114"/>
      <c r="R114"/>
      <c r="S114"/>
      <c r="T114"/>
      <c r="U114"/>
      <c r="V114"/>
      <c r="IS114" s="11"/>
      <c r="IT114" s="11"/>
      <c r="IU114" s="11"/>
      <c r="IV114" s="11"/>
    </row>
    <row r="115" spans="1:256" s="10" customFormat="1" ht="17.399999999999999" customHeight="1">
      <c r="A115" s="57">
        <v>341</v>
      </c>
      <c r="B115" s="12" t="s">
        <v>455</v>
      </c>
      <c r="C115" s="8" t="s">
        <v>578</v>
      </c>
      <c r="D115" s="8" t="s">
        <v>234</v>
      </c>
      <c r="E115" s="77">
        <v>0</v>
      </c>
      <c r="F115" s="8"/>
      <c r="G115" s="8"/>
      <c r="H115" s="7">
        <v>0</v>
      </c>
      <c r="I115" s="13">
        <f t="shared" si="3"/>
        <v>0</v>
      </c>
      <c r="J115" s="15"/>
      <c r="K115" s="16"/>
      <c r="L115" s="8">
        <v>0</v>
      </c>
      <c r="M115"/>
      <c r="N115"/>
      <c r="O115"/>
      <c r="P115"/>
      <c r="Q115"/>
      <c r="R115"/>
      <c r="S115"/>
      <c r="T115"/>
      <c r="U115"/>
      <c r="V115"/>
      <c r="IS115" s="11"/>
      <c r="IT115" s="11"/>
      <c r="IU115" s="11"/>
      <c r="IV115" s="11"/>
    </row>
    <row r="116" spans="1:256" s="10" customFormat="1" ht="17.399999999999999" customHeight="1">
      <c r="A116" s="57">
        <v>342</v>
      </c>
      <c r="B116" s="12" t="s">
        <v>456</v>
      </c>
      <c r="C116" s="8"/>
      <c r="D116" s="8" t="s">
        <v>234</v>
      </c>
      <c r="E116" s="77">
        <v>0</v>
      </c>
      <c r="F116" s="8">
        <v>0</v>
      </c>
      <c r="G116" s="8">
        <v>0</v>
      </c>
      <c r="H116" s="7">
        <v>0</v>
      </c>
      <c r="I116" s="13">
        <f t="shared" si="3"/>
        <v>0</v>
      </c>
      <c r="J116" s="15"/>
      <c r="K116" s="16"/>
      <c r="L116" s="8">
        <v>4</v>
      </c>
      <c r="M116"/>
      <c r="N116"/>
      <c r="O116"/>
      <c r="P116"/>
      <c r="Q116"/>
      <c r="R116"/>
      <c r="S116"/>
      <c r="T116"/>
      <c r="U116"/>
      <c r="V116"/>
      <c r="IS116" s="11"/>
      <c r="IT116" s="11"/>
      <c r="IU116" s="11"/>
      <c r="IV116" s="11"/>
    </row>
    <row r="117" spans="1:256" s="10" customFormat="1" ht="17.399999999999999" customHeight="1">
      <c r="A117" s="57">
        <v>344</v>
      </c>
      <c r="B117" s="12" t="s">
        <v>457</v>
      </c>
      <c r="C117" s="8"/>
      <c r="D117" s="8" t="s">
        <v>446</v>
      </c>
      <c r="E117" s="77">
        <v>0</v>
      </c>
      <c r="F117" s="8"/>
      <c r="G117" s="8"/>
      <c r="H117" s="7">
        <v>0</v>
      </c>
      <c r="I117" s="13">
        <f t="shared" si="3"/>
        <v>0</v>
      </c>
      <c r="J117" s="15"/>
      <c r="K117" s="16"/>
      <c r="L117" s="8">
        <v>0</v>
      </c>
      <c r="M117"/>
      <c r="N117"/>
      <c r="O117"/>
      <c r="P117"/>
      <c r="Q117"/>
      <c r="R117"/>
      <c r="S117"/>
      <c r="T117"/>
      <c r="U117"/>
      <c r="V117"/>
      <c r="IS117" s="11"/>
      <c r="IT117" s="11"/>
      <c r="IU117" s="11"/>
      <c r="IV117" s="11"/>
    </row>
    <row r="118" spans="1:256" s="10" customFormat="1" ht="17.399999999999999" customHeight="1">
      <c r="A118" s="57">
        <v>346</v>
      </c>
      <c r="B118" s="12" t="s">
        <v>458</v>
      </c>
      <c r="C118" s="8"/>
      <c r="D118" s="8" t="s">
        <v>446</v>
      </c>
      <c r="E118" s="77">
        <v>0</v>
      </c>
      <c r="F118" s="8"/>
      <c r="G118" s="8"/>
      <c r="H118" s="7">
        <v>0</v>
      </c>
      <c r="I118" s="13">
        <f t="shared" si="3"/>
        <v>0</v>
      </c>
      <c r="J118" s="15"/>
      <c r="K118" s="16"/>
      <c r="L118" s="8">
        <v>0</v>
      </c>
      <c r="M118"/>
      <c r="N118"/>
      <c r="O118"/>
      <c r="P118"/>
      <c r="Q118"/>
      <c r="R118"/>
      <c r="S118"/>
      <c r="T118"/>
      <c r="U118"/>
      <c r="V118"/>
      <c r="IS118" s="11"/>
      <c r="IT118" s="11"/>
      <c r="IU118" s="11"/>
      <c r="IV118" s="11"/>
    </row>
    <row r="119" spans="1:256" s="10" customFormat="1" ht="17.399999999999999" customHeight="1">
      <c r="A119" s="57">
        <v>2186</v>
      </c>
      <c r="B119" s="12" t="s">
        <v>459</v>
      </c>
      <c r="C119" s="8"/>
      <c r="D119" s="8" t="s">
        <v>101</v>
      </c>
      <c r="E119" s="77">
        <v>0</v>
      </c>
      <c r="F119" s="8"/>
      <c r="G119" s="8"/>
      <c r="H119" s="7">
        <v>0</v>
      </c>
      <c r="I119" s="13"/>
      <c r="J119" s="15"/>
      <c r="K119" s="16"/>
      <c r="L119" s="8">
        <v>3</v>
      </c>
      <c r="M119"/>
      <c r="N119"/>
      <c r="O119"/>
      <c r="P119"/>
      <c r="Q119"/>
      <c r="R119"/>
      <c r="S119"/>
      <c r="T119"/>
      <c r="U119"/>
      <c r="V119"/>
      <c r="IS119" s="11"/>
      <c r="IT119" s="11"/>
      <c r="IU119" s="11"/>
      <c r="IV119" s="11"/>
    </row>
    <row r="120" spans="1:256" s="10" customFormat="1" ht="17.399999999999999" customHeight="1">
      <c r="A120" s="57">
        <v>1972</v>
      </c>
      <c r="B120" s="12" t="s">
        <v>460</v>
      </c>
      <c r="C120" s="8" t="s">
        <v>578</v>
      </c>
      <c r="D120" s="8" t="s">
        <v>446</v>
      </c>
      <c r="E120" s="77">
        <v>0</v>
      </c>
      <c r="F120" s="8"/>
      <c r="G120" s="8"/>
      <c r="H120" s="7">
        <v>0</v>
      </c>
      <c r="I120" s="13">
        <f>H120*0.9</f>
        <v>0</v>
      </c>
      <c r="J120" s="15"/>
      <c r="K120" s="16"/>
      <c r="L120" s="8">
        <v>0</v>
      </c>
      <c r="M120"/>
      <c r="N120"/>
      <c r="O120"/>
      <c r="P120"/>
      <c r="Q120"/>
      <c r="R120"/>
      <c r="S120"/>
      <c r="T120"/>
      <c r="U120"/>
      <c r="V120"/>
      <c r="IS120" s="11"/>
      <c r="IT120" s="11"/>
      <c r="IU120" s="11"/>
      <c r="IV120" s="11"/>
    </row>
    <row r="121" spans="1:256" s="10" customFormat="1" ht="17.399999999999999" customHeight="1">
      <c r="A121" s="57">
        <v>2136</v>
      </c>
      <c r="B121" s="12" t="s">
        <v>461</v>
      </c>
      <c r="C121" s="8" t="s">
        <v>578</v>
      </c>
      <c r="D121" s="8" t="s">
        <v>462</v>
      </c>
      <c r="E121" s="77">
        <v>31</v>
      </c>
      <c r="F121" s="8"/>
      <c r="G121" s="8"/>
      <c r="H121" s="7">
        <v>31</v>
      </c>
      <c r="I121" s="13">
        <f>H121*0.9</f>
        <v>27.900000000000002</v>
      </c>
      <c r="J121" s="15"/>
      <c r="K121" s="16"/>
      <c r="L121" s="8">
        <v>0</v>
      </c>
      <c r="M121"/>
      <c r="N121"/>
      <c r="O121"/>
      <c r="P121"/>
      <c r="Q121"/>
      <c r="R121"/>
      <c r="S121"/>
      <c r="T121"/>
      <c r="U121"/>
      <c r="V121"/>
      <c r="IS121" s="11"/>
      <c r="IT121" s="11"/>
      <c r="IU121" s="11"/>
      <c r="IV121" s="11"/>
    </row>
    <row r="122" spans="1:256" s="10" customFormat="1" ht="17.399999999999999" customHeight="1">
      <c r="A122" s="57">
        <v>336</v>
      </c>
      <c r="B122" s="12" t="s">
        <v>463</v>
      </c>
      <c r="C122" s="8"/>
      <c r="D122" s="8" t="s">
        <v>234</v>
      </c>
      <c r="E122" s="77">
        <v>0</v>
      </c>
      <c r="F122" s="8"/>
      <c r="G122" s="8"/>
      <c r="H122" s="7">
        <v>0</v>
      </c>
      <c r="I122" s="13"/>
      <c r="J122" s="15"/>
      <c r="K122" s="16"/>
      <c r="L122" s="8">
        <v>8</v>
      </c>
      <c r="M122"/>
      <c r="N122"/>
      <c r="O122"/>
      <c r="P122"/>
      <c r="Q122"/>
      <c r="R122"/>
      <c r="S122"/>
      <c r="T122"/>
      <c r="U122"/>
      <c r="V122"/>
      <c r="IS122" s="11"/>
      <c r="IT122" s="11"/>
      <c r="IU122" s="11"/>
      <c r="IV122" s="11"/>
    </row>
    <row r="123" spans="1:256" s="10" customFormat="1" ht="17.399999999999999" customHeight="1">
      <c r="A123" s="57">
        <v>312</v>
      </c>
      <c r="B123" s="12" t="s">
        <v>464</v>
      </c>
      <c r="C123" s="8"/>
      <c r="D123" s="8" t="s">
        <v>446</v>
      </c>
      <c r="E123" s="78">
        <v>0</v>
      </c>
      <c r="F123" s="8"/>
      <c r="G123" s="8"/>
      <c r="H123" s="7">
        <v>0</v>
      </c>
      <c r="I123" s="13"/>
      <c r="J123" s="15"/>
      <c r="K123" s="16"/>
      <c r="L123" s="8">
        <v>0</v>
      </c>
      <c r="M123"/>
      <c r="N123"/>
      <c r="O123"/>
      <c r="P123"/>
      <c r="Q123"/>
      <c r="R123"/>
      <c r="S123"/>
      <c r="T123"/>
      <c r="U123"/>
      <c r="V123"/>
      <c r="IS123" s="11"/>
      <c r="IT123" s="11"/>
      <c r="IU123" s="11"/>
      <c r="IV123" s="11"/>
    </row>
    <row r="124" spans="1:256" s="10" customFormat="1" ht="17.399999999999999" customHeight="1">
      <c r="A124" s="57">
        <v>2340</v>
      </c>
      <c r="B124" s="12" t="s">
        <v>465</v>
      </c>
      <c r="C124" s="8"/>
      <c r="D124" s="8" t="s">
        <v>462</v>
      </c>
      <c r="E124" s="77">
        <v>0</v>
      </c>
      <c r="F124" s="8"/>
      <c r="G124" s="8"/>
      <c r="H124" s="7">
        <v>0</v>
      </c>
      <c r="I124" s="13"/>
      <c r="J124" s="15"/>
      <c r="K124" s="16"/>
      <c r="L124" s="8">
        <v>4</v>
      </c>
      <c r="M124"/>
      <c r="N124"/>
      <c r="O124"/>
      <c r="P124"/>
      <c r="Q124"/>
      <c r="R124"/>
      <c r="S124"/>
      <c r="T124"/>
      <c r="U124"/>
      <c r="V124"/>
      <c r="IS124" s="11"/>
      <c r="IT124" s="11"/>
      <c r="IU124" s="11"/>
      <c r="IV124" s="11"/>
    </row>
    <row r="125" spans="1:256" s="10" customFormat="1" ht="17.399999999999999" customHeight="1">
      <c r="A125" s="57">
        <v>345</v>
      </c>
      <c r="B125" s="12" t="s">
        <v>466</v>
      </c>
      <c r="C125" s="8"/>
      <c r="D125" s="8" t="s">
        <v>446</v>
      </c>
      <c r="E125" s="77">
        <v>0</v>
      </c>
      <c r="F125" s="8"/>
      <c r="G125" s="8"/>
      <c r="H125" s="7">
        <v>0</v>
      </c>
      <c r="I125" s="13"/>
      <c r="J125" s="15"/>
      <c r="K125" s="16"/>
      <c r="L125" s="8">
        <v>1</v>
      </c>
      <c r="M125"/>
      <c r="N125"/>
      <c r="O125"/>
      <c r="P125"/>
      <c r="Q125"/>
      <c r="R125"/>
      <c r="S125"/>
      <c r="T125"/>
      <c r="U125"/>
      <c r="V125"/>
      <c r="IS125" s="11"/>
      <c r="IT125" s="11"/>
      <c r="IU125" s="11"/>
      <c r="IV125" s="11"/>
    </row>
    <row r="126" spans="1:256" s="11" customFormat="1" ht="17.399999999999999" customHeight="1">
      <c r="A126" s="484" t="s">
        <v>467</v>
      </c>
      <c r="B126" s="484"/>
      <c r="C126" s="21"/>
      <c r="D126" s="21"/>
      <c r="E126" s="77"/>
      <c r="F126" s="8"/>
      <c r="G126" s="8"/>
      <c r="H126" s="7">
        <v>0</v>
      </c>
      <c r="I126" s="13">
        <f>H126*0.9</f>
        <v>0</v>
      </c>
      <c r="J126" s="15"/>
      <c r="K126" s="16"/>
      <c r="L126" s="21"/>
      <c r="M126"/>
      <c r="N126"/>
      <c r="O126"/>
      <c r="P126"/>
      <c r="Q126"/>
      <c r="R126"/>
      <c r="S126"/>
      <c r="T126"/>
      <c r="U126"/>
      <c r="V126"/>
    </row>
    <row r="127" spans="1:256" s="10" customFormat="1" ht="17.399999999999999" customHeight="1">
      <c r="A127" s="57">
        <v>181</v>
      </c>
      <c r="B127" s="12" t="s">
        <v>353</v>
      </c>
      <c r="C127" s="8" t="s">
        <v>554</v>
      </c>
      <c r="D127" s="8" t="s">
        <v>234</v>
      </c>
      <c r="E127" s="77">
        <v>7</v>
      </c>
      <c r="F127" s="8"/>
      <c r="G127" s="8"/>
      <c r="H127" s="7">
        <v>7</v>
      </c>
      <c r="I127" s="13">
        <f>H127*0.9</f>
        <v>6.3</v>
      </c>
      <c r="J127" s="15"/>
      <c r="K127" s="16"/>
      <c r="L127" s="8">
        <v>3</v>
      </c>
      <c r="M127"/>
      <c r="N127"/>
      <c r="O127"/>
      <c r="P127"/>
      <c r="Q127"/>
      <c r="R127"/>
      <c r="S127"/>
      <c r="T127"/>
      <c r="U127"/>
      <c r="V127"/>
      <c r="IS127" s="11"/>
      <c r="IT127" s="11"/>
      <c r="IU127" s="11"/>
      <c r="IV127" s="11"/>
    </row>
    <row r="128" spans="1:256" s="10" customFormat="1" ht="17.399999999999999" customHeight="1">
      <c r="A128" s="57">
        <v>137</v>
      </c>
      <c r="B128" s="12" t="s">
        <v>468</v>
      </c>
      <c r="C128" s="8"/>
      <c r="D128" s="8" t="s">
        <v>234</v>
      </c>
      <c r="E128" s="77">
        <v>4</v>
      </c>
      <c r="F128" s="8">
        <v>5</v>
      </c>
      <c r="G128" s="8">
        <v>0</v>
      </c>
      <c r="H128" s="7">
        <v>9</v>
      </c>
      <c r="I128" s="13"/>
      <c r="J128" s="15"/>
      <c r="K128" s="16"/>
      <c r="L128" s="8">
        <v>1</v>
      </c>
      <c r="M128"/>
      <c r="N128"/>
      <c r="O128"/>
      <c r="P128"/>
      <c r="Q128"/>
      <c r="R128"/>
      <c r="S128"/>
      <c r="T128"/>
      <c r="U128"/>
      <c r="V128"/>
      <c r="IS128" s="11"/>
      <c r="IT128" s="11"/>
      <c r="IU128" s="11"/>
      <c r="IV128" s="11"/>
    </row>
    <row r="129" spans="1:256" s="10" customFormat="1" ht="17.399999999999999" customHeight="1">
      <c r="A129" s="28">
        <v>84</v>
      </c>
      <c r="B129" s="10" t="s">
        <v>303</v>
      </c>
      <c r="C129" s="8" t="s">
        <v>554</v>
      </c>
      <c r="D129" s="8" t="s">
        <v>411</v>
      </c>
      <c r="E129" s="77">
        <v>0</v>
      </c>
      <c r="F129" s="8"/>
      <c r="G129" s="8"/>
      <c r="H129" s="7">
        <v>0</v>
      </c>
      <c r="I129" s="13">
        <f>H129*0.9</f>
        <v>0</v>
      </c>
      <c r="J129" s="15"/>
      <c r="K129" s="16"/>
      <c r="L129" s="8">
        <v>2.5</v>
      </c>
      <c r="M129"/>
      <c r="N129"/>
      <c r="O129"/>
      <c r="P129"/>
      <c r="Q129"/>
      <c r="R129"/>
      <c r="S129"/>
      <c r="T129"/>
      <c r="U129"/>
      <c r="V129"/>
      <c r="IS129" s="11"/>
      <c r="IT129" s="11"/>
      <c r="IU129" s="11"/>
      <c r="IV129" s="11"/>
    </row>
    <row r="130" spans="1:256" s="10" customFormat="1" ht="17.399999999999999" customHeight="1">
      <c r="A130" s="57">
        <v>1726</v>
      </c>
      <c r="B130" s="12" t="s">
        <v>469</v>
      </c>
      <c r="C130" s="8" t="s">
        <v>554</v>
      </c>
      <c r="D130" s="8" t="s">
        <v>411</v>
      </c>
      <c r="E130" s="77">
        <v>7</v>
      </c>
      <c r="F130" s="8"/>
      <c r="G130" s="8"/>
      <c r="H130" s="7">
        <v>7</v>
      </c>
      <c r="I130" s="13">
        <f>H130*0.9</f>
        <v>6.3</v>
      </c>
      <c r="J130" s="15"/>
      <c r="K130" s="16"/>
      <c r="L130" s="8">
        <v>2</v>
      </c>
      <c r="M130"/>
      <c r="N130"/>
      <c r="O130"/>
      <c r="P130"/>
      <c r="Q130"/>
      <c r="R130"/>
      <c r="S130"/>
      <c r="T130"/>
      <c r="U130"/>
      <c r="V130"/>
      <c r="IS130" s="11"/>
      <c r="IT130" s="11"/>
      <c r="IU130" s="11"/>
      <c r="IV130" s="11"/>
    </row>
    <row r="131" spans="1:256" s="10" customFormat="1" ht="17.399999999999999" customHeight="1">
      <c r="A131" s="57">
        <v>1817</v>
      </c>
      <c r="B131" s="12" t="s">
        <v>470</v>
      </c>
      <c r="C131" s="8"/>
      <c r="D131" s="8" t="s">
        <v>234</v>
      </c>
      <c r="E131" s="77">
        <v>0</v>
      </c>
      <c r="F131" s="8"/>
      <c r="G131" s="8"/>
      <c r="H131" s="7">
        <v>0</v>
      </c>
      <c r="I131" s="13"/>
      <c r="J131" s="15"/>
      <c r="K131" s="16"/>
      <c r="L131" s="8">
        <v>2</v>
      </c>
      <c r="M131"/>
      <c r="N131"/>
      <c r="O131"/>
      <c r="P131"/>
      <c r="Q131"/>
      <c r="R131"/>
      <c r="S131"/>
      <c r="T131"/>
      <c r="U131"/>
      <c r="V131"/>
      <c r="IS131" s="11"/>
      <c r="IT131" s="11"/>
      <c r="IU131" s="11"/>
      <c r="IV131" s="11"/>
    </row>
    <row r="132" spans="1:256" s="10" customFormat="1" ht="17.399999999999999" customHeight="1">
      <c r="A132" s="57">
        <v>2201</v>
      </c>
      <c r="B132" s="12" t="s">
        <v>434</v>
      </c>
      <c r="C132" s="8"/>
      <c r="D132" s="8" t="s">
        <v>234</v>
      </c>
      <c r="E132" s="77">
        <v>5</v>
      </c>
      <c r="F132" s="8"/>
      <c r="G132" s="8">
        <v>2</v>
      </c>
      <c r="H132" s="7">
        <v>3</v>
      </c>
      <c r="I132" s="13"/>
      <c r="J132" s="15"/>
      <c r="K132" s="16"/>
      <c r="L132" s="8">
        <v>1</v>
      </c>
      <c r="M132"/>
      <c r="N132"/>
      <c r="O132"/>
      <c r="P132"/>
      <c r="Q132"/>
      <c r="R132"/>
      <c r="S132"/>
      <c r="T132"/>
      <c r="U132"/>
      <c r="V132"/>
      <c r="IS132" s="11"/>
      <c r="IT132" s="11"/>
      <c r="IU132" s="11"/>
      <c r="IV132" s="11"/>
    </row>
    <row r="133" spans="1:256" s="10" customFormat="1" ht="17.399999999999999" customHeight="1">
      <c r="A133" s="57">
        <v>2252</v>
      </c>
      <c r="B133" s="12" t="s">
        <v>471</v>
      </c>
      <c r="C133" s="8" t="s">
        <v>554</v>
      </c>
      <c r="D133" s="8" t="s">
        <v>234</v>
      </c>
      <c r="E133" s="77">
        <v>0</v>
      </c>
      <c r="F133" s="8"/>
      <c r="G133" s="8"/>
      <c r="H133" s="7">
        <v>0</v>
      </c>
      <c r="I133" s="13">
        <f>H133*0.9</f>
        <v>0</v>
      </c>
      <c r="J133" s="15"/>
      <c r="K133" s="16"/>
      <c r="L133" s="8">
        <v>5</v>
      </c>
      <c r="M133"/>
      <c r="N133"/>
      <c r="O133"/>
      <c r="P133"/>
      <c r="Q133"/>
      <c r="R133"/>
      <c r="S133"/>
      <c r="T133"/>
      <c r="U133"/>
      <c r="V133"/>
      <c r="IS133" s="11"/>
      <c r="IT133" s="11"/>
      <c r="IU133" s="11"/>
      <c r="IV133" s="11"/>
    </row>
    <row r="134" spans="1:256" s="10" customFormat="1" ht="17.399999999999999" customHeight="1">
      <c r="A134" s="57">
        <v>1818</v>
      </c>
      <c r="B134" s="12" t="s">
        <v>472</v>
      </c>
      <c r="C134" s="8"/>
      <c r="D134" s="8" t="s">
        <v>234</v>
      </c>
      <c r="E134" s="77">
        <v>36</v>
      </c>
      <c r="F134" s="8"/>
      <c r="G134" s="8"/>
      <c r="H134" s="7">
        <v>36</v>
      </c>
      <c r="I134" s="13">
        <f>H134*0.9</f>
        <v>32.4</v>
      </c>
      <c r="J134" s="15"/>
      <c r="K134" s="16"/>
      <c r="L134" s="8">
        <v>1</v>
      </c>
      <c r="M134"/>
      <c r="N134"/>
      <c r="O134"/>
      <c r="P134"/>
      <c r="Q134"/>
      <c r="R134"/>
      <c r="S134"/>
      <c r="T134"/>
      <c r="U134"/>
      <c r="V134"/>
      <c r="IS134" s="11"/>
      <c r="IT134" s="11"/>
      <c r="IU134" s="11"/>
      <c r="IV134" s="11"/>
    </row>
    <row r="135" spans="1:256" s="10" customFormat="1" ht="17.399999999999999" customHeight="1">
      <c r="A135" s="57">
        <v>2157</v>
      </c>
      <c r="B135" s="12" t="s">
        <v>433</v>
      </c>
      <c r="C135" s="8"/>
      <c r="D135" s="8" t="s">
        <v>234</v>
      </c>
      <c r="E135" s="77">
        <v>7</v>
      </c>
      <c r="F135" s="8"/>
      <c r="G135" s="8"/>
      <c r="H135" s="7">
        <v>7</v>
      </c>
      <c r="I135" s="13">
        <f>H135*0.9</f>
        <v>6.3</v>
      </c>
      <c r="J135" s="15"/>
      <c r="K135" s="16"/>
      <c r="L135" s="8">
        <v>2</v>
      </c>
      <c r="M135"/>
      <c r="N135"/>
      <c r="O135"/>
      <c r="P135"/>
      <c r="Q135"/>
      <c r="R135"/>
      <c r="S135"/>
      <c r="T135"/>
      <c r="U135"/>
      <c r="V135"/>
      <c r="IS135" s="11"/>
      <c r="IT135" s="11"/>
      <c r="IU135" s="11"/>
      <c r="IV135" s="11"/>
    </row>
    <row r="136" spans="1:256" s="10" customFormat="1" ht="17.399999999999999" customHeight="1">
      <c r="A136" s="57">
        <v>2177</v>
      </c>
      <c r="B136" s="12" t="s">
        <v>473</v>
      </c>
      <c r="C136" s="8"/>
      <c r="D136" s="8" t="s">
        <v>234</v>
      </c>
      <c r="E136" s="8">
        <v>5</v>
      </c>
      <c r="F136" s="8"/>
      <c r="G136" s="8"/>
      <c r="H136" s="7">
        <v>5</v>
      </c>
      <c r="I136" s="13"/>
      <c r="J136" s="15"/>
      <c r="K136" s="16"/>
      <c r="L136" s="8">
        <v>1</v>
      </c>
      <c r="M136"/>
      <c r="N136"/>
      <c r="O136"/>
      <c r="P136"/>
      <c r="Q136"/>
      <c r="R136"/>
      <c r="S136"/>
      <c r="T136"/>
      <c r="U136"/>
      <c r="V136"/>
      <c r="IS136" s="11"/>
      <c r="IT136" s="11"/>
      <c r="IU136" s="11"/>
      <c r="IV136" s="11"/>
    </row>
    <row r="137" spans="1:256" s="10" customFormat="1" ht="17.399999999999999" customHeight="1">
      <c r="A137" s="57">
        <v>2317</v>
      </c>
      <c r="B137" s="12" t="s">
        <v>474</v>
      </c>
      <c r="C137" s="8" t="s">
        <v>554</v>
      </c>
      <c r="D137" s="8" t="s">
        <v>234</v>
      </c>
      <c r="E137" s="8">
        <v>8</v>
      </c>
      <c r="F137" s="8"/>
      <c r="G137" s="8"/>
      <c r="H137" s="7">
        <v>8</v>
      </c>
      <c r="I137" s="13">
        <f>H137*0.9</f>
        <v>7.2</v>
      </c>
      <c r="J137" s="15"/>
      <c r="K137" s="16"/>
      <c r="L137" s="8">
        <v>4</v>
      </c>
      <c r="M137"/>
      <c r="N137"/>
      <c r="O137"/>
      <c r="P137"/>
      <c r="Q137"/>
      <c r="R137"/>
      <c r="S137"/>
      <c r="T137"/>
      <c r="U137"/>
      <c r="V137"/>
      <c r="IS137" s="11"/>
      <c r="IT137" s="11"/>
      <c r="IU137" s="11"/>
      <c r="IV137" s="11"/>
    </row>
    <row r="138" spans="1:256" ht="15.6">
      <c r="A138" s="57">
        <v>1956</v>
      </c>
      <c r="B138" s="12" t="s">
        <v>475</v>
      </c>
      <c r="C138"/>
      <c r="D138" s="8" t="s">
        <v>234</v>
      </c>
      <c r="E138">
        <v>0</v>
      </c>
      <c r="F138"/>
      <c r="G138" s="22"/>
      <c r="H138">
        <v>0</v>
      </c>
      <c r="I138"/>
      <c r="J138"/>
      <c r="K138"/>
      <c r="L138" s="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</row>
    <row r="139" spans="1:256" ht="8.25" customHeight="1">
      <c r="A139"/>
      <c r="B139"/>
      <c r="C139"/>
      <c r="D139"/>
      <c r="E139"/>
      <c r="F139"/>
      <c r="G139" s="22"/>
      <c r="H139"/>
      <c r="I139"/>
      <c r="J139"/>
      <c r="K139"/>
      <c r="L139" s="8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</row>
    <row r="140" spans="1:256" ht="14.1" customHeight="1">
      <c r="A140"/>
      <c r="B140" s="23" t="s">
        <v>636</v>
      </c>
      <c r="C140" s="23"/>
      <c r="D140" s="23"/>
      <c r="E140" s="23"/>
      <c r="F140" s="23"/>
      <c r="G140" s="22"/>
      <c r="H140"/>
      <c r="I140"/>
      <c r="J140"/>
      <c r="K140"/>
      <c r="L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</row>
    <row r="141" spans="1:256" ht="8.25" customHeight="1">
      <c r="A141"/>
      <c r="B141"/>
      <c r="C141"/>
      <c r="D141"/>
      <c r="E141"/>
      <c r="F141"/>
      <c r="G141" s="22"/>
      <c r="H141"/>
      <c r="I141"/>
      <c r="J141"/>
      <c r="K141"/>
      <c r="L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</row>
    <row r="142" spans="1:256">
      <c r="A142"/>
      <c r="B142"/>
      <c r="C142"/>
      <c r="D142"/>
      <c r="E142"/>
      <c r="F142"/>
      <c r="G142" s="22"/>
      <c r="H142"/>
      <c r="I142"/>
      <c r="J142"/>
      <c r="K142"/>
      <c r="L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</row>
    <row r="143" spans="1:256">
      <c r="A143"/>
      <c r="B143" s="24" t="s">
        <v>637</v>
      </c>
      <c r="C143" s="1" t="s">
        <v>638</v>
      </c>
      <c r="D143" s="24" t="s">
        <v>639</v>
      </c>
      <c r="G143" s="25" t="s">
        <v>638</v>
      </c>
      <c r="H143"/>
      <c r="I143"/>
      <c r="J143"/>
      <c r="K143"/>
      <c r="L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</row>
    <row r="144" spans="1:256">
      <c r="L144"/>
      <c r="V144"/>
    </row>
    <row r="145" spans="2:22">
      <c r="B145"/>
      <c r="C145"/>
      <c r="D145"/>
      <c r="E145"/>
      <c r="F145"/>
      <c r="G145"/>
      <c r="L145"/>
      <c r="V145"/>
    </row>
    <row r="146" spans="2:22">
      <c r="L146"/>
      <c r="V146"/>
    </row>
    <row r="147" spans="2:22" hidden="1">
      <c r="L147"/>
      <c r="V147"/>
    </row>
    <row r="148" spans="2:22" ht="15.6">
      <c r="B148" s="26" t="s">
        <v>640</v>
      </c>
      <c r="C148" s="9" t="s">
        <v>641</v>
      </c>
      <c r="D148" s="27" t="s">
        <v>530</v>
      </c>
      <c r="E148" s="11"/>
      <c r="F148" s="10"/>
      <c r="G148" s="26" t="s">
        <v>642</v>
      </c>
      <c r="H148" s="11"/>
      <c r="L148"/>
      <c r="V148"/>
    </row>
    <row r="149" spans="2:22" ht="15.6">
      <c r="B149" s="28" t="s">
        <v>643</v>
      </c>
      <c r="C149" s="9" t="s">
        <v>644</v>
      </c>
      <c r="D149" s="10" t="s">
        <v>645</v>
      </c>
      <c r="E149" s="11"/>
      <c r="F149" s="10"/>
      <c r="G149" s="9" t="s">
        <v>332</v>
      </c>
      <c r="H149" s="11"/>
      <c r="L149"/>
      <c r="V149"/>
    </row>
    <row r="150" spans="2:22" ht="15.6">
      <c r="B150" s="10"/>
      <c r="C150" s="10"/>
      <c r="D150" s="10"/>
      <c r="E150" s="10"/>
      <c r="F150" s="10"/>
      <c r="G150" s="9"/>
      <c r="H150" s="10"/>
      <c r="L150"/>
      <c r="V150"/>
    </row>
    <row r="151" spans="2:22">
      <c r="L151"/>
    </row>
  </sheetData>
  <sheetProtection selectLockedCells="1" selectUnlockedCells="1"/>
  <mergeCells count="7">
    <mergeCell ref="A8:B8"/>
    <mergeCell ref="A18:B18"/>
    <mergeCell ref="A98:B98"/>
    <mergeCell ref="A126:B126"/>
    <mergeCell ref="A1:H1"/>
    <mergeCell ref="A2:H2"/>
    <mergeCell ref="A3:H3"/>
  </mergeCells>
  <printOptions horizontalCentered="1"/>
  <pageMargins left="0.25972222222222224" right="0.2" top="0.21111111111111111" bottom="0.14027777777777778" header="0.51180555555555551" footer="0.51180555555555551"/>
  <pageSetup scale="81" firstPageNumber="0" orientation="portrait" verticalDpi="300" r:id="rId1"/>
  <headerFooter alignWithMargins="0"/>
  <rowBreaks count="1" manualBreakCount="1">
    <brk id="63" max="7" man="1"/>
  </rowBreaks>
  <colBreaks count="1" manualBreakCount="1">
    <brk id="1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zoomScale="115" zoomScaleNormal="115" workbookViewId="0">
      <selection activeCell="E24" sqref="E24"/>
    </sheetView>
  </sheetViews>
  <sheetFormatPr defaultColWidth="8.88671875" defaultRowHeight="14.4"/>
  <cols>
    <col min="1" max="1" width="34.44140625" bestFit="1" customWidth="1"/>
    <col min="2" max="3" width="13.109375" customWidth="1"/>
    <col min="4" max="4" width="12" customWidth="1"/>
    <col min="5" max="5" width="12.88671875" customWidth="1"/>
    <col min="6" max="6" width="14.33203125" customWidth="1"/>
  </cols>
  <sheetData>
    <row r="1" spans="1:6">
      <c r="A1" s="85" t="s">
        <v>646</v>
      </c>
      <c r="B1" s="86" t="s">
        <v>477</v>
      </c>
      <c r="C1" s="86" t="s">
        <v>647</v>
      </c>
      <c r="D1" s="92" t="s">
        <v>648</v>
      </c>
      <c r="E1" s="86" t="s">
        <v>6</v>
      </c>
      <c r="F1" s="87" t="s">
        <v>649</v>
      </c>
    </row>
    <row r="2" spans="1:6">
      <c r="A2" s="221" t="s">
        <v>650</v>
      </c>
      <c r="B2" s="222">
        <v>30</v>
      </c>
      <c r="C2" s="222">
        <v>30</v>
      </c>
      <c r="D2" s="223">
        <f>B2-C2</f>
        <v>0</v>
      </c>
      <c r="E2" s="224" t="s">
        <v>233</v>
      </c>
      <c r="F2" s="225">
        <v>44348</v>
      </c>
    </row>
    <row r="3" spans="1:6">
      <c r="A3" s="221" t="s">
        <v>651</v>
      </c>
      <c r="B3" s="222">
        <v>30</v>
      </c>
      <c r="C3" s="222">
        <v>15</v>
      </c>
      <c r="D3" s="223">
        <f t="shared" ref="D3:D17" si="0">B3-C3</f>
        <v>15</v>
      </c>
      <c r="E3" s="224" t="s">
        <v>233</v>
      </c>
      <c r="F3" s="225">
        <v>44866</v>
      </c>
    </row>
    <row r="4" spans="1:6">
      <c r="A4" s="221" t="s">
        <v>652</v>
      </c>
      <c r="B4" s="222">
        <v>25</v>
      </c>
      <c r="C4" s="222">
        <v>9</v>
      </c>
      <c r="D4" s="223">
        <f t="shared" si="0"/>
        <v>16</v>
      </c>
      <c r="E4" s="224" t="s">
        <v>233</v>
      </c>
      <c r="F4" s="225">
        <v>45047</v>
      </c>
    </row>
    <row r="5" spans="1:6">
      <c r="A5" s="221" t="s">
        <v>653</v>
      </c>
      <c r="B5" s="222">
        <v>25</v>
      </c>
      <c r="C5" s="222">
        <v>0</v>
      </c>
      <c r="D5" s="223">
        <f t="shared" si="0"/>
        <v>25</v>
      </c>
      <c r="E5" s="224" t="s">
        <v>233</v>
      </c>
      <c r="F5" s="225">
        <v>44531</v>
      </c>
    </row>
    <row r="6" spans="1:6">
      <c r="A6" s="221" t="s">
        <v>654</v>
      </c>
      <c r="B6" s="222">
        <v>25</v>
      </c>
      <c r="C6" s="222">
        <v>1</v>
      </c>
      <c r="D6" s="223">
        <f t="shared" si="0"/>
        <v>24</v>
      </c>
      <c r="E6" s="224" t="s">
        <v>233</v>
      </c>
      <c r="F6" s="225">
        <v>44317</v>
      </c>
    </row>
    <row r="7" spans="1:6">
      <c r="A7" s="221" t="s">
        <v>655</v>
      </c>
      <c r="B7" s="222">
        <v>15</v>
      </c>
      <c r="C7" s="222">
        <v>0</v>
      </c>
      <c r="D7" s="223">
        <f t="shared" si="0"/>
        <v>15</v>
      </c>
      <c r="E7" s="224" t="s">
        <v>233</v>
      </c>
      <c r="F7" s="225">
        <v>44835</v>
      </c>
    </row>
    <row r="8" spans="1:6">
      <c r="A8" s="221" t="s">
        <v>656</v>
      </c>
      <c r="B8" s="222">
        <v>5</v>
      </c>
      <c r="C8" s="222">
        <v>0</v>
      </c>
      <c r="D8" s="223">
        <f t="shared" si="0"/>
        <v>5</v>
      </c>
      <c r="E8" s="224" t="s">
        <v>233</v>
      </c>
      <c r="F8" s="225">
        <v>44682</v>
      </c>
    </row>
    <row r="9" spans="1:6">
      <c r="A9" s="221" t="s">
        <v>657</v>
      </c>
      <c r="B9" s="222">
        <v>15</v>
      </c>
      <c r="C9" s="222">
        <v>10</v>
      </c>
      <c r="D9" s="223">
        <f t="shared" si="0"/>
        <v>5</v>
      </c>
      <c r="E9" s="224" t="s">
        <v>233</v>
      </c>
      <c r="F9" s="225">
        <v>44652</v>
      </c>
    </row>
    <row r="10" spans="1:6">
      <c r="A10" s="221" t="s">
        <v>658</v>
      </c>
      <c r="B10" s="222">
        <v>2</v>
      </c>
      <c r="C10" s="222">
        <v>0</v>
      </c>
      <c r="D10" s="223">
        <f t="shared" si="0"/>
        <v>2</v>
      </c>
      <c r="E10" s="224" t="s">
        <v>233</v>
      </c>
      <c r="F10" s="225">
        <v>44621</v>
      </c>
    </row>
    <row r="11" spans="1:6">
      <c r="A11" s="221" t="s">
        <v>659</v>
      </c>
      <c r="B11" s="222">
        <v>1</v>
      </c>
      <c r="C11" s="222">
        <v>0</v>
      </c>
      <c r="D11" s="223">
        <f t="shared" si="0"/>
        <v>1</v>
      </c>
      <c r="E11" s="224" t="s">
        <v>514</v>
      </c>
      <c r="F11" s="226"/>
    </row>
    <row r="12" spans="1:6">
      <c r="A12" s="221" t="s">
        <v>660</v>
      </c>
      <c r="B12" s="222">
        <v>5</v>
      </c>
      <c r="C12" s="222">
        <v>2</v>
      </c>
      <c r="D12" s="223">
        <f t="shared" si="0"/>
        <v>3</v>
      </c>
      <c r="E12" s="224" t="s">
        <v>233</v>
      </c>
      <c r="F12" s="226"/>
    </row>
    <row r="13" spans="1:6">
      <c r="A13" s="221" t="s">
        <v>661</v>
      </c>
      <c r="B13" s="222">
        <v>1</v>
      </c>
      <c r="C13" s="222">
        <v>1</v>
      </c>
      <c r="D13" s="223">
        <f t="shared" si="0"/>
        <v>0</v>
      </c>
      <c r="E13" s="224" t="s">
        <v>494</v>
      </c>
      <c r="F13" s="226"/>
    </row>
    <row r="14" spans="1:6">
      <c r="A14" s="221" t="s">
        <v>662</v>
      </c>
      <c r="B14" s="222">
        <v>50</v>
      </c>
      <c r="C14" s="222">
        <v>11</v>
      </c>
      <c r="D14" s="223">
        <f t="shared" si="0"/>
        <v>39</v>
      </c>
      <c r="E14" s="224" t="s">
        <v>233</v>
      </c>
      <c r="F14" s="226"/>
    </row>
    <row r="15" spans="1:6">
      <c r="A15" s="221" t="s">
        <v>663</v>
      </c>
      <c r="B15" s="222">
        <v>2</v>
      </c>
      <c r="C15" s="222">
        <v>0</v>
      </c>
      <c r="D15" s="223">
        <f t="shared" si="0"/>
        <v>2</v>
      </c>
      <c r="E15" s="224" t="s">
        <v>233</v>
      </c>
      <c r="F15" s="226"/>
    </row>
    <row r="16" spans="1:6">
      <c r="A16" s="221" t="s">
        <v>664</v>
      </c>
      <c r="B16" s="222">
        <v>1</v>
      </c>
      <c r="C16" s="222">
        <v>0</v>
      </c>
      <c r="D16" s="223">
        <f t="shared" si="0"/>
        <v>1</v>
      </c>
      <c r="E16" s="224" t="s">
        <v>494</v>
      </c>
      <c r="F16" s="225">
        <v>44562</v>
      </c>
    </row>
    <row r="17" spans="1:6" ht="15" thickBot="1">
      <c r="A17" s="88" t="s">
        <v>665</v>
      </c>
      <c r="B17" s="89">
        <v>2</v>
      </c>
      <c r="C17" s="89">
        <v>0</v>
      </c>
      <c r="D17" s="93">
        <f t="shared" si="0"/>
        <v>2</v>
      </c>
      <c r="E17" s="90" t="s">
        <v>233</v>
      </c>
      <c r="F17" s="91"/>
    </row>
  </sheetData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workbookViewId="0">
      <selection activeCell="E24" sqref="E24"/>
    </sheetView>
  </sheetViews>
  <sheetFormatPr defaultColWidth="8.88671875" defaultRowHeight="14.4"/>
  <sheetData>
    <row r="1" spans="1:9">
      <c r="A1" s="95" t="s">
        <v>666</v>
      </c>
      <c r="B1" s="96" t="s">
        <v>520</v>
      </c>
      <c r="E1" s="95" t="s">
        <v>667</v>
      </c>
    </row>
    <row r="2" spans="1:9">
      <c r="A2" s="95" t="s">
        <v>668</v>
      </c>
      <c r="C2" s="95" t="s">
        <v>669</v>
      </c>
      <c r="E2" s="95" t="s">
        <v>670</v>
      </c>
    </row>
    <row r="3" spans="1:9">
      <c r="A3" s="95" t="s">
        <v>671</v>
      </c>
      <c r="D3" s="95" t="s">
        <v>672</v>
      </c>
      <c r="H3" s="95" t="s">
        <v>673</v>
      </c>
      <c r="I3" s="95" t="s">
        <v>674</v>
      </c>
    </row>
    <row r="4" spans="1:9">
      <c r="C4" s="97" t="s">
        <v>675</v>
      </c>
      <c r="F4" s="97" t="s">
        <v>676</v>
      </c>
    </row>
    <row r="5" spans="1:9">
      <c r="A5" s="94"/>
    </row>
    <row r="6" spans="1:9">
      <c r="A6" s="95" t="s">
        <v>677</v>
      </c>
    </row>
    <row r="7" spans="1:9">
      <c r="A7" s="97"/>
    </row>
    <row r="8" spans="1:9">
      <c r="A8" s="95"/>
    </row>
    <row r="10" spans="1:9">
      <c r="A10" s="95" t="s">
        <v>678</v>
      </c>
    </row>
    <row r="11" spans="1:9">
      <c r="A11" s="95"/>
    </row>
    <row r="12" spans="1:9">
      <c r="A12" s="95"/>
    </row>
    <row r="13" spans="1:9">
      <c r="A13" s="97"/>
    </row>
    <row r="14" spans="1:9">
      <c r="A14" s="97"/>
    </row>
    <row r="16" spans="1:9">
      <c r="A16" s="99" t="s">
        <v>679</v>
      </c>
    </row>
    <row r="17" spans="1:1">
      <c r="A17" s="95"/>
    </row>
    <row r="18" spans="1:1">
      <c r="A18" s="95" t="s">
        <v>680</v>
      </c>
    </row>
    <row r="19" spans="1:1">
      <c r="A19" s="95" t="s">
        <v>681</v>
      </c>
    </row>
    <row r="20" spans="1:1">
      <c r="A20" s="95" t="s">
        <v>682</v>
      </c>
    </row>
    <row r="21" spans="1:1">
      <c r="A21" s="95" t="s">
        <v>683</v>
      </c>
    </row>
    <row r="22" spans="1:1">
      <c r="A22" s="95" t="s">
        <v>684</v>
      </c>
    </row>
    <row r="23" spans="1:1">
      <c r="A23" s="95" t="s">
        <v>685</v>
      </c>
    </row>
    <row r="24" spans="1:1">
      <c r="A24" s="95" t="s">
        <v>686</v>
      </c>
    </row>
    <row r="25" spans="1:1">
      <c r="A25" s="95"/>
    </row>
    <row r="26" spans="1:1" ht="15" customHeight="1"/>
    <row r="51" spans="1:5">
      <c r="A51" s="100" t="s">
        <v>687</v>
      </c>
    </row>
    <row r="52" spans="1:5">
      <c r="A52" s="95"/>
    </row>
    <row r="54" spans="1:5">
      <c r="A54" s="101" t="s">
        <v>688</v>
      </c>
    </row>
    <row r="55" spans="1:5">
      <c r="A55" s="102"/>
    </row>
    <row r="56" spans="1:5">
      <c r="A56" s="95"/>
    </row>
    <row r="57" spans="1:5">
      <c r="A57" s="95" t="s">
        <v>689</v>
      </c>
      <c r="B57" s="95" t="s">
        <v>690</v>
      </c>
      <c r="C57" s="95" t="s">
        <v>691</v>
      </c>
    </row>
    <row r="58" spans="1:5">
      <c r="A58" s="95" t="s">
        <v>692</v>
      </c>
    </row>
    <row r="59" spans="1:5">
      <c r="A59" s="95"/>
    </row>
    <row r="60" spans="1:5">
      <c r="A60" s="103" t="s">
        <v>693</v>
      </c>
      <c r="B60" s="104" t="s">
        <v>694</v>
      </c>
      <c r="C60" s="104" t="s">
        <v>695</v>
      </c>
      <c r="D60" s="104" t="s">
        <v>696</v>
      </c>
    </row>
    <row r="61" spans="1:5">
      <c r="B61" s="95" t="s">
        <v>697</v>
      </c>
      <c r="D61" s="95" t="s">
        <v>698</v>
      </c>
      <c r="E61" s="95" t="s">
        <v>699</v>
      </c>
    </row>
    <row r="62" spans="1:5">
      <c r="A62" s="95" t="s">
        <v>700</v>
      </c>
      <c r="B62" s="95" t="s">
        <v>701</v>
      </c>
    </row>
    <row r="63" spans="1:5">
      <c r="A63" s="95"/>
    </row>
    <row r="64" spans="1:5">
      <c r="A64" s="95"/>
    </row>
    <row r="66" spans="1:1">
      <c r="A66" s="95" t="s">
        <v>702</v>
      </c>
    </row>
    <row r="67" spans="1:1">
      <c r="A67" s="95" t="s">
        <v>703</v>
      </c>
    </row>
    <row r="68" spans="1:1">
      <c r="A68" s="98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1547-60F0-4AED-9E0B-4300FC463DE2}">
  <dimension ref="A1:E94"/>
  <sheetViews>
    <sheetView topLeftCell="A21" zoomScale="85" zoomScaleNormal="85" workbookViewId="0">
      <selection activeCell="B66" sqref="B64:B66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542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704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12</v>
      </c>
      <c r="E5" s="230">
        <v>51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2</v>
      </c>
      <c r="E6" s="230">
        <v>112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2</v>
      </c>
      <c r="E9" s="230">
        <v>15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1</v>
      </c>
      <c r="E12" s="230">
        <v>5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62" t="str">
        <f>D3</f>
        <v>OCTOBER 2023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1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OCTOBER 2023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1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2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2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2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2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1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3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2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2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OCTOBER 2023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0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9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EC8D-2EE2-4704-8270-D90BB76EEF7F}">
  <sheetPr>
    <pageSetUpPr fitToPage="1"/>
  </sheetPr>
  <dimension ref="A1:E94"/>
  <sheetViews>
    <sheetView topLeftCell="A9" zoomScale="85" zoomScaleNormal="85" workbookViewId="0">
      <selection activeCell="E9" sqref="E9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542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705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32</v>
      </c>
      <c r="E5" s="230">
        <v>19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2</v>
      </c>
      <c r="E6" s="230">
        <v>91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2</v>
      </c>
      <c r="E9" s="230">
        <v>15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1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3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62" t="str">
        <f>D3</f>
        <v>NOVEMBER 2023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1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NOVEMBER 2023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1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2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2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1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3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2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2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NOVEMBER 2023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0</v>
      </c>
      <c r="E59" s="230">
        <v>100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5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1D39-DB9E-40D5-838A-45194C8BCE9A}">
  <sheetPr>
    <pageSetUpPr fitToPage="1"/>
  </sheetPr>
  <dimension ref="A1:E94"/>
  <sheetViews>
    <sheetView zoomScale="85" zoomScaleNormal="85" workbookViewId="0">
      <selection activeCell="I43" sqref="I43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542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706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19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11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2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1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1" t="str">
        <f>D3</f>
        <v>DECEMBER 2023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DECEMBER 2023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0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DECEMBER 2023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12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1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orientation="portrait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A907-CEAD-4793-915D-94D3CCBFBEFF}">
  <sheetPr>
    <pageSetUpPr fitToPage="1"/>
  </sheetPr>
  <dimension ref="A1:E94"/>
  <sheetViews>
    <sheetView zoomScale="85" zoomScaleNormal="85" workbookViewId="0">
      <selection activeCell="D10" sqref="D10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708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1" t="str">
        <f>D3</f>
        <v>FEBRUARY 2024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FEBRUARY 2024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0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FEBRUARY 2024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12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orientation="portrait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3285-B9B6-478D-B467-C7FE3EAAC3BB}">
  <sheetPr>
    <pageSetUpPr fitToPage="1"/>
  </sheetPr>
  <dimension ref="A1:E94"/>
  <sheetViews>
    <sheetView zoomScale="85" zoomScaleNormal="85" workbookViewId="0">
      <selection activeCell="H17" sqref="H17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709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1" t="s">
        <v>709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MARCH 2024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0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MARCH 2024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12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D8F7-2693-4AEE-8673-8192070FA913}">
  <sheetPr>
    <pageSetUpPr fitToPage="1"/>
  </sheetPr>
  <dimension ref="A1:E94"/>
  <sheetViews>
    <sheetView topLeftCell="D11" zoomScale="85" zoomScaleNormal="85" workbookViewId="0">
      <selection activeCell="D11" sqref="D11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710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1" t="s">
        <v>710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tr">
        <f>D20</f>
        <v>APRIL 2024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0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APRIL 2024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12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C28B-813F-4E23-9E77-93087554881F}">
  <sheetPr>
    <pageSetUpPr fitToPage="1"/>
  </sheetPr>
  <dimension ref="A1:E99"/>
  <sheetViews>
    <sheetView zoomScale="85" zoomScaleNormal="85" workbookViewId="0">
      <selection activeCell="E84" sqref="E84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711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1" t="s">
        <v>711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12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3CAC-4D1B-4377-BA9B-38B0B3389B89}">
  <sheetPr>
    <pageSetUpPr fitToPage="1"/>
  </sheetPr>
  <dimension ref="A1:E94"/>
  <sheetViews>
    <sheetView zoomScale="85" zoomScaleNormal="85" workbookViewId="0">
      <selection activeCell="D7" sqref="D7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716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716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6" t="s">
        <v>716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27">
        <v>1950</v>
      </c>
      <c r="B53" s="227" t="s">
        <v>277</v>
      </c>
      <c r="C53" s="227" t="s">
        <v>104</v>
      </c>
      <c r="D53" s="230">
        <v>0</v>
      </c>
      <c r="E53" s="230">
        <v>0</v>
      </c>
    </row>
    <row r="54" spans="1:5" ht="15" customHeight="1">
      <c r="A54" s="239"/>
      <c r="C54" s="239"/>
    </row>
    <row r="55" spans="1:5" ht="15" customHeight="1">
      <c r="A55" s="233" t="s">
        <v>544</v>
      </c>
      <c r="B55" s="234" t="s">
        <v>545</v>
      </c>
      <c r="C55" s="233" t="s">
        <v>546</v>
      </c>
      <c r="D55" s="165" t="str">
        <f>D38</f>
        <v>JUNE 2024</v>
      </c>
      <c r="E55" s="165"/>
    </row>
    <row r="56" spans="1:5" ht="15" customHeight="1">
      <c r="A56" s="240" t="s">
        <v>559</v>
      </c>
      <c r="B56" s="240"/>
      <c r="C56" s="235"/>
      <c r="D56" s="165" t="s">
        <v>549</v>
      </c>
      <c r="E56" s="165" t="s">
        <v>550</v>
      </c>
    </row>
    <row r="57" spans="1:5" ht="15" customHeight="1">
      <c r="A57" s="227">
        <v>2617</v>
      </c>
      <c r="B57" s="227" t="s">
        <v>29</v>
      </c>
      <c r="C57" s="236" t="s">
        <v>560</v>
      </c>
      <c r="D57" s="230">
        <v>0</v>
      </c>
      <c r="E57" s="230">
        <v>0</v>
      </c>
    </row>
    <row r="58" spans="1:5" ht="15" customHeight="1">
      <c r="A58" s="227">
        <v>2618</v>
      </c>
      <c r="B58" s="227" t="s">
        <v>63</v>
      </c>
      <c r="C58" s="236" t="s">
        <v>119</v>
      </c>
      <c r="D58" s="230">
        <v>0</v>
      </c>
      <c r="E58" s="230">
        <v>0</v>
      </c>
    </row>
    <row r="59" spans="1:5" ht="15" customHeight="1">
      <c r="A59" s="227">
        <v>337</v>
      </c>
      <c r="B59" s="227" t="s">
        <v>18</v>
      </c>
      <c r="C59" s="236" t="s">
        <v>106</v>
      </c>
      <c r="D59" s="230">
        <v>12</v>
      </c>
      <c r="E59" s="230">
        <v>0</v>
      </c>
    </row>
    <row r="60" spans="1:5" ht="15" customHeight="1">
      <c r="A60" s="227">
        <v>2551</v>
      </c>
      <c r="B60" s="227" t="s">
        <v>279</v>
      </c>
      <c r="C60" s="236" t="s">
        <v>121</v>
      </c>
      <c r="D60" s="230">
        <v>0</v>
      </c>
      <c r="E60" s="230">
        <v>0</v>
      </c>
    </row>
    <row r="61" spans="1:5" ht="15" customHeight="1">
      <c r="A61" s="227">
        <v>2550</v>
      </c>
      <c r="B61" s="227" t="s">
        <v>25</v>
      </c>
      <c r="C61" s="236" t="s">
        <v>121</v>
      </c>
      <c r="D61" s="230">
        <v>0</v>
      </c>
      <c r="E61" s="230">
        <v>0</v>
      </c>
    </row>
    <row r="62" spans="1:5" ht="15" customHeight="1">
      <c r="A62" s="227">
        <v>2552</v>
      </c>
      <c r="B62" s="227" t="s">
        <v>43</v>
      </c>
      <c r="C62" s="236" t="s">
        <v>121</v>
      </c>
      <c r="D62" s="230">
        <v>0</v>
      </c>
      <c r="E62" s="230">
        <v>0</v>
      </c>
    </row>
    <row r="63" spans="1:5" ht="15" customHeight="1">
      <c r="A63" s="227">
        <v>2546</v>
      </c>
      <c r="B63" s="227" t="s">
        <v>66</v>
      </c>
      <c r="C63" s="236" t="s">
        <v>121</v>
      </c>
      <c r="D63" s="230">
        <v>0</v>
      </c>
      <c r="E63" s="230">
        <v>0</v>
      </c>
    </row>
    <row r="64" spans="1:5" ht="15" customHeight="1">
      <c r="A64" s="227">
        <v>1960</v>
      </c>
      <c r="B64" s="227" t="s">
        <v>20</v>
      </c>
      <c r="C64" s="236" t="s">
        <v>106</v>
      </c>
      <c r="D64" s="230">
        <v>0</v>
      </c>
      <c r="E64" s="230">
        <v>0</v>
      </c>
    </row>
    <row r="65" spans="1:5" ht="15" customHeight="1">
      <c r="A65" s="227">
        <v>313</v>
      </c>
      <c r="B65" s="227" t="s">
        <v>221</v>
      </c>
      <c r="C65" s="236" t="s">
        <v>553</v>
      </c>
      <c r="D65" s="230">
        <v>0</v>
      </c>
      <c r="E65" s="230">
        <v>0</v>
      </c>
    </row>
    <row r="66" spans="1:5" ht="15" customHeight="1">
      <c r="A66" s="227">
        <v>2631</v>
      </c>
      <c r="B66" s="227" t="s">
        <v>280</v>
      </c>
      <c r="C66" s="236" t="s">
        <v>106</v>
      </c>
      <c r="D66" s="230">
        <v>0</v>
      </c>
      <c r="E66" s="230">
        <v>0</v>
      </c>
    </row>
    <row r="67" spans="1:5" ht="15" customHeight="1">
      <c r="A67" s="227">
        <v>312</v>
      </c>
      <c r="B67" s="227" t="s">
        <v>231</v>
      </c>
      <c r="C67" s="236" t="s">
        <v>106</v>
      </c>
      <c r="D67" s="230">
        <v>0</v>
      </c>
      <c r="E67" s="230">
        <v>0</v>
      </c>
    </row>
    <row r="68" spans="1:5" ht="15" customHeight="1">
      <c r="A68" s="227">
        <v>2536</v>
      </c>
      <c r="B68" s="227" t="s">
        <v>281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293</v>
      </c>
      <c r="B69" s="227" t="s">
        <v>282</v>
      </c>
      <c r="C69" s="236" t="s">
        <v>119</v>
      </c>
      <c r="D69" s="230">
        <v>0</v>
      </c>
      <c r="E69" s="230">
        <v>0</v>
      </c>
    </row>
    <row r="70" spans="1:5" ht="15" customHeight="1">
      <c r="A70" s="227">
        <v>2340</v>
      </c>
      <c r="B70" s="227" t="s">
        <v>283</v>
      </c>
      <c r="C70" s="236" t="s">
        <v>119</v>
      </c>
      <c r="D70" s="230">
        <v>0</v>
      </c>
      <c r="E70" s="230">
        <v>0</v>
      </c>
    </row>
    <row r="71" spans="1:5" ht="15" customHeight="1">
      <c r="A71" s="227">
        <v>2136</v>
      </c>
      <c r="B71" s="227" t="s">
        <v>232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338</v>
      </c>
      <c r="B72" s="227" t="s">
        <v>24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345</v>
      </c>
      <c r="B73" s="227" t="s">
        <v>284</v>
      </c>
      <c r="C73" s="236" t="s">
        <v>106</v>
      </c>
      <c r="D73" s="230">
        <v>0</v>
      </c>
      <c r="E73" s="230">
        <v>0</v>
      </c>
    </row>
    <row r="74" spans="1:5" ht="15" customHeight="1">
      <c r="A74" s="227">
        <v>2537</v>
      </c>
      <c r="B74" s="227" t="s">
        <v>21</v>
      </c>
      <c r="C74" s="236" t="s">
        <v>133</v>
      </c>
      <c r="D74" s="230">
        <v>0</v>
      </c>
      <c r="E74" s="230">
        <v>0</v>
      </c>
    </row>
    <row r="75" spans="1:5" ht="15" customHeight="1">
      <c r="A75" s="227">
        <v>281</v>
      </c>
      <c r="B75" s="227" t="s">
        <v>22</v>
      </c>
      <c r="C75" s="236" t="s">
        <v>133</v>
      </c>
      <c r="D75" s="230">
        <v>0</v>
      </c>
      <c r="E75" s="230">
        <v>0</v>
      </c>
    </row>
    <row r="76" spans="1:5" ht="15" customHeight="1">
      <c r="A76" s="227">
        <v>2538</v>
      </c>
      <c r="B76" s="227" t="s">
        <v>65</v>
      </c>
      <c r="C76" s="236" t="s">
        <v>121</v>
      </c>
      <c r="D76" s="230">
        <v>0</v>
      </c>
      <c r="E76" s="230">
        <v>0</v>
      </c>
    </row>
    <row r="77" spans="1:5" ht="15" customHeight="1">
      <c r="A77" s="227">
        <v>306</v>
      </c>
      <c r="B77" s="227" t="s">
        <v>58</v>
      </c>
      <c r="C77" s="236" t="s">
        <v>121</v>
      </c>
      <c r="D77" s="230">
        <v>0</v>
      </c>
      <c r="E77" s="230">
        <v>0</v>
      </c>
    </row>
    <row r="78" spans="1:5" ht="15" customHeight="1">
      <c r="A78" s="227">
        <v>305</v>
      </c>
      <c r="B78" s="227" t="s">
        <v>285</v>
      </c>
      <c r="C78" s="236" t="s">
        <v>121</v>
      </c>
      <c r="D78" s="230">
        <v>0</v>
      </c>
      <c r="E78" s="230">
        <v>0</v>
      </c>
    </row>
    <row r="79" spans="1:5" ht="15" customHeight="1">
      <c r="A79" s="227">
        <v>336</v>
      </c>
      <c r="B79" s="227" t="s">
        <v>17</v>
      </c>
      <c r="C79" s="236" t="s">
        <v>106</v>
      </c>
      <c r="D79" s="230">
        <v>0</v>
      </c>
      <c r="E79" s="230">
        <v>0</v>
      </c>
    </row>
    <row r="80" spans="1:5" ht="15" customHeight="1">
      <c r="A80" s="227">
        <v>1972</v>
      </c>
      <c r="B80" s="227" t="s">
        <v>286</v>
      </c>
      <c r="C80" s="236" t="s">
        <v>106</v>
      </c>
      <c r="D80" s="230">
        <v>0</v>
      </c>
      <c r="E80" s="230">
        <v>0</v>
      </c>
    </row>
    <row r="81" spans="1:5" ht="15" customHeight="1">
      <c r="A81" s="227">
        <v>309</v>
      </c>
      <c r="B81" s="227" t="s">
        <v>287</v>
      </c>
      <c r="C81" s="236" t="s">
        <v>561</v>
      </c>
      <c r="D81" s="230">
        <v>0</v>
      </c>
      <c r="E81" s="230">
        <v>0</v>
      </c>
    </row>
    <row r="82" spans="1:5" ht="15" customHeight="1">
      <c r="A82" s="227">
        <v>333</v>
      </c>
      <c r="B82" s="227" t="s">
        <v>288</v>
      </c>
      <c r="C82" s="236" t="s">
        <v>106</v>
      </c>
      <c r="D82" s="230">
        <v>0</v>
      </c>
      <c r="E82" s="230">
        <v>0</v>
      </c>
    </row>
    <row r="83" spans="1:5" ht="15" customHeight="1">
      <c r="A83" s="227">
        <v>307</v>
      </c>
      <c r="B83" s="227" t="s">
        <v>26</v>
      </c>
      <c r="C83" s="236" t="s">
        <v>121</v>
      </c>
      <c r="D83" s="230">
        <v>0</v>
      </c>
      <c r="E83" s="230">
        <v>0</v>
      </c>
    </row>
    <row r="84" spans="1:5" ht="15" customHeight="1">
      <c r="A84" s="227">
        <v>308</v>
      </c>
      <c r="B84" s="227" t="s">
        <v>27</v>
      </c>
      <c r="C84" s="236" t="s">
        <v>562</v>
      </c>
      <c r="D84" s="230">
        <v>0</v>
      </c>
      <c r="E84" s="230">
        <v>0</v>
      </c>
    </row>
    <row r="85" spans="1:5" ht="15" customHeight="1">
      <c r="A85" s="227">
        <v>341</v>
      </c>
      <c r="B85" s="227" t="s">
        <v>289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339</v>
      </c>
      <c r="B86" s="227" t="s">
        <v>81</v>
      </c>
      <c r="C86" s="236" t="s">
        <v>106</v>
      </c>
      <c r="D86" s="230">
        <v>0</v>
      </c>
      <c r="E86" s="230">
        <v>0</v>
      </c>
    </row>
    <row r="87" spans="1:5" ht="15" customHeight="1">
      <c r="A87" s="227">
        <v>342</v>
      </c>
      <c r="B87" s="227" t="s">
        <v>203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343</v>
      </c>
      <c r="B88" s="227" t="s">
        <v>290</v>
      </c>
      <c r="C88" s="236" t="s">
        <v>106</v>
      </c>
      <c r="D88" s="230">
        <v>0</v>
      </c>
      <c r="E88" s="230">
        <v>0</v>
      </c>
    </row>
    <row r="89" spans="1:5" ht="15" customHeight="1">
      <c r="A89" s="227">
        <v>310</v>
      </c>
      <c r="B89" s="227" t="s">
        <v>30</v>
      </c>
      <c r="C89" s="236" t="s">
        <v>121</v>
      </c>
      <c r="D89" s="230">
        <v>0</v>
      </c>
      <c r="E89" s="230">
        <v>0</v>
      </c>
    </row>
    <row r="90" spans="1:5" ht="15" customHeight="1">
      <c r="A90" s="227">
        <v>334</v>
      </c>
      <c r="B90" s="227" t="s">
        <v>291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300</v>
      </c>
      <c r="B91" s="227" t="s">
        <v>19</v>
      </c>
      <c r="C91" s="236" t="s">
        <v>133</v>
      </c>
      <c r="D91" s="230">
        <v>0</v>
      </c>
      <c r="E91" s="230">
        <v>0</v>
      </c>
    </row>
    <row r="92" spans="1:5" ht="15" customHeight="1">
      <c r="A92" s="227">
        <v>301</v>
      </c>
      <c r="B92" s="227" t="s">
        <v>15</v>
      </c>
      <c r="C92" s="236" t="s">
        <v>133</v>
      </c>
      <c r="D92" s="230">
        <v>0</v>
      </c>
      <c r="E92" s="230">
        <v>0</v>
      </c>
    </row>
    <row r="93" spans="1:5" ht="15" customHeight="1">
      <c r="A93" s="227">
        <v>311</v>
      </c>
      <c r="B93" s="227" t="s">
        <v>292</v>
      </c>
      <c r="C93" s="236" t="s">
        <v>133</v>
      </c>
      <c r="D93" s="230">
        <v>0</v>
      </c>
      <c r="E93" s="230">
        <v>0</v>
      </c>
    </row>
    <row r="94" spans="1:5" ht="15" customHeight="1">
      <c r="A94" s="227">
        <v>344</v>
      </c>
      <c r="B94" s="227" t="s">
        <v>293</v>
      </c>
      <c r="C94" s="236" t="s">
        <v>106</v>
      </c>
      <c r="D94" s="230">
        <v>0</v>
      </c>
      <c r="E94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6FD5-DA02-4EB4-9B22-9BD545BF8F84}">
  <sheetPr>
    <pageSetUpPr fitToPage="1"/>
  </sheetPr>
  <dimension ref="A1:E99"/>
  <sheetViews>
    <sheetView topLeftCell="A13" zoomScale="70" zoomScaleNormal="70" workbookViewId="0">
      <selection activeCell="E15" sqref="E15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717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12</v>
      </c>
      <c r="E5" s="230">
        <v>8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16</v>
      </c>
      <c r="E6" s="230">
        <v>4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1" t="s">
        <v>717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2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10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43</v>
      </c>
      <c r="E63" s="230">
        <v>7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7D7B-234B-4C69-B6F0-E0ED7D39616A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718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8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4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718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7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C46C-1090-4E15-8C15-733E87215494}">
  <sheetPr>
    <pageSetUpPr fitToPage="1"/>
  </sheetPr>
  <dimension ref="A1:E99"/>
  <sheetViews>
    <sheetView zoomScale="85" zoomScaleNormal="85" workbookViewId="0">
      <selection activeCell="D4" sqref="D4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719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8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4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718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7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0F53-ED31-4781-8D82-DE50BA70D280}">
  <sheetPr>
    <pageSetUpPr fitToPage="1"/>
  </sheetPr>
  <dimension ref="A1:E99"/>
  <sheetViews>
    <sheetView zoomScale="85" zoomScaleNormal="85" workbookViewId="0">
      <selection activeCell="G26" sqref="G26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720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8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4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720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7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1CA7-9FA0-4C0D-9786-BB2B26370E64}">
  <sheetPr>
    <pageSetUpPr fitToPage="1"/>
  </sheetPr>
  <dimension ref="A1:E99"/>
  <sheetViews>
    <sheetView topLeftCell="G29" zoomScale="85" zoomScaleNormal="85" workbookViewId="0">
      <selection activeCell="G29" sqref="G29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707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721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721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AE17-6F76-4A5F-A2F3-A112889D08DE}">
  <sheetPr>
    <pageSetUpPr fitToPage="1"/>
  </sheetPr>
  <dimension ref="A1:E99"/>
  <sheetViews>
    <sheetView topLeftCell="A73"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723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15</v>
      </c>
      <c r="E5" s="230">
        <v>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15</v>
      </c>
      <c r="E6" s="230">
        <v>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723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3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2B13-66B4-4521-BA7F-DA2B859A252D}">
  <sheetPr>
    <pageSetUpPr fitToPage="1"/>
  </sheetPr>
  <dimension ref="A1:E99"/>
  <sheetViews>
    <sheetView topLeftCell="B73" zoomScale="85" zoomScaleNormal="85" workbookViewId="0">
      <selection activeCell="B96" sqref="B96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724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40</v>
      </c>
      <c r="E5" s="230">
        <v>10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40</v>
      </c>
      <c r="E6" s="230">
        <v>10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724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60</v>
      </c>
      <c r="E63" s="230">
        <v>40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10</v>
      </c>
      <c r="E94" s="230">
        <v>10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10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9E80-4C36-4076-8E71-8F9CA6419824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725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25</v>
      </c>
      <c r="E5" s="230">
        <v>15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25</v>
      </c>
      <c r="E6" s="230">
        <v>15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725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5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5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5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2</v>
      </c>
      <c r="E48" s="230">
        <v>8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2</v>
      </c>
      <c r="E54" s="230">
        <v>4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2</v>
      </c>
      <c r="E56" s="230">
        <v>4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70</v>
      </c>
      <c r="E63" s="230">
        <v>30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10</v>
      </c>
      <c r="E94" s="230">
        <v>30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993D-3BE8-4DC2-A43B-D39DF557E76A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725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40</v>
      </c>
      <c r="E5" s="230">
        <v>20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40</v>
      </c>
      <c r="E6" s="230">
        <v>20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725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5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5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5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2</v>
      </c>
      <c r="E48" s="230">
        <v>8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2</v>
      </c>
      <c r="E54" s="230">
        <v>4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2</v>
      </c>
      <c r="E56" s="230">
        <v>4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70</v>
      </c>
      <c r="E63" s="230">
        <v>30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15</v>
      </c>
      <c r="E94" s="230">
        <v>25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4ABB-73FD-487D-8479-410003E82EB1}">
  <sheetPr>
    <pageSetUpPr fitToPage="1"/>
  </sheetPr>
  <dimension ref="A1:E99"/>
  <sheetViews>
    <sheetView topLeftCell="A72" zoomScale="85" zoomScaleNormal="85" workbookViewId="0">
      <selection activeCell="D63" sqref="D63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725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66</v>
      </c>
      <c r="E5" s="230">
        <v>14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65</v>
      </c>
      <c r="E6" s="230">
        <v>15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725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5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5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6</v>
      </c>
      <c r="E47" s="230">
        <v>4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3</v>
      </c>
      <c r="E48" s="230">
        <v>7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2</v>
      </c>
      <c r="E54" s="230">
        <v>4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2</v>
      </c>
      <c r="E56" s="230">
        <v>6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80</v>
      </c>
      <c r="E63" s="230">
        <v>20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20</v>
      </c>
      <c r="E94" s="230">
        <v>20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0AA3-E798-49E0-8706-7D7583FA49FC}">
  <sheetPr>
    <pageSetUpPr fitToPage="1"/>
  </sheetPr>
  <dimension ref="A1:E99"/>
  <sheetViews>
    <sheetView topLeftCell="A72" zoomScale="85" zoomScaleNormal="85" workbookViewId="0">
      <selection activeCell="D94" sqref="D94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726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80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80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726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5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5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8</v>
      </c>
      <c r="E47" s="230">
        <v>2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5</v>
      </c>
      <c r="E48" s="230">
        <v>5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4</v>
      </c>
      <c r="E54" s="230">
        <v>2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4</v>
      </c>
      <c r="E56" s="230">
        <v>2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100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30</v>
      </c>
      <c r="E94" s="230">
        <v>10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2E6E-4048-4EAB-BFEF-281AA542C909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727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10</v>
      </c>
      <c r="E5" s="230">
        <v>10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10</v>
      </c>
      <c r="E6" s="230">
        <v>10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727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2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2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2</v>
      </c>
      <c r="E47" s="230">
        <v>3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2</v>
      </c>
      <c r="E48" s="230">
        <v>3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2A47-3192-4D30-82AE-0D433F766EFC}">
  <sheetPr>
    <pageSetUpPr fitToPage="1"/>
  </sheetPr>
  <dimension ref="A1:E99"/>
  <sheetViews>
    <sheetView topLeftCell="A46" zoomScale="85" zoomScaleNormal="85" workbookViewId="0">
      <selection activeCell="D56" sqref="D56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727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35</v>
      </c>
      <c r="E5" s="230">
        <v>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35</v>
      </c>
      <c r="E6" s="230">
        <v>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727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5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5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5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5</v>
      </c>
      <c r="E48" s="230">
        <v>5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2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0704-5A33-46D8-B696-FDB184E12499}">
  <sheetPr>
    <pageSetUpPr fitToPage="1"/>
  </sheetPr>
  <dimension ref="A1:E99"/>
  <sheetViews>
    <sheetView topLeftCell="A72" zoomScale="85" zoomScaleNormal="85" workbookViewId="0">
      <selection activeCell="D43" sqref="D43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728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20</v>
      </c>
      <c r="E5" s="230">
        <v>10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15</v>
      </c>
      <c r="E6" s="230">
        <v>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728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3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3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3</v>
      </c>
      <c r="E47" s="230">
        <v>2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3</v>
      </c>
      <c r="E48" s="230">
        <v>2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CF18-1893-48C2-B1C9-789E9189C06D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729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30</v>
      </c>
      <c r="E5" s="230">
        <v>15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5</v>
      </c>
      <c r="E6" s="230">
        <v>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729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3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3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8</v>
      </c>
      <c r="E47" s="230">
        <v>2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8</v>
      </c>
      <c r="E48" s="230">
        <v>2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5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5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60</v>
      </c>
      <c r="E62" s="230">
        <v>12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0BC9-718B-489B-BB99-39EC07157C46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729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40</v>
      </c>
      <c r="E5" s="230">
        <v>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6</v>
      </c>
      <c r="E6" s="230">
        <v>4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0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729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3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3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8</v>
      </c>
      <c r="E47" s="230">
        <v>2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8</v>
      </c>
      <c r="E48" s="230">
        <v>2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5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5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72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0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0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B952-BA45-45D1-A6BE-085D3B6E9897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730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19</v>
      </c>
      <c r="E5" s="230">
        <v>30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</v>
      </c>
      <c r="E6" s="230">
        <v>17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1</v>
      </c>
      <c r="E7" s="230">
        <v>14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730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7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7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3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4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10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4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1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1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15</v>
      </c>
      <c r="E62" s="230">
        <v>21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32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1</v>
      </c>
      <c r="E78" s="230">
        <v>9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7</v>
      </c>
      <c r="E79" s="230">
        <v>19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15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4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1</v>
      </c>
      <c r="E94" s="230">
        <v>2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5</v>
      </c>
      <c r="E97" s="230">
        <v>11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BB5C-9CAE-4FAD-A6A0-F9B0C705F80F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731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39</v>
      </c>
      <c r="E5" s="230">
        <v>40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18</v>
      </c>
      <c r="E6" s="230">
        <v>30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1</v>
      </c>
      <c r="E7" s="230">
        <v>14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1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1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731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2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0</v>
      </c>
      <c r="E31" s="230">
        <v>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0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7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7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0</v>
      </c>
      <c r="E46" s="230">
        <v>0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0</v>
      </c>
      <c r="E47" s="230">
        <v>3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4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10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4</v>
      </c>
    </row>
    <row r="55" spans="1:5" ht="15" customHeight="1">
      <c r="B55" s="312" t="s">
        <v>34</v>
      </c>
      <c r="C55" s="232" t="s">
        <v>104</v>
      </c>
      <c r="D55" s="300">
        <v>0</v>
      </c>
      <c r="E55" s="230">
        <v>1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1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36</v>
      </c>
      <c r="E62" s="230">
        <v>50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0</v>
      </c>
      <c r="E63" s="230">
        <v>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0</v>
      </c>
      <c r="E71" s="230">
        <v>52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6</v>
      </c>
      <c r="E78" s="230">
        <v>3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16</v>
      </c>
      <c r="E79" s="230">
        <v>10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5</v>
      </c>
      <c r="E84" s="230">
        <v>10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1</v>
      </c>
      <c r="E89" s="230">
        <v>3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3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0</v>
      </c>
      <c r="E96" s="230">
        <v>0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10</v>
      </c>
      <c r="E97" s="230">
        <v>21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1616-3C39-41E6-9ACB-2865F6B01D52}">
  <sheetPr>
    <pageSetUpPr fitToPage="1"/>
  </sheetPr>
  <dimension ref="A1:E99"/>
  <sheetViews>
    <sheetView topLeftCell="A100" zoomScale="85" zoomScaleNormal="85" workbookViewId="0">
      <selection activeCell="D57" sqref="D57"/>
    </sheetView>
  </sheetViews>
  <sheetFormatPr defaultColWidth="10.44140625" defaultRowHeight="15" customHeight="1"/>
  <cols>
    <col min="1" max="1" width="10.44140625" style="316"/>
    <col min="2" max="2" width="64.109375" style="316" bestFit="1" customWidth="1"/>
    <col min="3" max="3" width="9.109375" style="316" bestFit="1" customWidth="1"/>
    <col min="4" max="4" width="74" style="317" customWidth="1"/>
    <col min="5" max="5" width="25.6640625" style="317" customWidth="1"/>
    <col min="6" max="16384" width="10.44140625" style="315"/>
  </cols>
  <sheetData>
    <row r="1" spans="1:5" ht="15" customHeight="1">
      <c r="A1" s="318" t="s">
        <v>722</v>
      </c>
    </row>
    <row r="2" spans="1:5" ht="15" customHeight="1">
      <c r="A2" s="488" t="s">
        <v>543</v>
      </c>
      <c r="B2" s="488"/>
      <c r="C2" s="488"/>
    </row>
    <row r="3" spans="1:5" ht="15" customHeight="1">
      <c r="A3" s="319" t="s">
        <v>544</v>
      </c>
      <c r="B3" s="320" t="s">
        <v>545</v>
      </c>
      <c r="C3" s="319" t="s">
        <v>546</v>
      </c>
      <c r="D3" s="344" t="s">
        <v>732</v>
      </c>
      <c r="E3" s="321"/>
    </row>
    <row r="4" spans="1:5" ht="15" customHeight="1">
      <c r="A4" s="322" t="s">
        <v>548</v>
      </c>
      <c r="B4" s="322"/>
      <c r="C4" s="323"/>
      <c r="D4" s="321" t="s">
        <v>549</v>
      </c>
      <c r="E4" s="324" t="s">
        <v>550</v>
      </c>
    </row>
    <row r="5" spans="1:5" ht="15" customHeight="1">
      <c r="A5" s="325">
        <v>2276</v>
      </c>
      <c r="B5" s="325" t="s">
        <v>551</v>
      </c>
      <c r="C5" s="325" t="s">
        <v>104</v>
      </c>
      <c r="D5" s="326">
        <v>25</v>
      </c>
      <c r="E5" s="326">
        <v>35</v>
      </c>
    </row>
    <row r="6" spans="1:5" ht="15" customHeight="1">
      <c r="A6" s="325">
        <v>2067</v>
      </c>
      <c r="B6" s="325" t="s">
        <v>552</v>
      </c>
      <c r="C6" s="325" t="s">
        <v>104</v>
      </c>
      <c r="D6" s="326">
        <v>15</v>
      </c>
      <c r="E6" s="326">
        <v>30</v>
      </c>
    </row>
    <row r="7" spans="1:5" ht="15" customHeight="1">
      <c r="A7" s="325">
        <v>2634</v>
      </c>
      <c r="B7" s="325" t="s">
        <v>263</v>
      </c>
      <c r="C7" s="325" t="s">
        <v>121</v>
      </c>
      <c r="D7" s="326">
        <v>1</v>
      </c>
      <c r="E7" s="326">
        <v>14</v>
      </c>
    </row>
    <row r="8" spans="1:5" ht="15" customHeight="1">
      <c r="A8" s="325">
        <v>5</v>
      </c>
      <c r="B8" s="325" t="s">
        <v>264</v>
      </c>
      <c r="C8" s="325" t="s">
        <v>106</v>
      </c>
      <c r="D8" s="326">
        <v>0</v>
      </c>
      <c r="E8" s="326">
        <v>0</v>
      </c>
    </row>
    <row r="9" spans="1:5" ht="15" customHeight="1">
      <c r="A9" s="325">
        <v>46</v>
      </c>
      <c r="B9" s="325" t="s">
        <v>14</v>
      </c>
      <c r="C9" s="325" t="s">
        <v>110</v>
      </c>
      <c r="D9" s="326">
        <v>1</v>
      </c>
      <c r="E9" s="326">
        <v>0</v>
      </c>
    </row>
    <row r="10" spans="1:5" ht="15" customHeight="1">
      <c r="A10" s="323">
        <v>59</v>
      </c>
      <c r="B10" s="323" t="s">
        <v>251</v>
      </c>
      <c r="C10" s="323" t="s">
        <v>106</v>
      </c>
      <c r="D10" s="326">
        <v>0</v>
      </c>
      <c r="E10" s="326">
        <v>0</v>
      </c>
    </row>
    <row r="11" spans="1:5" ht="15" customHeight="1">
      <c r="A11" s="325">
        <v>40</v>
      </c>
      <c r="B11" s="325" t="s">
        <v>265</v>
      </c>
      <c r="C11" s="325" t="s">
        <v>121</v>
      </c>
      <c r="D11" s="326">
        <v>0</v>
      </c>
      <c r="E11" s="326">
        <v>0</v>
      </c>
    </row>
    <row r="12" spans="1:5" ht="15" customHeight="1">
      <c r="A12" s="325">
        <v>1695</v>
      </c>
      <c r="B12" s="325" t="s">
        <v>266</v>
      </c>
      <c r="C12" s="325" t="s">
        <v>121</v>
      </c>
      <c r="D12" s="326">
        <v>0</v>
      </c>
      <c r="E12" s="326">
        <v>0</v>
      </c>
    </row>
    <row r="13" spans="1:5" ht="15" customHeight="1">
      <c r="A13" s="325">
        <v>2366</v>
      </c>
      <c r="B13" s="325" t="s">
        <v>241</v>
      </c>
      <c r="C13" s="325" t="s">
        <v>106</v>
      </c>
      <c r="D13" s="326">
        <v>0</v>
      </c>
      <c r="E13" s="326">
        <v>0</v>
      </c>
    </row>
    <row r="14" spans="1:5" ht="15" customHeight="1">
      <c r="A14" s="325">
        <v>331</v>
      </c>
      <c r="B14" s="325" t="s">
        <v>249</v>
      </c>
      <c r="C14" s="325" t="s">
        <v>553</v>
      </c>
      <c r="D14" s="326">
        <v>0</v>
      </c>
      <c r="E14" s="326">
        <v>0</v>
      </c>
    </row>
    <row r="15" spans="1:5" ht="15" customHeight="1">
      <c r="A15" s="325">
        <v>330</v>
      </c>
      <c r="B15" s="325" t="s">
        <v>13</v>
      </c>
      <c r="C15" s="325" t="s">
        <v>110</v>
      </c>
      <c r="D15" s="326">
        <v>1</v>
      </c>
      <c r="E15" s="326">
        <v>0</v>
      </c>
    </row>
    <row r="16" spans="1:5" ht="15" customHeight="1">
      <c r="A16" s="325">
        <v>65</v>
      </c>
      <c r="B16" s="325" t="s">
        <v>267</v>
      </c>
      <c r="C16" s="325" t="s">
        <v>553</v>
      </c>
      <c r="D16" s="326">
        <v>0</v>
      </c>
      <c r="E16" s="326">
        <v>0</v>
      </c>
    </row>
    <row r="17" spans="1:5" ht="15" customHeight="1">
      <c r="A17" s="325">
        <v>70</v>
      </c>
      <c r="B17" s="325" t="s">
        <v>268</v>
      </c>
      <c r="C17" s="325" t="s">
        <v>106</v>
      </c>
      <c r="D17" s="326">
        <v>0</v>
      </c>
      <c r="E17" s="326">
        <v>0</v>
      </c>
    </row>
    <row r="18" spans="1:5" ht="15" customHeight="1">
      <c r="A18" s="325">
        <v>1823</v>
      </c>
      <c r="B18" s="325" t="s">
        <v>269</v>
      </c>
      <c r="C18" s="325" t="s">
        <v>104</v>
      </c>
      <c r="D18" s="326">
        <v>0</v>
      </c>
      <c r="E18" s="326">
        <v>0</v>
      </c>
    </row>
    <row r="19" spans="1:5" ht="15" customHeight="1">
      <c r="A19" s="325"/>
      <c r="B19" s="325"/>
      <c r="C19" s="325"/>
      <c r="D19" s="326"/>
      <c r="E19" s="326"/>
    </row>
    <row r="20" spans="1:5" ht="15" customHeight="1">
      <c r="A20" s="319" t="s">
        <v>544</v>
      </c>
      <c r="B20" s="320" t="s">
        <v>545</v>
      </c>
      <c r="C20" s="319" t="s">
        <v>546</v>
      </c>
      <c r="D20" s="344" t="s">
        <v>732</v>
      </c>
      <c r="E20" s="321"/>
    </row>
    <row r="21" spans="1:5" ht="25.5" customHeight="1">
      <c r="A21" s="322" t="s">
        <v>554</v>
      </c>
      <c r="B21" s="322"/>
      <c r="C21" s="323"/>
      <c r="D21" s="327" t="s">
        <v>549</v>
      </c>
      <c r="E21" s="324" t="s">
        <v>550</v>
      </c>
    </row>
    <row r="22" spans="1:5" ht="15" customHeight="1">
      <c r="A22" s="325">
        <v>2252</v>
      </c>
      <c r="B22" s="325" t="s">
        <v>294</v>
      </c>
      <c r="C22" s="325" t="s">
        <v>106</v>
      </c>
      <c r="D22" s="326">
        <v>0</v>
      </c>
      <c r="E22" s="326">
        <v>0</v>
      </c>
    </row>
    <row r="23" spans="1:5" ht="15" customHeight="1">
      <c r="A23" s="325">
        <v>2646</v>
      </c>
      <c r="B23" s="328" t="s">
        <v>295</v>
      </c>
      <c r="C23" s="325" t="s">
        <v>555</v>
      </c>
      <c r="D23" s="326">
        <v>0</v>
      </c>
      <c r="E23" s="326">
        <v>0</v>
      </c>
    </row>
    <row r="24" spans="1:5" ht="15" customHeight="1">
      <c r="A24" s="325">
        <v>2649</v>
      </c>
      <c r="B24" s="328" t="s">
        <v>296</v>
      </c>
      <c r="C24" s="325" t="s">
        <v>555</v>
      </c>
      <c r="D24" s="326">
        <v>0</v>
      </c>
      <c r="E24" s="326">
        <v>0</v>
      </c>
    </row>
    <row r="25" spans="1:5" ht="15" customHeight="1">
      <c r="A25" s="325">
        <v>2647</v>
      </c>
      <c r="B25" s="328" t="s">
        <v>297</v>
      </c>
      <c r="C25" s="325" t="s">
        <v>555</v>
      </c>
      <c r="D25" s="326">
        <v>0</v>
      </c>
      <c r="E25" s="326">
        <v>0</v>
      </c>
    </row>
    <row r="26" spans="1:5" ht="15" customHeight="1">
      <c r="A26" s="325">
        <v>2648</v>
      </c>
      <c r="B26" s="328" t="s">
        <v>298</v>
      </c>
      <c r="C26" s="325" t="s">
        <v>555</v>
      </c>
      <c r="D26" s="326">
        <v>0</v>
      </c>
      <c r="E26" s="326">
        <v>0</v>
      </c>
    </row>
    <row r="27" spans="1:5" ht="15" customHeight="1">
      <c r="A27" s="329">
        <v>2627</v>
      </c>
      <c r="B27" s="325" t="s">
        <v>299</v>
      </c>
      <c r="C27" s="325" t="s">
        <v>555</v>
      </c>
      <c r="D27" s="326">
        <v>0</v>
      </c>
      <c r="E27" s="326">
        <v>0</v>
      </c>
    </row>
    <row r="28" spans="1:5" ht="15" customHeight="1">
      <c r="A28" s="325">
        <v>2628</v>
      </c>
      <c r="B28" s="325" t="s">
        <v>300</v>
      </c>
      <c r="C28" s="325" t="s">
        <v>555</v>
      </c>
      <c r="D28" s="326">
        <v>0</v>
      </c>
      <c r="E28" s="326">
        <v>0</v>
      </c>
    </row>
    <row r="29" spans="1:5" ht="15" customHeight="1">
      <c r="A29" s="325">
        <v>137</v>
      </c>
      <c r="B29" s="325" t="s">
        <v>53</v>
      </c>
      <c r="C29" s="325" t="s">
        <v>106</v>
      </c>
      <c r="D29" s="326">
        <v>0</v>
      </c>
      <c r="E29" s="326">
        <v>4</v>
      </c>
    </row>
    <row r="30" spans="1:5" ht="15" customHeight="1">
      <c r="A30" s="325">
        <v>2416</v>
      </c>
      <c r="B30" s="325" t="s">
        <v>301</v>
      </c>
      <c r="C30" s="325" t="s">
        <v>106</v>
      </c>
      <c r="D30" s="326">
        <v>0</v>
      </c>
      <c r="E30" s="326">
        <v>0</v>
      </c>
    </row>
    <row r="31" spans="1:5" ht="15" customHeight="1">
      <c r="A31" s="325">
        <v>2629</v>
      </c>
      <c r="B31" s="325" t="s">
        <v>70</v>
      </c>
      <c r="C31" s="325" t="s">
        <v>133</v>
      </c>
      <c r="D31" s="326">
        <v>0</v>
      </c>
      <c r="E31" s="326">
        <v>0</v>
      </c>
    </row>
    <row r="32" spans="1:5" ht="15" customHeight="1">
      <c r="A32" s="325">
        <v>2388</v>
      </c>
      <c r="B32" s="325" t="s">
        <v>256</v>
      </c>
      <c r="C32" s="325" t="s">
        <v>555</v>
      </c>
      <c r="D32" s="326">
        <v>0</v>
      </c>
      <c r="E32" s="326">
        <v>0</v>
      </c>
    </row>
    <row r="33" spans="1:5" ht="15" customHeight="1">
      <c r="A33" s="325">
        <v>2540</v>
      </c>
      <c r="B33" s="325" t="s">
        <v>302</v>
      </c>
      <c r="C33" s="325" t="s">
        <v>555</v>
      </c>
      <c r="D33" s="326">
        <v>0</v>
      </c>
      <c r="E33" s="326">
        <v>0</v>
      </c>
    </row>
    <row r="34" spans="1:5" ht="15" customHeight="1">
      <c r="A34" s="325">
        <v>84</v>
      </c>
      <c r="B34" s="325" t="s">
        <v>303</v>
      </c>
      <c r="C34" s="325" t="s">
        <v>411</v>
      </c>
      <c r="D34" s="326">
        <v>0</v>
      </c>
      <c r="E34" s="326">
        <v>0</v>
      </c>
    </row>
    <row r="35" spans="1:5" ht="15" customHeight="1">
      <c r="A35" s="325">
        <v>87</v>
      </c>
      <c r="B35" s="325" t="s">
        <v>304</v>
      </c>
      <c r="C35" s="325" t="s">
        <v>411</v>
      </c>
      <c r="D35" s="326">
        <v>0</v>
      </c>
      <c r="E35" s="326">
        <v>0</v>
      </c>
    </row>
    <row r="36" spans="1:5" ht="15" customHeight="1">
      <c r="A36" s="325">
        <v>81</v>
      </c>
      <c r="B36" s="325" t="s">
        <v>305</v>
      </c>
      <c r="C36" s="325" t="s">
        <v>411</v>
      </c>
      <c r="D36" s="326">
        <v>0</v>
      </c>
      <c r="E36" s="326">
        <v>0</v>
      </c>
    </row>
    <row r="37" spans="1:5" ht="15" customHeight="1">
      <c r="A37" s="330"/>
      <c r="B37" s="330"/>
      <c r="C37" s="330"/>
    </row>
    <row r="38" spans="1:5" ht="15" customHeight="1">
      <c r="A38" s="319" t="s">
        <v>544</v>
      </c>
      <c r="B38" s="320" t="s">
        <v>545</v>
      </c>
      <c r="C38" s="319" t="s">
        <v>546</v>
      </c>
      <c r="D38" s="331" t="s">
        <v>712</v>
      </c>
      <c r="E38" s="321"/>
    </row>
    <row r="39" spans="1:5" ht="30" customHeight="1">
      <c r="A39" s="332" t="s">
        <v>556</v>
      </c>
      <c r="B39" s="333"/>
      <c r="C39" s="323"/>
      <c r="D39" s="327" t="s">
        <v>549</v>
      </c>
      <c r="E39" s="334" t="s">
        <v>550</v>
      </c>
    </row>
    <row r="40" spans="1:5" ht="15" customHeight="1">
      <c r="A40" s="335">
        <v>276</v>
      </c>
      <c r="B40" s="335" t="s">
        <v>270</v>
      </c>
      <c r="C40" s="335" t="s">
        <v>104</v>
      </c>
      <c r="D40" s="326">
        <v>0</v>
      </c>
      <c r="E40" s="326">
        <v>0</v>
      </c>
    </row>
    <row r="41" spans="1:5" ht="15" customHeight="1">
      <c r="A41" s="335">
        <v>1938</v>
      </c>
      <c r="B41" s="335" t="s">
        <v>271</v>
      </c>
      <c r="C41" s="335" t="s">
        <v>104</v>
      </c>
      <c r="D41" s="326">
        <v>0</v>
      </c>
      <c r="E41" s="326">
        <v>0</v>
      </c>
    </row>
    <row r="42" spans="1:5" ht="15" customHeight="1">
      <c r="A42" s="335">
        <v>1949</v>
      </c>
      <c r="B42" s="335" t="s">
        <v>272</v>
      </c>
      <c r="C42" s="335" t="s">
        <v>104</v>
      </c>
      <c r="D42" s="326">
        <v>0</v>
      </c>
      <c r="E42" s="326">
        <v>0</v>
      </c>
    </row>
    <row r="43" spans="1:5" ht="15" customHeight="1">
      <c r="A43" s="335">
        <v>2519</v>
      </c>
      <c r="B43" s="335" t="s">
        <v>207</v>
      </c>
      <c r="C43" s="335" t="s">
        <v>104</v>
      </c>
      <c r="D43" s="326">
        <v>0</v>
      </c>
      <c r="E43" s="326">
        <v>0</v>
      </c>
    </row>
    <row r="44" spans="1:5" ht="15" customHeight="1">
      <c r="A44" s="335">
        <v>2520</v>
      </c>
      <c r="B44" s="335" t="s">
        <v>273</v>
      </c>
      <c r="C44" s="335" t="s">
        <v>104</v>
      </c>
      <c r="D44" s="326">
        <v>0</v>
      </c>
      <c r="E44" s="326">
        <v>0</v>
      </c>
    </row>
    <row r="45" spans="1:5" ht="15" customHeight="1">
      <c r="A45" s="335">
        <v>222</v>
      </c>
      <c r="B45" s="335" t="s">
        <v>78</v>
      </c>
      <c r="C45" s="335" t="s">
        <v>233</v>
      </c>
      <c r="D45" s="326">
        <v>0</v>
      </c>
      <c r="E45" s="326">
        <v>0</v>
      </c>
    </row>
    <row r="46" spans="1:5" ht="15" customHeight="1">
      <c r="A46" s="335">
        <v>1976</v>
      </c>
      <c r="B46" s="335" t="s">
        <v>60</v>
      </c>
      <c r="C46" s="335" t="s">
        <v>104</v>
      </c>
      <c r="D46" s="326">
        <v>0</v>
      </c>
      <c r="E46" s="326">
        <v>0</v>
      </c>
    </row>
    <row r="47" spans="1:5" ht="15" customHeight="1">
      <c r="A47" s="335">
        <v>2521</v>
      </c>
      <c r="B47" s="335" t="s">
        <v>557</v>
      </c>
      <c r="C47" s="335" t="s">
        <v>104</v>
      </c>
      <c r="D47" s="326">
        <v>3</v>
      </c>
      <c r="E47" s="326">
        <v>0</v>
      </c>
    </row>
    <row r="48" spans="1:5" ht="15" customHeight="1">
      <c r="A48" s="335">
        <v>2576</v>
      </c>
      <c r="B48" s="335" t="s">
        <v>39</v>
      </c>
      <c r="C48" s="335" t="s">
        <v>104</v>
      </c>
      <c r="D48" s="326">
        <v>1</v>
      </c>
      <c r="E48" s="326">
        <v>3</v>
      </c>
    </row>
    <row r="49" spans="1:5" ht="15" customHeight="1">
      <c r="A49" s="335">
        <v>2399</v>
      </c>
      <c r="B49" s="335" t="s">
        <v>274</v>
      </c>
      <c r="C49" s="335" t="s">
        <v>558</v>
      </c>
      <c r="D49" s="326">
        <v>0</v>
      </c>
      <c r="E49" s="326">
        <v>10</v>
      </c>
    </row>
    <row r="50" spans="1:5" ht="15" customHeight="1">
      <c r="A50" s="335">
        <v>199</v>
      </c>
      <c r="B50" s="335" t="s">
        <v>275</v>
      </c>
      <c r="C50" s="335" t="s">
        <v>233</v>
      </c>
      <c r="D50" s="326">
        <v>0</v>
      </c>
      <c r="E50" s="326">
        <v>0</v>
      </c>
    </row>
    <row r="51" spans="1:5" ht="15" customHeight="1">
      <c r="A51" s="335">
        <v>2386</v>
      </c>
      <c r="B51" s="335" t="s">
        <v>276</v>
      </c>
      <c r="C51" s="335" t="s">
        <v>558</v>
      </c>
      <c r="D51" s="326">
        <v>0</v>
      </c>
      <c r="E51" s="326">
        <v>0</v>
      </c>
    </row>
    <row r="52" spans="1:5" ht="15" customHeight="1">
      <c r="A52" s="335">
        <v>1939</v>
      </c>
      <c r="B52" s="335" t="s">
        <v>205</v>
      </c>
      <c r="C52" s="335" t="s">
        <v>104</v>
      </c>
      <c r="D52" s="326">
        <v>0</v>
      </c>
      <c r="E52" s="326">
        <v>0</v>
      </c>
    </row>
    <row r="53" spans="1:5" ht="15" customHeight="1">
      <c r="A53" s="336">
        <v>1950</v>
      </c>
      <c r="B53" s="336" t="s">
        <v>277</v>
      </c>
      <c r="C53" s="336" t="s">
        <v>104</v>
      </c>
      <c r="D53" s="337">
        <v>0</v>
      </c>
      <c r="E53" s="337">
        <v>0</v>
      </c>
    </row>
    <row r="54" spans="1:5" ht="15" customHeight="1">
      <c r="A54" s="338"/>
      <c r="B54" s="339" t="s">
        <v>713</v>
      </c>
      <c r="C54" s="340" t="s">
        <v>104</v>
      </c>
      <c r="D54" s="341">
        <v>1</v>
      </c>
      <c r="E54" s="326">
        <v>3</v>
      </c>
    </row>
    <row r="55" spans="1:5" ht="15" customHeight="1">
      <c r="B55" s="342" t="s">
        <v>34</v>
      </c>
      <c r="C55" s="316" t="s">
        <v>104</v>
      </c>
      <c r="D55" s="341">
        <v>1</v>
      </c>
      <c r="E55" s="326">
        <v>0</v>
      </c>
    </row>
    <row r="56" spans="1:5" ht="15" customHeight="1">
      <c r="A56" s="330"/>
      <c r="B56" s="343" t="s">
        <v>714</v>
      </c>
      <c r="C56" s="330" t="s">
        <v>104</v>
      </c>
      <c r="D56" s="341">
        <v>1</v>
      </c>
      <c r="E56" s="326">
        <v>0</v>
      </c>
    </row>
    <row r="57" spans="1:5" ht="15" customHeight="1">
      <c r="A57" s="330"/>
      <c r="B57" s="339" t="s">
        <v>715</v>
      </c>
      <c r="C57" s="330" t="s">
        <v>104</v>
      </c>
      <c r="D57" s="341">
        <v>0</v>
      </c>
      <c r="E57" s="326">
        <v>0</v>
      </c>
    </row>
    <row r="58" spans="1:5" ht="15" customHeight="1">
      <c r="A58" s="330"/>
      <c r="B58" s="339"/>
      <c r="C58" s="330"/>
      <c r="D58" s="341"/>
      <c r="E58" s="326"/>
    </row>
    <row r="59" spans="1:5" ht="15" customHeight="1">
      <c r="A59" s="319" t="s">
        <v>544</v>
      </c>
      <c r="B59" s="320" t="s">
        <v>545</v>
      </c>
      <c r="C59" s="319" t="s">
        <v>546</v>
      </c>
      <c r="D59" s="321" t="str">
        <f>D38</f>
        <v xml:space="preserve">    +</v>
      </c>
      <c r="E59" s="321"/>
    </row>
    <row r="60" spans="1:5" ht="15" customHeight="1">
      <c r="A60" s="322" t="s">
        <v>559</v>
      </c>
      <c r="B60" s="322"/>
      <c r="C60" s="323"/>
      <c r="D60" s="321" t="s">
        <v>549</v>
      </c>
      <c r="E60" s="321" t="s">
        <v>550</v>
      </c>
    </row>
    <row r="61" spans="1:5" ht="15" customHeight="1">
      <c r="A61" s="335">
        <v>2617</v>
      </c>
      <c r="B61" s="335" t="s">
        <v>29</v>
      </c>
      <c r="C61" s="325" t="s">
        <v>560</v>
      </c>
      <c r="D61" s="326">
        <v>0</v>
      </c>
      <c r="E61" s="326">
        <v>0</v>
      </c>
    </row>
    <row r="62" spans="1:5" ht="15" customHeight="1">
      <c r="A62" s="335">
        <v>2618</v>
      </c>
      <c r="B62" s="335" t="s">
        <v>63</v>
      </c>
      <c r="C62" s="325" t="s">
        <v>119</v>
      </c>
      <c r="D62" s="326">
        <v>50</v>
      </c>
      <c r="E62" s="326">
        <v>50</v>
      </c>
    </row>
    <row r="63" spans="1:5" ht="15" customHeight="1">
      <c r="A63" s="335">
        <v>337</v>
      </c>
      <c r="B63" s="335" t="s">
        <v>18</v>
      </c>
      <c r="C63" s="325" t="s">
        <v>106</v>
      </c>
      <c r="D63" s="326">
        <v>0</v>
      </c>
      <c r="E63" s="326">
        <v>0</v>
      </c>
    </row>
    <row r="64" spans="1:5" ht="15" customHeight="1">
      <c r="A64" s="335">
        <v>2551</v>
      </c>
      <c r="B64" s="335" t="s">
        <v>279</v>
      </c>
      <c r="C64" s="325" t="s">
        <v>121</v>
      </c>
      <c r="D64" s="326">
        <v>0</v>
      </c>
      <c r="E64" s="326">
        <v>0</v>
      </c>
    </row>
    <row r="65" spans="1:5" ht="15" customHeight="1">
      <c r="A65" s="335">
        <v>2550</v>
      </c>
      <c r="B65" s="335" t="s">
        <v>25</v>
      </c>
      <c r="C65" s="325" t="s">
        <v>121</v>
      </c>
      <c r="D65" s="326">
        <v>0</v>
      </c>
      <c r="E65" s="326">
        <v>0</v>
      </c>
    </row>
    <row r="66" spans="1:5" ht="15" customHeight="1">
      <c r="A66" s="335">
        <v>2552</v>
      </c>
      <c r="B66" s="335" t="s">
        <v>43</v>
      </c>
      <c r="C66" s="325" t="s">
        <v>121</v>
      </c>
      <c r="D66" s="326">
        <v>0</v>
      </c>
      <c r="E66" s="326">
        <v>0</v>
      </c>
    </row>
    <row r="67" spans="1:5" ht="15" customHeight="1">
      <c r="A67" s="335">
        <v>2546</v>
      </c>
      <c r="B67" s="335" t="s">
        <v>66</v>
      </c>
      <c r="C67" s="325" t="s">
        <v>121</v>
      </c>
      <c r="D67" s="326">
        <v>0</v>
      </c>
      <c r="E67" s="326">
        <v>0</v>
      </c>
    </row>
    <row r="68" spans="1:5" ht="15" customHeight="1">
      <c r="A68" s="335">
        <v>1960</v>
      </c>
      <c r="B68" s="335" t="s">
        <v>20</v>
      </c>
      <c r="C68" s="325" t="s">
        <v>106</v>
      </c>
      <c r="D68" s="326">
        <v>0</v>
      </c>
      <c r="E68" s="326">
        <v>0</v>
      </c>
    </row>
    <row r="69" spans="1:5" ht="15" customHeight="1">
      <c r="A69" s="335">
        <v>313</v>
      </c>
      <c r="B69" s="335" t="s">
        <v>221</v>
      </c>
      <c r="C69" s="325" t="s">
        <v>553</v>
      </c>
      <c r="D69" s="326">
        <v>0</v>
      </c>
      <c r="E69" s="326">
        <v>0</v>
      </c>
    </row>
    <row r="70" spans="1:5" ht="15" customHeight="1">
      <c r="A70" s="335">
        <v>2631</v>
      </c>
      <c r="B70" s="335" t="s">
        <v>280</v>
      </c>
      <c r="C70" s="325" t="s">
        <v>106</v>
      </c>
      <c r="D70" s="326">
        <v>0</v>
      </c>
      <c r="E70" s="326">
        <v>0</v>
      </c>
    </row>
    <row r="71" spans="1:5" ht="15" customHeight="1">
      <c r="A71" s="335">
        <v>312</v>
      </c>
      <c r="B71" s="335" t="s">
        <v>231</v>
      </c>
      <c r="C71" s="325" t="s">
        <v>106</v>
      </c>
      <c r="D71" s="326">
        <v>5</v>
      </c>
      <c r="E71" s="326">
        <v>47</v>
      </c>
    </row>
    <row r="72" spans="1:5" ht="15" customHeight="1">
      <c r="A72" s="335">
        <v>2536</v>
      </c>
      <c r="B72" s="335" t="s">
        <v>281</v>
      </c>
      <c r="C72" s="325" t="s">
        <v>106</v>
      </c>
      <c r="D72" s="326">
        <v>0</v>
      </c>
      <c r="E72" s="326">
        <v>0</v>
      </c>
    </row>
    <row r="73" spans="1:5" ht="15" customHeight="1">
      <c r="A73" s="335">
        <v>293</v>
      </c>
      <c r="B73" s="335" t="s">
        <v>282</v>
      </c>
      <c r="C73" s="325" t="s">
        <v>119</v>
      </c>
      <c r="D73" s="326">
        <v>0</v>
      </c>
      <c r="E73" s="326">
        <v>0</v>
      </c>
    </row>
    <row r="74" spans="1:5" ht="15" customHeight="1">
      <c r="A74" s="335">
        <v>2340</v>
      </c>
      <c r="B74" s="335" t="s">
        <v>283</v>
      </c>
      <c r="C74" s="325" t="s">
        <v>119</v>
      </c>
      <c r="D74" s="326">
        <v>0</v>
      </c>
      <c r="E74" s="326">
        <v>0</v>
      </c>
    </row>
    <row r="75" spans="1:5" ht="15" customHeight="1">
      <c r="A75" s="335">
        <v>2136</v>
      </c>
      <c r="B75" s="335" t="s">
        <v>232</v>
      </c>
      <c r="C75" s="325" t="s">
        <v>106</v>
      </c>
      <c r="D75" s="326">
        <v>0</v>
      </c>
      <c r="E75" s="326">
        <v>0</v>
      </c>
    </row>
    <row r="76" spans="1:5" ht="15" customHeight="1">
      <c r="A76" s="335">
        <v>338</v>
      </c>
      <c r="B76" s="335" t="s">
        <v>24</v>
      </c>
      <c r="C76" s="325" t="s">
        <v>106</v>
      </c>
      <c r="D76" s="326">
        <v>0</v>
      </c>
      <c r="E76" s="326">
        <v>0</v>
      </c>
    </row>
    <row r="77" spans="1:5" ht="15" customHeight="1">
      <c r="A77" s="335">
        <v>345</v>
      </c>
      <c r="B77" s="335" t="s">
        <v>284</v>
      </c>
      <c r="C77" s="325" t="s">
        <v>106</v>
      </c>
      <c r="D77" s="326">
        <v>0</v>
      </c>
      <c r="E77" s="326">
        <v>0</v>
      </c>
    </row>
    <row r="78" spans="1:5" ht="15" customHeight="1">
      <c r="A78" s="335">
        <v>2537</v>
      </c>
      <c r="B78" s="335" t="s">
        <v>21</v>
      </c>
      <c r="C78" s="325" t="s">
        <v>133</v>
      </c>
      <c r="D78" s="326">
        <v>6</v>
      </c>
      <c r="E78" s="326">
        <v>3</v>
      </c>
    </row>
    <row r="79" spans="1:5" ht="15" customHeight="1">
      <c r="A79" s="335">
        <v>281</v>
      </c>
      <c r="B79" s="335" t="s">
        <v>22</v>
      </c>
      <c r="C79" s="325" t="s">
        <v>133</v>
      </c>
      <c r="D79" s="326">
        <v>16</v>
      </c>
      <c r="E79" s="326">
        <v>10</v>
      </c>
    </row>
    <row r="80" spans="1:5" ht="15" customHeight="1">
      <c r="A80" s="335">
        <v>2538</v>
      </c>
      <c r="B80" s="335" t="s">
        <v>65</v>
      </c>
      <c r="C80" s="325" t="s">
        <v>121</v>
      </c>
      <c r="D80" s="326">
        <v>0</v>
      </c>
      <c r="E80" s="326">
        <v>0</v>
      </c>
    </row>
    <row r="81" spans="1:5" ht="15" customHeight="1">
      <c r="A81" s="335">
        <v>306</v>
      </c>
      <c r="B81" s="335" t="s">
        <v>58</v>
      </c>
      <c r="C81" s="325" t="s">
        <v>121</v>
      </c>
      <c r="D81" s="326">
        <v>0</v>
      </c>
      <c r="E81" s="326">
        <v>0</v>
      </c>
    </row>
    <row r="82" spans="1:5" ht="15" customHeight="1">
      <c r="A82" s="335">
        <v>305</v>
      </c>
      <c r="B82" s="335" t="s">
        <v>285</v>
      </c>
      <c r="C82" s="325" t="s">
        <v>121</v>
      </c>
      <c r="D82" s="326">
        <v>0</v>
      </c>
      <c r="E82" s="326">
        <v>0</v>
      </c>
    </row>
    <row r="83" spans="1:5" ht="15" customHeight="1">
      <c r="A83" s="335">
        <v>336</v>
      </c>
      <c r="B83" s="335" t="s">
        <v>17</v>
      </c>
      <c r="C83" s="325" t="s">
        <v>106</v>
      </c>
      <c r="D83" s="326">
        <v>0</v>
      </c>
      <c r="E83" s="326">
        <v>0</v>
      </c>
    </row>
    <row r="84" spans="1:5" ht="15" customHeight="1">
      <c r="A84" s="335"/>
      <c r="B84" s="335" t="s">
        <v>23</v>
      </c>
      <c r="C84" s="325" t="s">
        <v>106</v>
      </c>
      <c r="D84" s="326">
        <v>5</v>
      </c>
      <c r="E84" s="326">
        <v>5</v>
      </c>
    </row>
    <row r="85" spans="1:5" ht="15" customHeight="1">
      <c r="A85" s="335">
        <v>1972</v>
      </c>
      <c r="B85" s="335" t="s">
        <v>286</v>
      </c>
      <c r="C85" s="325" t="s">
        <v>106</v>
      </c>
      <c r="D85" s="326">
        <v>0</v>
      </c>
      <c r="E85" s="326">
        <v>0</v>
      </c>
    </row>
    <row r="86" spans="1:5" ht="15" customHeight="1">
      <c r="A86" s="335">
        <v>309</v>
      </c>
      <c r="B86" s="335" t="s">
        <v>287</v>
      </c>
      <c r="C86" s="325" t="s">
        <v>561</v>
      </c>
      <c r="D86" s="326">
        <v>0</v>
      </c>
      <c r="E86" s="326">
        <v>0</v>
      </c>
    </row>
    <row r="87" spans="1:5" ht="15" customHeight="1">
      <c r="A87" s="335">
        <v>333</v>
      </c>
      <c r="B87" s="335" t="s">
        <v>288</v>
      </c>
      <c r="C87" s="325" t="s">
        <v>106</v>
      </c>
      <c r="D87" s="326">
        <v>0</v>
      </c>
      <c r="E87" s="326">
        <v>0</v>
      </c>
    </row>
    <row r="88" spans="1:5" ht="15" customHeight="1">
      <c r="A88" s="335">
        <v>307</v>
      </c>
      <c r="B88" s="335" t="s">
        <v>26</v>
      </c>
      <c r="C88" s="325" t="s">
        <v>121</v>
      </c>
      <c r="D88" s="326">
        <v>0</v>
      </c>
      <c r="E88" s="326">
        <v>0</v>
      </c>
    </row>
    <row r="89" spans="1:5" ht="15" customHeight="1">
      <c r="A89" s="335">
        <v>308</v>
      </c>
      <c r="B89" s="335" t="s">
        <v>27</v>
      </c>
      <c r="C89" s="325" t="s">
        <v>562</v>
      </c>
      <c r="D89" s="326">
        <v>1</v>
      </c>
      <c r="E89" s="326">
        <v>3</v>
      </c>
    </row>
    <row r="90" spans="1:5" ht="15" customHeight="1">
      <c r="A90" s="335">
        <v>341</v>
      </c>
      <c r="B90" s="335" t="s">
        <v>289</v>
      </c>
      <c r="C90" s="325" t="s">
        <v>106</v>
      </c>
      <c r="D90" s="326">
        <v>0</v>
      </c>
      <c r="E90" s="326">
        <v>0</v>
      </c>
    </row>
    <row r="91" spans="1:5" ht="15" customHeight="1">
      <c r="A91" s="335">
        <v>339</v>
      </c>
      <c r="B91" s="335" t="s">
        <v>81</v>
      </c>
      <c r="C91" s="325" t="s">
        <v>106</v>
      </c>
      <c r="D91" s="326">
        <v>0</v>
      </c>
      <c r="E91" s="326">
        <v>0</v>
      </c>
    </row>
    <row r="92" spans="1:5" ht="15" customHeight="1">
      <c r="A92" s="335">
        <v>342</v>
      </c>
      <c r="B92" s="335" t="s">
        <v>203</v>
      </c>
      <c r="C92" s="325" t="s">
        <v>106</v>
      </c>
      <c r="D92" s="326">
        <v>0</v>
      </c>
      <c r="E92" s="326">
        <v>0</v>
      </c>
    </row>
    <row r="93" spans="1:5" ht="15" customHeight="1">
      <c r="A93" s="335">
        <v>343</v>
      </c>
      <c r="B93" s="335" t="s">
        <v>290</v>
      </c>
      <c r="C93" s="325" t="s">
        <v>106</v>
      </c>
      <c r="D93" s="326">
        <v>0</v>
      </c>
      <c r="E93" s="326">
        <v>0</v>
      </c>
    </row>
    <row r="94" spans="1:5" ht="15" customHeight="1">
      <c r="A94" s="335">
        <v>310</v>
      </c>
      <c r="B94" s="335" t="s">
        <v>30</v>
      </c>
      <c r="C94" s="325" t="s">
        <v>121</v>
      </c>
      <c r="D94" s="326">
        <v>0</v>
      </c>
      <c r="E94" s="326">
        <v>0</v>
      </c>
    </row>
    <row r="95" spans="1:5" ht="15" customHeight="1">
      <c r="A95" s="335">
        <v>334</v>
      </c>
      <c r="B95" s="335" t="s">
        <v>291</v>
      </c>
      <c r="C95" s="325" t="s">
        <v>106</v>
      </c>
      <c r="D95" s="326">
        <v>0</v>
      </c>
      <c r="E95" s="326">
        <v>0</v>
      </c>
    </row>
    <row r="96" spans="1:5" ht="15" customHeight="1">
      <c r="A96" s="335">
        <v>300</v>
      </c>
      <c r="B96" s="335" t="s">
        <v>19</v>
      </c>
      <c r="C96" s="325" t="s">
        <v>133</v>
      </c>
      <c r="D96" s="326">
        <v>0</v>
      </c>
      <c r="E96" s="326">
        <v>0</v>
      </c>
    </row>
    <row r="97" spans="1:5" ht="15" customHeight="1">
      <c r="A97" s="335">
        <v>301</v>
      </c>
      <c r="B97" s="335" t="s">
        <v>15</v>
      </c>
      <c r="C97" s="325" t="s">
        <v>133</v>
      </c>
      <c r="D97" s="326">
        <v>10</v>
      </c>
      <c r="E97" s="326">
        <v>11</v>
      </c>
    </row>
    <row r="98" spans="1:5" ht="15" customHeight="1">
      <c r="A98" s="335">
        <v>311</v>
      </c>
      <c r="B98" s="335" t="s">
        <v>292</v>
      </c>
      <c r="C98" s="325" t="s">
        <v>133</v>
      </c>
      <c r="D98" s="326">
        <v>0</v>
      </c>
      <c r="E98" s="326">
        <v>0</v>
      </c>
    </row>
    <row r="99" spans="1:5" ht="15" customHeight="1">
      <c r="A99" s="335">
        <v>344</v>
      </c>
      <c r="B99" s="335" t="s">
        <v>293</v>
      </c>
      <c r="C99" s="325" t="s">
        <v>106</v>
      </c>
      <c r="D99" s="326">
        <v>0</v>
      </c>
      <c r="E99" s="326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243E-A3B7-45D4-B5C0-BFC01D2405E1}">
  <sheetPr>
    <pageSetUpPr fitToPage="1"/>
  </sheetPr>
  <dimension ref="A1:E99"/>
  <sheetViews>
    <sheetView topLeftCell="D57" zoomScale="85" zoomScaleNormal="85" workbookViewId="0">
      <selection activeCell="D57" sqref="D57"/>
    </sheetView>
  </sheetViews>
  <sheetFormatPr defaultColWidth="10.44140625" defaultRowHeight="15" customHeight="1"/>
  <cols>
    <col min="1" max="1" width="10.44140625" style="316"/>
    <col min="2" max="2" width="64.109375" style="316" bestFit="1" customWidth="1"/>
    <col min="3" max="3" width="9.109375" style="316" bestFit="1" customWidth="1"/>
    <col min="4" max="4" width="74" style="317" customWidth="1"/>
    <col min="5" max="5" width="25.6640625" style="317" customWidth="1"/>
    <col min="6" max="16384" width="10.44140625" style="315"/>
  </cols>
  <sheetData>
    <row r="1" spans="1:5" ht="15" customHeight="1">
      <c r="A1" s="318" t="s">
        <v>722</v>
      </c>
    </row>
    <row r="2" spans="1:5" ht="15" customHeight="1">
      <c r="A2" s="488" t="s">
        <v>543</v>
      </c>
      <c r="B2" s="488"/>
      <c r="C2" s="488"/>
    </row>
    <row r="3" spans="1:5" ht="15" customHeight="1">
      <c r="A3" s="319" t="s">
        <v>544</v>
      </c>
      <c r="B3" s="320" t="s">
        <v>545</v>
      </c>
      <c r="C3" s="319" t="s">
        <v>546</v>
      </c>
      <c r="D3" s="344" t="s">
        <v>733</v>
      </c>
      <c r="E3" s="321"/>
    </row>
    <row r="4" spans="1:5" ht="15" customHeight="1">
      <c r="A4" s="322" t="s">
        <v>548</v>
      </c>
      <c r="B4" s="322"/>
      <c r="C4" s="323"/>
      <c r="D4" s="321" t="s">
        <v>549</v>
      </c>
      <c r="E4" s="324" t="s">
        <v>550</v>
      </c>
    </row>
    <row r="5" spans="1:5" ht="15" customHeight="1">
      <c r="A5" s="325">
        <v>2276</v>
      </c>
      <c r="B5" s="325" t="s">
        <v>551</v>
      </c>
      <c r="C5" s="325" t="s">
        <v>104</v>
      </c>
      <c r="D5" s="326">
        <v>25</v>
      </c>
      <c r="E5" s="326">
        <v>10</v>
      </c>
    </row>
    <row r="6" spans="1:5" ht="15" customHeight="1">
      <c r="A6" s="325">
        <v>2067</v>
      </c>
      <c r="B6" s="325" t="s">
        <v>552</v>
      </c>
      <c r="C6" s="325" t="s">
        <v>104</v>
      </c>
      <c r="D6" s="326">
        <v>5</v>
      </c>
      <c r="E6" s="326">
        <v>25</v>
      </c>
    </row>
    <row r="7" spans="1:5" ht="15" customHeight="1">
      <c r="A7" s="325">
        <v>2634</v>
      </c>
      <c r="B7" s="325" t="s">
        <v>263</v>
      </c>
      <c r="C7" s="325" t="s">
        <v>121</v>
      </c>
      <c r="D7" s="326">
        <v>1</v>
      </c>
      <c r="E7" s="326">
        <v>13</v>
      </c>
    </row>
    <row r="8" spans="1:5" ht="15" customHeight="1">
      <c r="A8" s="325">
        <v>5</v>
      </c>
      <c r="B8" s="325" t="s">
        <v>264</v>
      </c>
      <c r="C8" s="325" t="s">
        <v>106</v>
      </c>
      <c r="D8" s="326">
        <v>0</v>
      </c>
      <c r="E8" s="326">
        <v>0</v>
      </c>
    </row>
    <row r="9" spans="1:5" ht="15" customHeight="1">
      <c r="A9" s="325">
        <v>46</v>
      </c>
      <c r="B9" s="325" t="s">
        <v>14</v>
      </c>
      <c r="C9" s="325" t="s">
        <v>110</v>
      </c>
      <c r="D9" s="326">
        <v>0</v>
      </c>
      <c r="E9" s="326">
        <v>0</v>
      </c>
    </row>
    <row r="10" spans="1:5" ht="15" customHeight="1">
      <c r="A10" s="323">
        <v>59</v>
      </c>
      <c r="B10" s="323" t="s">
        <v>251</v>
      </c>
      <c r="C10" s="323" t="s">
        <v>106</v>
      </c>
      <c r="D10" s="326">
        <v>0</v>
      </c>
      <c r="E10" s="326">
        <v>0</v>
      </c>
    </row>
    <row r="11" spans="1:5" ht="15" customHeight="1">
      <c r="A11" s="325">
        <v>40</v>
      </c>
      <c r="B11" s="325" t="s">
        <v>265</v>
      </c>
      <c r="C11" s="325" t="s">
        <v>121</v>
      </c>
      <c r="D11" s="326">
        <v>0</v>
      </c>
      <c r="E11" s="326">
        <v>0</v>
      </c>
    </row>
    <row r="12" spans="1:5" ht="15" customHeight="1">
      <c r="A12" s="325">
        <v>1695</v>
      </c>
      <c r="B12" s="325" t="s">
        <v>266</v>
      </c>
      <c r="C12" s="325" t="s">
        <v>121</v>
      </c>
      <c r="D12" s="326">
        <v>0</v>
      </c>
      <c r="E12" s="326">
        <v>0</v>
      </c>
    </row>
    <row r="13" spans="1:5" ht="15" customHeight="1">
      <c r="A13" s="325">
        <v>2366</v>
      </c>
      <c r="B13" s="325" t="s">
        <v>241</v>
      </c>
      <c r="C13" s="325" t="s">
        <v>106</v>
      </c>
      <c r="D13" s="326">
        <v>0</v>
      </c>
      <c r="E13" s="326">
        <v>0</v>
      </c>
    </row>
    <row r="14" spans="1:5" ht="15" customHeight="1">
      <c r="A14" s="325">
        <v>331</v>
      </c>
      <c r="B14" s="325" t="s">
        <v>249</v>
      </c>
      <c r="C14" s="325" t="s">
        <v>553</v>
      </c>
      <c r="D14" s="326">
        <v>0</v>
      </c>
      <c r="E14" s="326">
        <v>0</v>
      </c>
    </row>
    <row r="15" spans="1:5" ht="15" customHeight="1">
      <c r="A15" s="325">
        <v>330</v>
      </c>
      <c r="B15" s="325" t="s">
        <v>13</v>
      </c>
      <c r="C15" s="325" t="s">
        <v>110</v>
      </c>
      <c r="D15" s="326">
        <v>0</v>
      </c>
      <c r="E15" s="326">
        <v>0</v>
      </c>
    </row>
    <row r="16" spans="1:5" ht="15" customHeight="1">
      <c r="A16" s="325">
        <v>65</v>
      </c>
      <c r="B16" s="325" t="s">
        <v>267</v>
      </c>
      <c r="C16" s="325" t="s">
        <v>553</v>
      </c>
      <c r="D16" s="326">
        <v>0</v>
      </c>
      <c r="E16" s="326">
        <v>0</v>
      </c>
    </row>
    <row r="17" spans="1:5" ht="15" customHeight="1">
      <c r="A17" s="325">
        <v>70</v>
      </c>
      <c r="B17" s="325" t="s">
        <v>268</v>
      </c>
      <c r="C17" s="325" t="s">
        <v>106</v>
      </c>
      <c r="D17" s="326">
        <v>0</v>
      </c>
      <c r="E17" s="326">
        <v>0</v>
      </c>
    </row>
    <row r="18" spans="1:5" ht="15" customHeight="1">
      <c r="A18" s="325">
        <v>1823</v>
      </c>
      <c r="B18" s="325" t="s">
        <v>269</v>
      </c>
      <c r="C18" s="325" t="s">
        <v>104</v>
      </c>
      <c r="D18" s="326">
        <v>0</v>
      </c>
      <c r="E18" s="326">
        <v>0</v>
      </c>
    </row>
    <row r="19" spans="1:5" ht="15" customHeight="1">
      <c r="A19" s="325"/>
      <c r="B19" s="325"/>
      <c r="C19" s="325"/>
      <c r="D19" s="326"/>
      <c r="E19" s="326"/>
    </row>
    <row r="20" spans="1:5" ht="15" customHeight="1">
      <c r="A20" s="319" t="s">
        <v>544</v>
      </c>
      <c r="B20" s="320" t="s">
        <v>545</v>
      </c>
      <c r="C20" s="319" t="s">
        <v>546</v>
      </c>
      <c r="D20" s="344" t="s">
        <v>733</v>
      </c>
      <c r="E20" s="321"/>
    </row>
    <row r="21" spans="1:5" ht="25.5" customHeight="1">
      <c r="A21" s="322" t="s">
        <v>554</v>
      </c>
      <c r="B21" s="322"/>
      <c r="C21" s="323"/>
      <c r="D21" s="327" t="s">
        <v>549</v>
      </c>
      <c r="E21" s="324" t="s">
        <v>550</v>
      </c>
    </row>
    <row r="22" spans="1:5" ht="15" customHeight="1">
      <c r="A22" s="325">
        <v>2252</v>
      </c>
      <c r="B22" s="325" t="s">
        <v>294</v>
      </c>
      <c r="C22" s="325" t="s">
        <v>106</v>
      </c>
      <c r="D22" s="326">
        <v>0</v>
      </c>
      <c r="E22" s="326">
        <v>0</v>
      </c>
    </row>
    <row r="23" spans="1:5" ht="15" customHeight="1">
      <c r="A23" s="325">
        <v>2646</v>
      </c>
      <c r="B23" s="328" t="s">
        <v>295</v>
      </c>
      <c r="C23" s="325" t="s">
        <v>555</v>
      </c>
      <c r="D23" s="326">
        <v>0</v>
      </c>
      <c r="E23" s="326">
        <v>0</v>
      </c>
    </row>
    <row r="24" spans="1:5" ht="15" customHeight="1">
      <c r="A24" s="325">
        <v>2649</v>
      </c>
      <c r="B24" s="328" t="s">
        <v>296</v>
      </c>
      <c r="C24" s="325" t="s">
        <v>555</v>
      </c>
      <c r="D24" s="326">
        <v>0</v>
      </c>
      <c r="E24" s="326">
        <v>0</v>
      </c>
    </row>
    <row r="25" spans="1:5" ht="15" customHeight="1">
      <c r="A25" s="325">
        <v>2647</v>
      </c>
      <c r="B25" s="328" t="s">
        <v>297</v>
      </c>
      <c r="C25" s="325" t="s">
        <v>555</v>
      </c>
      <c r="D25" s="326">
        <v>0</v>
      </c>
      <c r="E25" s="326">
        <v>0</v>
      </c>
    </row>
    <row r="26" spans="1:5" ht="15" customHeight="1">
      <c r="A26" s="325">
        <v>2648</v>
      </c>
      <c r="B26" s="328" t="s">
        <v>298</v>
      </c>
      <c r="C26" s="325" t="s">
        <v>555</v>
      </c>
      <c r="D26" s="326">
        <v>0</v>
      </c>
      <c r="E26" s="326">
        <v>0</v>
      </c>
    </row>
    <row r="27" spans="1:5" ht="15" customHeight="1">
      <c r="A27" s="329">
        <v>2627</v>
      </c>
      <c r="B27" s="325" t="s">
        <v>299</v>
      </c>
      <c r="C27" s="325" t="s">
        <v>555</v>
      </c>
      <c r="D27" s="326">
        <v>0</v>
      </c>
      <c r="E27" s="326">
        <v>0</v>
      </c>
    </row>
    <row r="28" spans="1:5" ht="15" customHeight="1">
      <c r="A28" s="325">
        <v>2628</v>
      </c>
      <c r="B28" s="325" t="s">
        <v>300</v>
      </c>
      <c r="C28" s="325" t="s">
        <v>555</v>
      </c>
      <c r="D28" s="326">
        <v>0</v>
      </c>
      <c r="E28" s="326">
        <v>0</v>
      </c>
    </row>
    <row r="29" spans="1:5" ht="15" customHeight="1">
      <c r="A29" s="325">
        <v>137</v>
      </c>
      <c r="B29" s="325" t="s">
        <v>53</v>
      </c>
      <c r="C29" s="325" t="s">
        <v>106</v>
      </c>
      <c r="D29" s="326">
        <v>0</v>
      </c>
      <c r="E29" s="326">
        <v>4</v>
      </c>
    </row>
    <row r="30" spans="1:5" ht="15" customHeight="1">
      <c r="A30" s="325">
        <v>2416</v>
      </c>
      <c r="B30" s="325" t="s">
        <v>301</v>
      </c>
      <c r="C30" s="325" t="s">
        <v>106</v>
      </c>
      <c r="D30" s="326">
        <v>0</v>
      </c>
      <c r="E30" s="326">
        <v>0</v>
      </c>
    </row>
    <row r="31" spans="1:5" ht="15" customHeight="1">
      <c r="A31" s="325">
        <v>2629</v>
      </c>
      <c r="B31" s="325" t="s">
        <v>70</v>
      </c>
      <c r="C31" s="325" t="s">
        <v>133</v>
      </c>
      <c r="D31" s="326">
        <v>0</v>
      </c>
      <c r="E31" s="326">
        <v>0</v>
      </c>
    </row>
    <row r="32" spans="1:5" ht="15" customHeight="1">
      <c r="A32" s="325">
        <v>2388</v>
      </c>
      <c r="B32" s="325" t="s">
        <v>256</v>
      </c>
      <c r="C32" s="325" t="s">
        <v>555</v>
      </c>
      <c r="D32" s="326">
        <v>0</v>
      </c>
      <c r="E32" s="326">
        <v>0</v>
      </c>
    </row>
    <row r="33" spans="1:5" ht="15" customHeight="1">
      <c r="A33" s="325">
        <v>2540</v>
      </c>
      <c r="B33" s="325" t="s">
        <v>302</v>
      </c>
      <c r="C33" s="325" t="s">
        <v>555</v>
      </c>
      <c r="D33" s="326">
        <v>0</v>
      </c>
      <c r="E33" s="326">
        <v>0</v>
      </c>
    </row>
    <row r="34" spans="1:5" ht="15" customHeight="1">
      <c r="A34" s="325">
        <v>84</v>
      </c>
      <c r="B34" s="325" t="s">
        <v>303</v>
      </c>
      <c r="C34" s="325" t="s">
        <v>411</v>
      </c>
      <c r="D34" s="326">
        <v>0</v>
      </c>
      <c r="E34" s="326">
        <v>0</v>
      </c>
    </row>
    <row r="35" spans="1:5" ht="15" customHeight="1">
      <c r="A35" s="325">
        <v>87</v>
      </c>
      <c r="B35" s="325" t="s">
        <v>304</v>
      </c>
      <c r="C35" s="325" t="s">
        <v>411</v>
      </c>
      <c r="D35" s="326">
        <v>0</v>
      </c>
      <c r="E35" s="326">
        <v>0</v>
      </c>
    </row>
    <row r="36" spans="1:5" ht="15" customHeight="1">
      <c r="A36" s="325">
        <v>81</v>
      </c>
      <c r="B36" s="325" t="s">
        <v>305</v>
      </c>
      <c r="C36" s="325" t="s">
        <v>411</v>
      </c>
      <c r="D36" s="326">
        <v>0</v>
      </c>
      <c r="E36" s="326">
        <v>0</v>
      </c>
    </row>
    <row r="37" spans="1:5" ht="15" customHeight="1">
      <c r="A37" s="330"/>
      <c r="B37" s="330"/>
      <c r="C37" s="330"/>
    </row>
    <row r="38" spans="1:5" ht="15" customHeight="1">
      <c r="A38" s="319" t="s">
        <v>544</v>
      </c>
      <c r="B38" s="320" t="s">
        <v>545</v>
      </c>
      <c r="C38" s="319" t="s">
        <v>546</v>
      </c>
      <c r="D38" s="331" t="s">
        <v>712</v>
      </c>
      <c r="E38" s="321"/>
    </row>
    <row r="39" spans="1:5" ht="30" customHeight="1">
      <c r="A39" s="332" t="s">
        <v>556</v>
      </c>
      <c r="B39" s="333"/>
      <c r="C39" s="323"/>
      <c r="D39" s="327" t="s">
        <v>549</v>
      </c>
      <c r="E39" s="334" t="s">
        <v>550</v>
      </c>
    </row>
    <row r="40" spans="1:5" ht="15" customHeight="1">
      <c r="A40" s="335">
        <v>276</v>
      </c>
      <c r="B40" s="335" t="s">
        <v>270</v>
      </c>
      <c r="C40" s="335" t="s">
        <v>104</v>
      </c>
      <c r="D40" s="326">
        <v>0</v>
      </c>
      <c r="E40" s="326">
        <v>0</v>
      </c>
    </row>
    <row r="41" spans="1:5" ht="15" customHeight="1">
      <c r="A41" s="335">
        <v>1938</v>
      </c>
      <c r="B41" s="335" t="s">
        <v>271</v>
      </c>
      <c r="C41" s="335" t="s">
        <v>104</v>
      </c>
      <c r="D41" s="326">
        <v>0</v>
      </c>
      <c r="E41" s="326">
        <v>0</v>
      </c>
    </row>
    <row r="42" spans="1:5" ht="15" customHeight="1">
      <c r="A42" s="335">
        <v>1949</v>
      </c>
      <c r="B42" s="335" t="s">
        <v>272</v>
      </c>
      <c r="C42" s="335" t="s">
        <v>104</v>
      </c>
      <c r="D42" s="326">
        <v>0</v>
      </c>
      <c r="E42" s="326">
        <v>0</v>
      </c>
    </row>
    <row r="43" spans="1:5" ht="15" customHeight="1">
      <c r="A43" s="335">
        <v>2519</v>
      </c>
      <c r="B43" s="335" t="s">
        <v>207</v>
      </c>
      <c r="C43" s="335" t="s">
        <v>104</v>
      </c>
      <c r="D43" s="326">
        <v>0</v>
      </c>
      <c r="E43" s="326">
        <v>0</v>
      </c>
    </row>
    <row r="44" spans="1:5" ht="15" customHeight="1">
      <c r="A44" s="335">
        <v>2520</v>
      </c>
      <c r="B44" s="335" t="s">
        <v>273</v>
      </c>
      <c r="C44" s="335" t="s">
        <v>104</v>
      </c>
      <c r="D44" s="326">
        <v>0</v>
      </c>
      <c r="E44" s="326">
        <v>0</v>
      </c>
    </row>
    <row r="45" spans="1:5" ht="15" customHeight="1">
      <c r="A45" s="335">
        <v>222</v>
      </c>
      <c r="B45" s="335" t="s">
        <v>78</v>
      </c>
      <c r="C45" s="335" t="s">
        <v>233</v>
      </c>
      <c r="D45" s="326">
        <v>0</v>
      </c>
      <c r="E45" s="326">
        <v>0</v>
      </c>
    </row>
    <row r="46" spans="1:5" ht="15" customHeight="1">
      <c r="A46" s="335">
        <v>1976</v>
      </c>
      <c r="B46" s="335" t="s">
        <v>60</v>
      </c>
      <c r="C46" s="335" t="s">
        <v>104</v>
      </c>
      <c r="D46" s="326">
        <v>0</v>
      </c>
      <c r="E46" s="326">
        <v>0</v>
      </c>
    </row>
    <row r="47" spans="1:5" ht="15" customHeight="1">
      <c r="A47" s="335">
        <v>2521</v>
      </c>
      <c r="B47" s="335" t="s">
        <v>557</v>
      </c>
      <c r="C47" s="335" t="s">
        <v>104</v>
      </c>
      <c r="D47" s="326">
        <v>0</v>
      </c>
      <c r="E47" s="326">
        <v>0</v>
      </c>
    </row>
    <row r="48" spans="1:5" ht="15" customHeight="1">
      <c r="A48" s="335">
        <v>2576</v>
      </c>
      <c r="B48" s="335" t="s">
        <v>39</v>
      </c>
      <c r="C48" s="335" t="s">
        <v>104</v>
      </c>
      <c r="D48" s="326">
        <v>0</v>
      </c>
      <c r="E48" s="326">
        <v>0</v>
      </c>
    </row>
    <row r="49" spans="1:5" ht="15" customHeight="1">
      <c r="A49" s="335">
        <v>2399</v>
      </c>
      <c r="B49" s="335" t="s">
        <v>274</v>
      </c>
      <c r="C49" s="335" t="s">
        <v>558</v>
      </c>
      <c r="D49" s="326">
        <v>0</v>
      </c>
      <c r="E49" s="326">
        <v>0</v>
      </c>
    </row>
    <row r="50" spans="1:5" ht="15" customHeight="1">
      <c r="A50" s="335">
        <v>199</v>
      </c>
      <c r="B50" s="335" t="s">
        <v>275</v>
      </c>
      <c r="C50" s="335" t="s">
        <v>233</v>
      </c>
      <c r="D50" s="326">
        <v>0</v>
      </c>
      <c r="E50" s="326">
        <v>0</v>
      </c>
    </row>
    <row r="51" spans="1:5" ht="15" customHeight="1">
      <c r="A51" s="335">
        <v>2386</v>
      </c>
      <c r="B51" s="335" t="s">
        <v>276</v>
      </c>
      <c r="C51" s="335" t="s">
        <v>558</v>
      </c>
      <c r="D51" s="326">
        <v>0</v>
      </c>
      <c r="E51" s="326">
        <v>0</v>
      </c>
    </row>
    <row r="52" spans="1:5" ht="15" customHeight="1">
      <c r="A52" s="335">
        <v>1939</v>
      </c>
      <c r="B52" s="335" t="s">
        <v>205</v>
      </c>
      <c r="C52" s="335" t="s">
        <v>104</v>
      </c>
      <c r="D52" s="326">
        <v>0</v>
      </c>
      <c r="E52" s="326">
        <v>0</v>
      </c>
    </row>
    <row r="53" spans="1:5" ht="15" customHeight="1">
      <c r="A53" s="336">
        <v>1950</v>
      </c>
      <c r="B53" s="336" t="s">
        <v>277</v>
      </c>
      <c r="C53" s="336" t="s">
        <v>104</v>
      </c>
      <c r="D53" s="337">
        <v>0</v>
      </c>
      <c r="E53" s="337">
        <v>0</v>
      </c>
    </row>
    <row r="54" spans="1:5" ht="15" customHeight="1">
      <c r="A54" s="338"/>
      <c r="B54" s="339" t="s">
        <v>713</v>
      </c>
      <c r="C54" s="340" t="s">
        <v>104</v>
      </c>
      <c r="D54" s="341">
        <v>0</v>
      </c>
      <c r="E54" s="326">
        <v>0</v>
      </c>
    </row>
    <row r="55" spans="1:5" ht="15" customHeight="1">
      <c r="B55" s="342" t="s">
        <v>34</v>
      </c>
      <c r="C55" s="316" t="s">
        <v>104</v>
      </c>
      <c r="D55" s="341">
        <v>0</v>
      </c>
      <c r="E55" s="326">
        <v>0</v>
      </c>
    </row>
    <row r="56" spans="1:5" ht="15" customHeight="1">
      <c r="A56" s="330"/>
      <c r="B56" s="343" t="s">
        <v>714</v>
      </c>
      <c r="C56" s="330" t="s">
        <v>104</v>
      </c>
      <c r="D56" s="341">
        <v>0</v>
      </c>
      <c r="E56" s="326">
        <v>0</v>
      </c>
    </row>
    <row r="57" spans="1:5" ht="15" customHeight="1">
      <c r="A57" s="330"/>
      <c r="B57" s="339" t="s">
        <v>715</v>
      </c>
      <c r="C57" s="330" t="s">
        <v>104</v>
      </c>
      <c r="D57" s="341">
        <v>0</v>
      </c>
      <c r="E57" s="326">
        <v>0</v>
      </c>
    </row>
    <row r="58" spans="1:5" ht="15" customHeight="1">
      <c r="A58" s="330"/>
      <c r="B58" s="339"/>
      <c r="C58" s="330"/>
      <c r="D58" s="341"/>
      <c r="E58" s="326"/>
    </row>
    <row r="59" spans="1:5" ht="15" customHeight="1">
      <c r="A59" s="319" t="s">
        <v>544</v>
      </c>
      <c r="B59" s="320" t="s">
        <v>545</v>
      </c>
      <c r="C59" s="319" t="s">
        <v>546</v>
      </c>
      <c r="D59" s="321" t="str">
        <f>D38</f>
        <v xml:space="preserve">    +</v>
      </c>
      <c r="E59" s="321"/>
    </row>
    <row r="60" spans="1:5" ht="15" customHeight="1">
      <c r="A60" s="322" t="s">
        <v>559</v>
      </c>
      <c r="B60" s="322"/>
      <c r="C60" s="323"/>
      <c r="D60" s="321" t="s">
        <v>549</v>
      </c>
      <c r="E60" s="321" t="s">
        <v>550</v>
      </c>
    </row>
    <row r="61" spans="1:5" ht="15" customHeight="1">
      <c r="A61" s="335">
        <v>2617</v>
      </c>
      <c r="B61" s="335" t="s">
        <v>29</v>
      </c>
      <c r="C61" s="325" t="s">
        <v>560</v>
      </c>
      <c r="D61" s="326">
        <v>0</v>
      </c>
      <c r="E61" s="326">
        <v>0</v>
      </c>
    </row>
    <row r="62" spans="1:5" ht="15" customHeight="1">
      <c r="A62" s="335">
        <v>2618</v>
      </c>
      <c r="B62" s="335" t="s">
        <v>63</v>
      </c>
      <c r="C62" s="325" t="s">
        <v>119</v>
      </c>
      <c r="D62" s="326">
        <v>25</v>
      </c>
      <c r="E62" s="326">
        <v>25</v>
      </c>
    </row>
    <row r="63" spans="1:5" ht="15" customHeight="1">
      <c r="A63" s="335">
        <v>337</v>
      </c>
      <c r="B63" s="335" t="s">
        <v>18</v>
      </c>
      <c r="C63" s="325" t="s">
        <v>106</v>
      </c>
      <c r="D63" s="326">
        <v>0</v>
      </c>
      <c r="E63" s="326">
        <v>0</v>
      </c>
    </row>
    <row r="64" spans="1:5" ht="15" customHeight="1">
      <c r="A64" s="335">
        <v>2551</v>
      </c>
      <c r="B64" s="335" t="s">
        <v>279</v>
      </c>
      <c r="C64" s="325" t="s">
        <v>121</v>
      </c>
      <c r="D64" s="326">
        <v>0</v>
      </c>
      <c r="E64" s="326">
        <v>0</v>
      </c>
    </row>
    <row r="65" spans="1:5" ht="15" customHeight="1">
      <c r="A65" s="335">
        <v>2550</v>
      </c>
      <c r="B65" s="335" t="s">
        <v>25</v>
      </c>
      <c r="C65" s="325" t="s">
        <v>121</v>
      </c>
      <c r="D65" s="326">
        <v>0</v>
      </c>
      <c r="E65" s="326">
        <v>0</v>
      </c>
    </row>
    <row r="66" spans="1:5" ht="15" customHeight="1">
      <c r="A66" s="335">
        <v>2552</v>
      </c>
      <c r="B66" s="335" t="s">
        <v>43</v>
      </c>
      <c r="C66" s="325" t="s">
        <v>121</v>
      </c>
      <c r="D66" s="326">
        <v>0</v>
      </c>
      <c r="E66" s="326">
        <v>0</v>
      </c>
    </row>
    <row r="67" spans="1:5" ht="15" customHeight="1">
      <c r="A67" s="335">
        <v>2546</v>
      </c>
      <c r="B67" s="335" t="s">
        <v>66</v>
      </c>
      <c r="C67" s="325" t="s">
        <v>121</v>
      </c>
      <c r="D67" s="326">
        <v>0</v>
      </c>
      <c r="E67" s="326">
        <v>0</v>
      </c>
    </row>
    <row r="68" spans="1:5" ht="15" customHeight="1">
      <c r="A68" s="335">
        <v>1960</v>
      </c>
      <c r="B68" s="335" t="s">
        <v>20</v>
      </c>
      <c r="C68" s="325" t="s">
        <v>106</v>
      </c>
      <c r="D68" s="326">
        <v>0</v>
      </c>
      <c r="E68" s="326">
        <v>0</v>
      </c>
    </row>
    <row r="69" spans="1:5" ht="15" customHeight="1">
      <c r="A69" s="335">
        <v>313</v>
      </c>
      <c r="B69" s="335" t="s">
        <v>221</v>
      </c>
      <c r="C69" s="325" t="s">
        <v>553</v>
      </c>
      <c r="D69" s="326">
        <v>0</v>
      </c>
      <c r="E69" s="326">
        <v>0</v>
      </c>
    </row>
    <row r="70" spans="1:5" ht="15" customHeight="1">
      <c r="A70" s="335">
        <v>2631</v>
      </c>
      <c r="B70" s="335" t="s">
        <v>280</v>
      </c>
      <c r="C70" s="325" t="s">
        <v>106</v>
      </c>
      <c r="D70" s="326">
        <v>0</v>
      </c>
      <c r="E70" s="326">
        <v>0</v>
      </c>
    </row>
    <row r="71" spans="1:5" ht="15" customHeight="1">
      <c r="A71" s="335">
        <v>312</v>
      </c>
      <c r="B71" s="335" t="s">
        <v>231</v>
      </c>
      <c r="C71" s="325" t="s">
        <v>106</v>
      </c>
      <c r="D71" s="326">
        <v>5</v>
      </c>
      <c r="E71" s="326">
        <v>42</v>
      </c>
    </row>
    <row r="72" spans="1:5" ht="15" customHeight="1">
      <c r="A72" s="335">
        <v>2536</v>
      </c>
      <c r="B72" s="335" t="s">
        <v>281</v>
      </c>
      <c r="C72" s="325" t="s">
        <v>106</v>
      </c>
      <c r="D72" s="326">
        <v>0</v>
      </c>
      <c r="E72" s="326">
        <v>0</v>
      </c>
    </row>
    <row r="73" spans="1:5" ht="15" customHeight="1">
      <c r="A73" s="335">
        <v>293</v>
      </c>
      <c r="B73" s="335" t="s">
        <v>282</v>
      </c>
      <c r="C73" s="325" t="s">
        <v>119</v>
      </c>
      <c r="D73" s="326">
        <v>0</v>
      </c>
      <c r="E73" s="326">
        <v>0</v>
      </c>
    </row>
    <row r="74" spans="1:5" ht="15" customHeight="1">
      <c r="A74" s="335">
        <v>2340</v>
      </c>
      <c r="B74" s="335" t="s">
        <v>283</v>
      </c>
      <c r="C74" s="325" t="s">
        <v>119</v>
      </c>
      <c r="D74" s="326">
        <v>0</v>
      </c>
      <c r="E74" s="326">
        <v>0</v>
      </c>
    </row>
    <row r="75" spans="1:5" ht="15" customHeight="1">
      <c r="A75" s="335">
        <v>2136</v>
      </c>
      <c r="B75" s="335" t="s">
        <v>232</v>
      </c>
      <c r="C75" s="325" t="s">
        <v>106</v>
      </c>
      <c r="D75" s="326">
        <v>0</v>
      </c>
      <c r="E75" s="326">
        <v>0</v>
      </c>
    </row>
    <row r="76" spans="1:5" ht="15" customHeight="1">
      <c r="A76" s="335">
        <v>338</v>
      </c>
      <c r="B76" s="335" t="s">
        <v>24</v>
      </c>
      <c r="C76" s="325" t="s">
        <v>106</v>
      </c>
      <c r="D76" s="326">
        <v>0</v>
      </c>
      <c r="E76" s="326">
        <v>0</v>
      </c>
    </row>
    <row r="77" spans="1:5" ht="15" customHeight="1">
      <c r="A77" s="335">
        <v>345</v>
      </c>
      <c r="B77" s="335" t="s">
        <v>284</v>
      </c>
      <c r="C77" s="325" t="s">
        <v>106</v>
      </c>
      <c r="D77" s="326">
        <v>0</v>
      </c>
      <c r="E77" s="326">
        <v>0</v>
      </c>
    </row>
    <row r="78" spans="1:5" ht="15" customHeight="1">
      <c r="A78" s="335">
        <v>2537</v>
      </c>
      <c r="B78" s="335" t="s">
        <v>21</v>
      </c>
      <c r="C78" s="325" t="s">
        <v>133</v>
      </c>
      <c r="D78" s="326">
        <v>6</v>
      </c>
      <c r="E78" s="326">
        <v>3</v>
      </c>
    </row>
    <row r="79" spans="1:5" ht="15" customHeight="1">
      <c r="A79" s="335">
        <v>281</v>
      </c>
      <c r="B79" s="335" t="s">
        <v>22</v>
      </c>
      <c r="C79" s="325" t="s">
        <v>133</v>
      </c>
      <c r="D79" s="326">
        <v>0</v>
      </c>
      <c r="E79" s="326">
        <v>10</v>
      </c>
    </row>
    <row r="80" spans="1:5" ht="15" customHeight="1">
      <c r="A80" s="335">
        <v>2538</v>
      </c>
      <c r="B80" s="335" t="s">
        <v>65</v>
      </c>
      <c r="C80" s="325" t="s">
        <v>121</v>
      </c>
      <c r="D80" s="326">
        <v>0</v>
      </c>
      <c r="E80" s="326">
        <v>0</v>
      </c>
    </row>
    <row r="81" spans="1:5" ht="15" customHeight="1">
      <c r="A81" s="335">
        <v>306</v>
      </c>
      <c r="B81" s="335" t="s">
        <v>58</v>
      </c>
      <c r="C81" s="325" t="s">
        <v>121</v>
      </c>
      <c r="D81" s="326">
        <v>0</v>
      </c>
      <c r="E81" s="326">
        <v>0</v>
      </c>
    </row>
    <row r="82" spans="1:5" ht="15" customHeight="1">
      <c r="A82" s="335">
        <v>305</v>
      </c>
      <c r="B82" s="335" t="s">
        <v>285</v>
      </c>
      <c r="C82" s="325" t="s">
        <v>121</v>
      </c>
      <c r="D82" s="326">
        <v>0</v>
      </c>
      <c r="E82" s="326">
        <v>0</v>
      </c>
    </row>
    <row r="83" spans="1:5" ht="15" customHeight="1">
      <c r="A83" s="335">
        <v>336</v>
      </c>
      <c r="B83" s="335" t="s">
        <v>17</v>
      </c>
      <c r="C83" s="325" t="s">
        <v>106</v>
      </c>
      <c r="D83" s="326">
        <v>0</v>
      </c>
      <c r="E83" s="326">
        <v>0</v>
      </c>
    </row>
    <row r="84" spans="1:5" ht="15" customHeight="1">
      <c r="A84" s="335"/>
      <c r="B84" s="335" t="s">
        <v>23</v>
      </c>
      <c r="C84" s="325" t="s">
        <v>106</v>
      </c>
      <c r="D84" s="326">
        <v>2</v>
      </c>
      <c r="E84" s="326">
        <v>3</v>
      </c>
    </row>
    <row r="85" spans="1:5" ht="15" customHeight="1">
      <c r="A85" s="335">
        <v>1972</v>
      </c>
      <c r="B85" s="335" t="s">
        <v>286</v>
      </c>
      <c r="C85" s="325" t="s">
        <v>106</v>
      </c>
      <c r="D85" s="326">
        <v>0</v>
      </c>
      <c r="E85" s="326">
        <v>0</v>
      </c>
    </row>
    <row r="86" spans="1:5" ht="15" customHeight="1">
      <c r="A86" s="335">
        <v>309</v>
      </c>
      <c r="B86" s="335" t="s">
        <v>287</v>
      </c>
      <c r="C86" s="325" t="s">
        <v>561</v>
      </c>
      <c r="D86" s="326">
        <v>0</v>
      </c>
      <c r="E86" s="326">
        <v>0</v>
      </c>
    </row>
    <row r="87" spans="1:5" ht="15" customHeight="1">
      <c r="A87" s="335">
        <v>333</v>
      </c>
      <c r="B87" s="335" t="s">
        <v>288</v>
      </c>
      <c r="C87" s="325" t="s">
        <v>106</v>
      </c>
      <c r="D87" s="326">
        <v>0</v>
      </c>
      <c r="E87" s="326">
        <v>0</v>
      </c>
    </row>
    <row r="88" spans="1:5" ht="15" customHeight="1">
      <c r="A88" s="335">
        <v>307</v>
      </c>
      <c r="B88" s="335" t="s">
        <v>26</v>
      </c>
      <c r="C88" s="325" t="s">
        <v>121</v>
      </c>
      <c r="D88" s="326">
        <v>0</v>
      </c>
      <c r="E88" s="326">
        <v>0</v>
      </c>
    </row>
    <row r="89" spans="1:5" ht="15" customHeight="1">
      <c r="A89" s="335">
        <v>308</v>
      </c>
      <c r="B89" s="335" t="s">
        <v>27</v>
      </c>
      <c r="C89" s="325" t="s">
        <v>562</v>
      </c>
      <c r="D89" s="326">
        <v>1</v>
      </c>
      <c r="E89" s="326">
        <v>3</v>
      </c>
    </row>
    <row r="90" spans="1:5" ht="15" customHeight="1">
      <c r="A90" s="335">
        <v>341</v>
      </c>
      <c r="B90" s="335" t="s">
        <v>289</v>
      </c>
      <c r="C90" s="325" t="s">
        <v>106</v>
      </c>
      <c r="D90" s="326">
        <v>0</v>
      </c>
      <c r="E90" s="326">
        <v>0</v>
      </c>
    </row>
    <row r="91" spans="1:5" ht="15" customHeight="1">
      <c r="A91" s="335">
        <v>339</v>
      </c>
      <c r="B91" s="335" t="s">
        <v>81</v>
      </c>
      <c r="C91" s="325" t="s">
        <v>106</v>
      </c>
      <c r="D91" s="326">
        <v>0</v>
      </c>
      <c r="E91" s="326">
        <v>0</v>
      </c>
    </row>
    <row r="92" spans="1:5" ht="15" customHeight="1">
      <c r="A92" s="335">
        <v>342</v>
      </c>
      <c r="B92" s="335" t="s">
        <v>203</v>
      </c>
      <c r="C92" s="325" t="s">
        <v>106</v>
      </c>
      <c r="D92" s="326">
        <v>0</v>
      </c>
      <c r="E92" s="326">
        <v>0</v>
      </c>
    </row>
    <row r="93" spans="1:5" ht="15" customHeight="1">
      <c r="A93" s="335">
        <v>343</v>
      </c>
      <c r="B93" s="335" t="s">
        <v>290</v>
      </c>
      <c r="C93" s="325" t="s">
        <v>106</v>
      </c>
      <c r="D93" s="326">
        <v>0</v>
      </c>
      <c r="E93" s="326">
        <v>0</v>
      </c>
    </row>
    <row r="94" spans="1:5" ht="15" customHeight="1">
      <c r="A94" s="335">
        <v>310</v>
      </c>
      <c r="B94" s="335" t="s">
        <v>30</v>
      </c>
      <c r="C94" s="325" t="s">
        <v>121</v>
      </c>
      <c r="D94" s="326">
        <v>0</v>
      </c>
      <c r="E94" s="326">
        <v>0</v>
      </c>
    </row>
    <row r="95" spans="1:5" ht="15" customHeight="1">
      <c r="A95" s="335">
        <v>334</v>
      </c>
      <c r="B95" s="335" t="s">
        <v>291</v>
      </c>
      <c r="C95" s="325" t="s">
        <v>106</v>
      </c>
      <c r="D95" s="326">
        <v>0</v>
      </c>
      <c r="E95" s="326">
        <v>0</v>
      </c>
    </row>
    <row r="96" spans="1:5" ht="15" customHeight="1">
      <c r="A96" s="335">
        <v>300</v>
      </c>
      <c r="B96" s="335" t="s">
        <v>19</v>
      </c>
      <c r="C96" s="325" t="s">
        <v>133</v>
      </c>
      <c r="D96" s="326">
        <v>0</v>
      </c>
      <c r="E96" s="326">
        <v>0</v>
      </c>
    </row>
    <row r="97" spans="1:5" ht="15" customHeight="1">
      <c r="A97" s="335">
        <v>301</v>
      </c>
      <c r="B97" s="335" t="s">
        <v>15</v>
      </c>
      <c r="C97" s="325" t="s">
        <v>133</v>
      </c>
      <c r="D97" s="326">
        <v>2</v>
      </c>
      <c r="E97" s="326">
        <v>9</v>
      </c>
    </row>
    <row r="98" spans="1:5" ht="15" customHeight="1">
      <c r="A98" s="335">
        <v>311</v>
      </c>
      <c r="B98" s="335" t="s">
        <v>292</v>
      </c>
      <c r="C98" s="325" t="s">
        <v>133</v>
      </c>
      <c r="D98" s="326">
        <v>0</v>
      </c>
      <c r="E98" s="326">
        <v>0</v>
      </c>
    </row>
    <row r="99" spans="1:5" ht="15" customHeight="1">
      <c r="A99" s="335">
        <v>344</v>
      </c>
      <c r="B99" s="335" t="s">
        <v>293</v>
      </c>
      <c r="C99" s="325" t="s">
        <v>106</v>
      </c>
      <c r="D99" s="326">
        <v>0</v>
      </c>
      <c r="E99" s="326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7442-B8DE-4116-B0DC-E579BE2FB22C}">
  <sheetPr>
    <pageSetUpPr fitToPage="1"/>
  </sheetPr>
  <dimension ref="A1:E99"/>
  <sheetViews>
    <sheetView topLeftCell="A86"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231" t="s">
        <v>722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734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25</v>
      </c>
      <c r="E5" s="230">
        <v>15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10</v>
      </c>
      <c r="E6" s="230">
        <v>15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1</v>
      </c>
      <c r="E7" s="230">
        <v>13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1</v>
      </c>
      <c r="E9" s="230">
        <v>1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1</v>
      </c>
      <c r="E15" s="230">
        <v>1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734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1</v>
      </c>
      <c r="E29" s="230">
        <v>8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10</v>
      </c>
      <c r="E31" s="230">
        <v>40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5</v>
      </c>
      <c r="E41" s="230">
        <v>0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0</v>
      </c>
      <c r="E42" s="230">
        <v>0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1</v>
      </c>
      <c r="E46" s="230">
        <v>9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5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2</v>
      </c>
      <c r="E55" s="230">
        <v>3</v>
      </c>
    </row>
    <row r="56" spans="1:5" ht="15" customHeight="1">
      <c r="A56" s="239"/>
      <c r="B56" s="303" t="s">
        <v>714</v>
      </c>
      <c r="C56" s="239" t="s">
        <v>104</v>
      </c>
      <c r="D56" s="300">
        <v>0</v>
      </c>
      <c r="E56" s="230">
        <v>0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25</v>
      </c>
      <c r="E62" s="230">
        <v>50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10</v>
      </c>
      <c r="E63" s="230">
        <v>190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5</v>
      </c>
      <c r="E71" s="230">
        <v>42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6</v>
      </c>
      <c r="E78" s="230">
        <v>3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0</v>
      </c>
      <c r="E79" s="230">
        <v>10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3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2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1</v>
      </c>
      <c r="E89" s="230">
        <v>2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5</v>
      </c>
      <c r="E96" s="230">
        <v>15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8</v>
      </c>
      <c r="E97" s="230">
        <v>21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0CC8-28D4-46B9-A0AC-AD9830B66869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318" t="s">
        <v>735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736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11</v>
      </c>
      <c r="E5" s="230">
        <v>9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10</v>
      </c>
      <c r="E6" s="230">
        <v>20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13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1</v>
      </c>
      <c r="E9" s="230">
        <v>1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1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736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1</v>
      </c>
      <c r="E29" s="230">
        <v>12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20</v>
      </c>
      <c r="E31" s="230">
        <v>60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1</v>
      </c>
      <c r="E41" s="230">
        <v>4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1</v>
      </c>
      <c r="E42" s="230">
        <v>4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1</v>
      </c>
      <c r="E46" s="230">
        <v>9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5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2</v>
      </c>
      <c r="E55" s="230">
        <v>1</v>
      </c>
    </row>
    <row r="56" spans="1:5" ht="15" customHeight="1">
      <c r="A56" s="239"/>
      <c r="B56" s="303" t="s">
        <v>714</v>
      </c>
      <c r="C56" s="239" t="s">
        <v>104</v>
      </c>
      <c r="D56" s="300">
        <v>1</v>
      </c>
      <c r="E56" s="230">
        <v>2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18</v>
      </c>
      <c r="E62" s="230">
        <v>26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2</v>
      </c>
      <c r="E63" s="230">
        <v>583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2</v>
      </c>
      <c r="E71" s="230">
        <v>41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1</v>
      </c>
      <c r="E78" s="230">
        <v>2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34</v>
      </c>
      <c r="E79" s="230">
        <v>368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3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2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1</v>
      </c>
      <c r="E89" s="230">
        <v>2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3</v>
      </c>
      <c r="E96" s="230">
        <v>12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3</v>
      </c>
      <c r="E97" s="230">
        <v>23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01E3-442E-45B2-8753-38455355DFF6}">
  <sheetPr>
    <pageSetUpPr fitToPage="1"/>
  </sheetPr>
  <dimension ref="A1:E99"/>
  <sheetViews>
    <sheetView topLeftCell="A7"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318" t="s">
        <v>735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737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11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15</v>
      </c>
      <c r="E6" s="230">
        <v>15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13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2</v>
      </c>
      <c r="E9" s="230">
        <v>1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737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1</v>
      </c>
      <c r="E29" s="230">
        <v>12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30</v>
      </c>
      <c r="E31" s="230">
        <v>30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1</v>
      </c>
      <c r="E41" s="230">
        <v>4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1</v>
      </c>
      <c r="E42" s="230">
        <v>4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1</v>
      </c>
      <c r="E46" s="230">
        <v>9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2</v>
      </c>
      <c r="E55" s="230">
        <v>1</v>
      </c>
    </row>
    <row r="56" spans="1:5" ht="15" customHeight="1">
      <c r="A56" s="239"/>
      <c r="B56" s="303" t="s">
        <v>714</v>
      </c>
      <c r="C56" s="239" t="s">
        <v>104</v>
      </c>
      <c r="D56" s="300">
        <v>1</v>
      </c>
      <c r="E56" s="230">
        <v>2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15</v>
      </c>
      <c r="E62" s="230">
        <v>11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210</v>
      </c>
      <c r="E63" s="230">
        <v>373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2</v>
      </c>
      <c r="E71" s="230">
        <v>41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1</v>
      </c>
      <c r="E78" s="230">
        <v>2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36</v>
      </c>
      <c r="E79" s="230">
        <v>332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3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2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2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3</v>
      </c>
      <c r="E96" s="230">
        <v>9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3</v>
      </c>
      <c r="E97" s="230">
        <v>20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5A4C-F03D-4332-B21B-ACF9A6D80292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318" t="s">
        <v>735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738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10</v>
      </c>
      <c r="E6" s="230">
        <v>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13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1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738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12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30</v>
      </c>
      <c r="E31" s="230">
        <v>70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1</v>
      </c>
      <c r="E41" s="230">
        <v>3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1</v>
      </c>
      <c r="E42" s="230">
        <v>3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1</v>
      </c>
      <c r="E46" s="230">
        <v>9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1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1</v>
      </c>
      <c r="E56" s="230">
        <v>1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23</v>
      </c>
      <c r="E63" s="230">
        <v>350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10</v>
      </c>
      <c r="E71" s="230">
        <v>31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1</v>
      </c>
      <c r="E78" s="230">
        <v>2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24</v>
      </c>
      <c r="E79" s="230">
        <v>308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1</v>
      </c>
      <c r="E96" s="230">
        <v>8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10</v>
      </c>
      <c r="E97" s="230">
        <v>10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0897-05B5-4F5C-9D83-E2C7494F67B3}">
  <sheetPr>
    <pageSetUpPr fitToPage="1"/>
  </sheetPr>
  <dimension ref="A1:E99"/>
  <sheetViews>
    <sheetView zoomScale="85" zoomScaleNormal="85" workbookViewId="0"/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318" t="s">
        <v>735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739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0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0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13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0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739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12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20</v>
      </c>
      <c r="E31" s="230">
        <v>50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1</v>
      </c>
      <c r="E41" s="230">
        <v>3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1</v>
      </c>
      <c r="E42" s="230">
        <v>3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1</v>
      </c>
      <c r="E46" s="230">
        <v>9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1</v>
      </c>
      <c r="E55" s="230">
        <v>0</v>
      </c>
    </row>
    <row r="56" spans="1:5" ht="15" customHeight="1">
      <c r="A56" s="239"/>
      <c r="B56" s="303" t="s">
        <v>714</v>
      </c>
      <c r="C56" s="239" t="s">
        <v>104</v>
      </c>
      <c r="D56" s="300">
        <v>1</v>
      </c>
      <c r="E56" s="230">
        <v>1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18</v>
      </c>
      <c r="C63" s="236" t="s">
        <v>106</v>
      </c>
      <c r="D63" s="230">
        <v>23</v>
      </c>
      <c r="E63" s="230">
        <v>350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10</v>
      </c>
      <c r="E71" s="230">
        <v>31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1</v>
      </c>
      <c r="E78" s="230">
        <v>2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16</v>
      </c>
      <c r="E79" s="230">
        <v>292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2</v>
      </c>
      <c r="E96" s="230">
        <v>6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2</v>
      </c>
      <c r="E97" s="230">
        <v>8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39D4-D061-49AD-8705-3B0E2FDCE20B}">
  <sheetPr>
    <pageSetUpPr fitToPage="1"/>
  </sheetPr>
  <dimension ref="A1:E99"/>
  <sheetViews>
    <sheetView topLeftCell="A62" zoomScale="85" zoomScaleNormal="85" workbookViewId="0">
      <selection activeCell="D96" sqref="D96"/>
    </sheetView>
  </sheetViews>
  <sheetFormatPr defaultColWidth="10.44140625" defaultRowHeight="15" customHeight="1"/>
  <cols>
    <col min="1" max="1" width="10.44140625" style="232"/>
    <col min="2" max="2" width="64.109375" style="232" bestFit="1" customWidth="1"/>
    <col min="3" max="3" width="9.109375" style="232"/>
    <col min="4" max="4" width="74" style="229" customWidth="1"/>
    <col min="5" max="5" width="25.6640625" style="229" customWidth="1"/>
    <col min="6" max="16384" width="10.44140625" style="228"/>
  </cols>
  <sheetData>
    <row r="1" spans="1:5" ht="15" customHeight="1">
      <c r="A1" s="318" t="s">
        <v>735</v>
      </c>
    </row>
    <row r="2" spans="1:5" ht="15" customHeight="1">
      <c r="A2" s="346" t="s">
        <v>543</v>
      </c>
      <c r="B2" s="346"/>
      <c r="C2" s="346"/>
    </row>
    <row r="3" spans="1:5" ht="15" customHeight="1">
      <c r="A3" s="233" t="s">
        <v>544</v>
      </c>
      <c r="B3" s="234" t="s">
        <v>545</v>
      </c>
      <c r="C3" s="233" t="s">
        <v>546</v>
      </c>
      <c r="D3" s="280" t="s">
        <v>740</v>
      </c>
      <c r="E3" s="165"/>
    </row>
    <row r="4" spans="1:5" ht="15" customHeight="1">
      <c r="A4" s="240" t="s">
        <v>548</v>
      </c>
      <c r="B4" s="240"/>
      <c r="C4" s="235"/>
      <c r="D4" s="165" t="s">
        <v>549</v>
      </c>
      <c r="E4" s="168" t="s">
        <v>550</v>
      </c>
    </row>
    <row r="5" spans="1:5" ht="15" customHeight="1">
      <c r="A5" s="236">
        <v>2276</v>
      </c>
      <c r="B5" s="236" t="s">
        <v>551</v>
      </c>
      <c r="C5" s="236" t="s">
        <v>104</v>
      </c>
      <c r="D5" s="230">
        <v>0</v>
      </c>
      <c r="E5" s="230">
        <v>25</v>
      </c>
    </row>
    <row r="6" spans="1:5" ht="15" customHeight="1">
      <c r="A6" s="236">
        <v>2067</v>
      </c>
      <c r="B6" s="236" t="s">
        <v>552</v>
      </c>
      <c r="C6" s="236" t="s">
        <v>104</v>
      </c>
      <c r="D6" s="230">
        <v>0</v>
      </c>
      <c r="E6" s="230">
        <v>25</v>
      </c>
    </row>
    <row r="7" spans="1:5" ht="15" customHeight="1">
      <c r="A7" s="236">
        <v>2634</v>
      </c>
      <c r="B7" s="236" t="s">
        <v>263</v>
      </c>
      <c r="C7" s="236" t="s">
        <v>121</v>
      </c>
      <c r="D7" s="230">
        <v>0</v>
      </c>
      <c r="E7" s="230">
        <v>13</v>
      </c>
    </row>
    <row r="8" spans="1:5" ht="15" customHeight="1">
      <c r="A8" s="236">
        <v>5</v>
      </c>
      <c r="B8" s="236" t="s">
        <v>264</v>
      </c>
      <c r="C8" s="236" t="s">
        <v>106</v>
      </c>
      <c r="D8" s="230">
        <v>0</v>
      </c>
      <c r="E8" s="230">
        <v>0</v>
      </c>
    </row>
    <row r="9" spans="1:5" ht="15" customHeight="1">
      <c r="A9" s="236">
        <v>46</v>
      </c>
      <c r="B9" s="236" t="s">
        <v>14</v>
      </c>
      <c r="C9" s="236" t="s">
        <v>110</v>
      </c>
      <c r="D9" s="230">
        <v>0</v>
      </c>
      <c r="E9" s="230">
        <v>0</v>
      </c>
    </row>
    <row r="10" spans="1:5" ht="15" customHeight="1">
      <c r="A10" s="235">
        <v>59</v>
      </c>
      <c r="B10" s="235" t="s">
        <v>251</v>
      </c>
      <c r="C10" s="235" t="s">
        <v>106</v>
      </c>
      <c r="D10" s="230">
        <v>0</v>
      </c>
      <c r="E10" s="230">
        <v>0</v>
      </c>
    </row>
    <row r="11" spans="1:5" ht="15" customHeight="1">
      <c r="A11" s="236">
        <v>40</v>
      </c>
      <c r="B11" s="236" t="s">
        <v>265</v>
      </c>
      <c r="C11" s="236" t="s">
        <v>121</v>
      </c>
      <c r="D11" s="230">
        <v>0</v>
      </c>
      <c r="E11" s="230">
        <v>0</v>
      </c>
    </row>
    <row r="12" spans="1:5" ht="15" customHeight="1">
      <c r="A12" s="236">
        <v>1695</v>
      </c>
      <c r="B12" s="236" t="s">
        <v>266</v>
      </c>
      <c r="C12" s="236" t="s">
        <v>121</v>
      </c>
      <c r="D12" s="230">
        <v>0</v>
      </c>
      <c r="E12" s="230">
        <v>0</v>
      </c>
    </row>
    <row r="13" spans="1:5" ht="15" customHeight="1">
      <c r="A13" s="236">
        <v>2366</v>
      </c>
      <c r="B13" s="236" t="s">
        <v>241</v>
      </c>
      <c r="C13" s="236" t="s">
        <v>106</v>
      </c>
      <c r="D13" s="230">
        <v>0</v>
      </c>
      <c r="E13" s="230">
        <v>0</v>
      </c>
    </row>
    <row r="14" spans="1:5" ht="15" customHeight="1">
      <c r="A14" s="236">
        <v>331</v>
      </c>
      <c r="B14" s="236" t="s">
        <v>249</v>
      </c>
      <c r="C14" s="236" t="s">
        <v>553</v>
      </c>
      <c r="D14" s="230">
        <v>0</v>
      </c>
      <c r="E14" s="230">
        <v>0</v>
      </c>
    </row>
    <row r="15" spans="1:5" ht="15" customHeight="1">
      <c r="A15" s="236">
        <v>330</v>
      </c>
      <c r="B15" s="236" t="s">
        <v>13</v>
      </c>
      <c r="C15" s="236" t="s">
        <v>110</v>
      </c>
      <c r="D15" s="230">
        <v>0</v>
      </c>
      <c r="E15" s="230">
        <v>2</v>
      </c>
    </row>
    <row r="16" spans="1:5" ht="15" customHeight="1">
      <c r="A16" s="236">
        <v>65</v>
      </c>
      <c r="B16" s="236" t="s">
        <v>267</v>
      </c>
      <c r="C16" s="236" t="s">
        <v>553</v>
      </c>
      <c r="D16" s="230">
        <v>0</v>
      </c>
      <c r="E16" s="230">
        <v>0</v>
      </c>
    </row>
    <row r="17" spans="1:5" ht="15" customHeight="1">
      <c r="A17" s="236">
        <v>70</v>
      </c>
      <c r="B17" s="236" t="s">
        <v>268</v>
      </c>
      <c r="C17" s="236" t="s">
        <v>106</v>
      </c>
      <c r="D17" s="230">
        <v>0</v>
      </c>
      <c r="E17" s="230">
        <v>0</v>
      </c>
    </row>
    <row r="18" spans="1:5" ht="15" customHeight="1">
      <c r="A18" s="236">
        <v>1823</v>
      </c>
      <c r="B18" s="236" t="s">
        <v>269</v>
      </c>
      <c r="C18" s="236" t="s">
        <v>104</v>
      </c>
      <c r="D18" s="230">
        <v>0</v>
      </c>
      <c r="E18" s="230">
        <v>0</v>
      </c>
    </row>
    <row r="19" spans="1:5" ht="15" customHeight="1">
      <c r="A19" s="236"/>
      <c r="B19" s="236"/>
      <c r="C19" s="236"/>
      <c r="D19" s="230"/>
      <c r="E19" s="230"/>
    </row>
    <row r="20" spans="1:5" ht="15" customHeight="1">
      <c r="A20" s="233" t="s">
        <v>544</v>
      </c>
      <c r="B20" s="234" t="s">
        <v>545</v>
      </c>
      <c r="C20" s="233" t="s">
        <v>546</v>
      </c>
      <c r="D20" s="280" t="s">
        <v>740</v>
      </c>
      <c r="E20" s="165"/>
    </row>
    <row r="21" spans="1:5" ht="25.5" customHeight="1">
      <c r="A21" s="240" t="s">
        <v>554</v>
      </c>
      <c r="B21" s="240"/>
      <c r="C21" s="235"/>
      <c r="D21" s="277" t="s">
        <v>549</v>
      </c>
      <c r="E21" s="168" t="s">
        <v>550</v>
      </c>
    </row>
    <row r="22" spans="1:5" ht="15" customHeight="1">
      <c r="A22" s="236">
        <v>2252</v>
      </c>
      <c r="B22" s="236" t="s">
        <v>294</v>
      </c>
      <c r="C22" s="236" t="s">
        <v>106</v>
      </c>
      <c r="D22" s="230">
        <v>0</v>
      </c>
      <c r="E22" s="230">
        <v>0</v>
      </c>
    </row>
    <row r="23" spans="1:5" ht="15" customHeight="1">
      <c r="A23" s="236">
        <v>2646</v>
      </c>
      <c r="B23" s="237" t="s">
        <v>295</v>
      </c>
      <c r="C23" s="236" t="s">
        <v>555</v>
      </c>
      <c r="D23" s="230">
        <v>0</v>
      </c>
      <c r="E23" s="230">
        <v>0</v>
      </c>
    </row>
    <row r="24" spans="1:5" ht="15" customHeight="1">
      <c r="A24" s="236">
        <v>2649</v>
      </c>
      <c r="B24" s="237" t="s">
        <v>296</v>
      </c>
      <c r="C24" s="236" t="s">
        <v>555</v>
      </c>
      <c r="D24" s="230">
        <v>0</v>
      </c>
      <c r="E24" s="230">
        <v>0</v>
      </c>
    </row>
    <row r="25" spans="1:5" ht="15" customHeight="1">
      <c r="A25" s="236">
        <v>2647</v>
      </c>
      <c r="B25" s="237" t="s">
        <v>297</v>
      </c>
      <c r="C25" s="236" t="s">
        <v>555</v>
      </c>
      <c r="D25" s="230">
        <v>0</v>
      </c>
      <c r="E25" s="230">
        <v>0</v>
      </c>
    </row>
    <row r="26" spans="1:5" ht="15" customHeight="1">
      <c r="A26" s="236">
        <v>2648</v>
      </c>
      <c r="B26" s="237" t="s">
        <v>298</v>
      </c>
      <c r="C26" s="236" t="s">
        <v>555</v>
      </c>
      <c r="D26" s="230">
        <v>0</v>
      </c>
      <c r="E26" s="230">
        <v>0</v>
      </c>
    </row>
    <row r="27" spans="1:5" ht="15" customHeight="1">
      <c r="A27" s="238">
        <v>2627</v>
      </c>
      <c r="B27" s="236" t="s">
        <v>299</v>
      </c>
      <c r="C27" s="236" t="s">
        <v>555</v>
      </c>
      <c r="D27" s="230">
        <v>0</v>
      </c>
      <c r="E27" s="230">
        <v>0</v>
      </c>
    </row>
    <row r="28" spans="1:5" ht="15" customHeight="1">
      <c r="A28" s="236">
        <v>2628</v>
      </c>
      <c r="B28" s="236" t="s">
        <v>300</v>
      </c>
      <c r="C28" s="236" t="s">
        <v>555</v>
      </c>
      <c r="D28" s="230">
        <v>0</v>
      </c>
      <c r="E28" s="230">
        <v>0</v>
      </c>
    </row>
    <row r="29" spans="1:5" ht="15" customHeight="1">
      <c r="A29" s="236">
        <v>137</v>
      </c>
      <c r="B29" s="236" t="s">
        <v>53</v>
      </c>
      <c r="C29" s="236" t="s">
        <v>106</v>
      </c>
      <c r="D29" s="230">
        <v>0</v>
      </c>
      <c r="E29" s="230">
        <v>10</v>
      </c>
    </row>
    <row r="30" spans="1:5" ht="15" customHeight="1">
      <c r="A30" s="236">
        <v>2416</v>
      </c>
      <c r="B30" s="236" t="s">
        <v>301</v>
      </c>
      <c r="C30" s="236" t="s">
        <v>106</v>
      </c>
      <c r="D30" s="230">
        <v>0</v>
      </c>
      <c r="E30" s="230">
        <v>0</v>
      </c>
    </row>
    <row r="31" spans="1:5" ht="15" customHeight="1">
      <c r="A31" s="236">
        <v>2629</v>
      </c>
      <c r="B31" s="236" t="s">
        <v>70</v>
      </c>
      <c r="C31" s="236" t="s">
        <v>133</v>
      </c>
      <c r="D31" s="230">
        <v>25</v>
      </c>
      <c r="E31" s="230">
        <v>100</v>
      </c>
    </row>
    <row r="32" spans="1:5" ht="15" customHeight="1">
      <c r="A32" s="236">
        <v>2388</v>
      </c>
      <c r="B32" s="236" t="s">
        <v>256</v>
      </c>
      <c r="C32" s="236" t="s">
        <v>555</v>
      </c>
      <c r="D32" s="230">
        <v>0</v>
      </c>
      <c r="E32" s="230">
        <v>0</v>
      </c>
    </row>
    <row r="33" spans="1:5" ht="15" customHeight="1">
      <c r="A33" s="236">
        <v>2540</v>
      </c>
      <c r="B33" s="236" t="s">
        <v>302</v>
      </c>
      <c r="C33" s="236" t="s">
        <v>555</v>
      </c>
      <c r="D33" s="230">
        <v>0</v>
      </c>
      <c r="E33" s="230">
        <v>0</v>
      </c>
    </row>
    <row r="34" spans="1:5" ht="15" customHeight="1">
      <c r="A34" s="236">
        <v>84</v>
      </c>
      <c r="B34" s="236" t="s">
        <v>303</v>
      </c>
      <c r="C34" s="236" t="s">
        <v>411</v>
      </c>
      <c r="D34" s="230">
        <v>0</v>
      </c>
      <c r="E34" s="230">
        <v>0</v>
      </c>
    </row>
    <row r="35" spans="1:5" ht="15" customHeight="1">
      <c r="A35" s="236">
        <v>87</v>
      </c>
      <c r="B35" s="236" t="s">
        <v>304</v>
      </c>
      <c r="C35" s="236" t="s">
        <v>411</v>
      </c>
      <c r="D35" s="230">
        <v>0</v>
      </c>
      <c r="E35" s="230">
        <v>0</v>
      </c>
    </row>
    <row r="36" spans="1:5" ht="15" customHeight="1">
      <c r="A36" s="236">
        <v>81</v>
      </c>
      <c r="B36" s="236" t="s">
        <v>305</v>
      </c>
      <c r="C36" s="236" t="s">
        <v>411</v>
      </c>
      <c r="D36" s="230">
        <v>0</v>
      </c>
      <c r="E36" s="230">
        <v>0</v>
      </c>
    </row>
    <row r="37" spans="1:5" ht="15" customHeight="1">
      <c r="A37" s="239"/>
      <c r="B37" s="239"/>
      <c r="C37" s="239"/>
    </row>
    <row r="38" spans="1:5" ht="15" customHeight="1">
      <c r="A38" s="233" t="s">
        <v>544</v>
      </c>
      <c r="B38" s="234" t="s">
        <v>545</v>
      </c>
      <c r="C38" s="233" t="s">
        <v>546</v>
      </c>
      <c r="D38" s="262" t="s">
        <v>712</v>
      </c>
      <c r="E38" s="165"/>
    </row>
    <row r="39" spans="1:5" ht="30" customHeight="1">
      <c r="A39" s="241" t="s">
        <v>556</v>
      </c>
      <c r="B39" s="276"/>
      <c r="C39" s="235"/>
      <c r="D39" s="277" t="s">
        <v>549</v>
      </c>
      <c r="E39" s="278" t="s">
        <v>550</v>
      </c>
    </row>
    <row r="40" spans="1:5" ht="15" customHeight="1">
      <c r="A40" s="227">
        <v>276</v>
      </c>
      <c r="B40" s="227" t="s">
        <v>270</v>
      </c>
      <c r="C40" s="227" t="s">
        <v>104</v>
      </c>
      <c r="D40" s="230">
        <v>0</v>
      </c>
      <c r="E40" s="230">
        <v>0</v>
      </c>
    </row>
    <row r="41" spans="1:5" ht="15" customHeight="1">
      <c r="A41" s="227">
        <v>1938</v>
      </c>
      <c r="B41" s="227" t="s">
        <v>271</v>
      </c>
      <c r="C41" s="227" t="s">
        <v>104</v>
      </c>
      <c r="D41" s="230">
        <v>1</v>
      </c>
      <c r="E41" s="230">
        <v>3</v>
      </c>
    </row>
    <row r="42" spans="1:5" ht="15" customHeight="1">
      <c r="A42" s="227">
        <v>1949</v>
      </c>
      <c r="B42" s="227" t="s">
        <v>272</v>
      </c>
      <c r="C42" s="227" t="s">
        <v>104</v>
      </c>
      <c r="D42" s="230">
        <v>1</v>
      </c>
      <c r="E42" s="230">
        <v>3</v>
      </c>
    </row>
    <row r="43" spans="1:5" ht="15" customHeight="1">
      <c r="A43" s="227">
        <v>2519</v>
      </c>
      <c r="B43" s="227" t="s">
        <v>207</v>
      </c>
      <c r="C43" s="227" t="s">
        <v>104</v>
      </c>
      <c r="D43" s="230">
        <v>0</v>
      </c>
      <c r="E43" s="230">
        <v>0</v>
      </c>
    </row>
    <row r="44" spans="1:5" ht="15" customHeight="1">
      <c r="A44" s="227">
        <v>2520</v>
      </c>
      <c r="B44" s="227" t="s">
        <v>273</v>
      </c>
      <c r="C44" s="227" t="s">
        <v>104</v>
      </c>
      <c r="D44" s="230">
        <v>0</v>
      </c>
      <c r="E44" s="230">
        <v>0</v>
      </c>
    </row>
    <row r="45" spans="1:5" ht="15" customHeight="1">
      <c r="A45" s="227">
        <v>222</v>
      </c>
      <c r="B45" s="227" t="s">
        <v>78</v>
      </c>
      <c r="C45" s="227" t="s">
        <v>233</v>
      </c>
      <c r="D45" s="230">
        <v>0</v>
      </c>
      <c r="E45" s="230">
        <v>0</v>
      </c>
    </row>
    <row r="46" spans="1:5" ht="15" customHeight="1">
      <c r="A46" s="227">
        <v>1976</v>
      </c>
      <c r="B46" s="227" t="s">
        <v>60</v>
      </c>
      <c r="C46" s="227" t="s">
        <v>104</v>
      </c>
      <c r="D46" s="230">
        <v>1</v>
      </c>
      <c r="E46" s="230">
        <v>9</v>
      </c>
    </row>
    <row r="47" spans="1:5" ht="15" customHeight="1">
      <c r="A47" s="227">
        <v>2521</v>
      </c>
      <c r="B47" s="227" t="s">
        <v>557</v>
      </c>
      <c r="C47" s="227" t="s">
        <v>104</v>
      </c>
      <c r="D47" s="230">
        <v>5</v>
      </c>
      <c r="E47" s="230">
        <v>0</v>
      </c>
    </row>
    <row r="48" spans="1:5" ht="15" customHeight="1">
      <c r="A48" s="227">
        <v>2576</v>
      </c>
      <c r="B48" s="227" t="s">
        <v>39</v>
      </c>
      <c r="C48" s="227" t="s">
        <v>104</v>
      </c>
      <c r="D48" s="230">
        <v>0</v>
      </c>
      <c r="E48" s="230">
        <v>0</v>
      </c>
    </row>
    <row r="49" spans="1:5" ht="15" customHeight="1">
      <c r="A49" s="227">
        <v>2399</v>
      </c>
      <c r="B49" s="227" t="s">
        <v>274</v>
      </c>
      <c r="C49" s="227" t="s">
        <v>558</v>
      </c>
      <c r="D49" s="230">
        <v>0</v>
      </c>
      <c r="E49" s="230">
        <v>0</v>
      </c>
    </row>
    <row r="50" spans="1:5" ht="15" customHeight="1">
      <c r="A50" s="227">
        <v>199</v>
      </c>
      <c r="B50" s="227" t="s">
        <v>275</v>
      </c>
      <c r="C50" s="227" t="s">
        <v>233</v>
      </c>
      <c r="D50" s="230">
        <v>0</v>
      </c>
      <c r="E50" s="230">
        <v>0</v>
      </c>
    </row>
    <row r="51" spans="1:5" ht="15" customHeight="1">
      <c r="A51" s="227">
        <v>2386</v>
      </c>
      <c r="B51" s="227" t="s">
        <v>276</v>
      </c>
      <c r="C51" s="227" t="s">
        <v>558</v>
      </c>
      <c r="D51" s="230">
        <v>0</v>
      </c>
      <c r="E51" s="230">
        <v>0</v>
      </c>
    </row>
    <row r="52" spans="1:5" ht="15" customHeight="1">
      <c r="A52" s="227">
        <v>1939</v>
      </c>
      <c r="B52" s="227" t="s">
        <v>205</v>
      </c>
      <c r="C52" s="227" t="s">
        <v>104</v>
      </c>
      <c r="D52" s="230">
        <v>0</v>
      </c>
      <c r="E52" s="230">
        <v>0</v>
      </c>
    </row>
    <row r="53" spans="1:5" ht="15" customHeight="1">
      <c r="A53" s="297">
        <v>1950</v>
      </c>
      <c r="B53" s="297" t="s">
        <v>277</v>
      </c>
      <c r="C53" s="297" t="s">
        <v>104</v>
      </c>
      <c r="D53" s="299">
        <v>0</v>
      </c>
      <c r="E53" s="299">
        <v>0</v>
      </c>
    </row>
    <row r="54" spans="1:5" ht="15" customHeight="1">
      <c r="A54" s="298"/>
      <c r="B54" s="296" t="s">
        <v>713</v>
      </c>
      <c r="C54" s="302" t="s">
        <v>104</v>
      </c>
      <c r="D54" s="300">
        <v>0</v>
      </c>
      <c r="E54" s="230">
        <v>0</v>
      </c>
    </row>
    <row r="55" spans="1:5" ht="15" customHeight="1">
      <c r="B55" s="312" t="s">
        <v>34</v>
      </c>
      <c r="C55" s="232" t="s">
        <v>104</v>
      </c>
      <c r="D55" s="300">
        <v>1</v>
      </c>
      <c r="E55" s="230">
        <v>2</v>
      </c>
    </row>
    <row r="56" spans="1:5" ht="15" customHeight="1">
      <c r="A56" s="239"/>
      <c r="B56" s="303" t="s">
        <v>714</v>
      </c>
      <c r="C56" s="239" t="s">
        <v>104</v>
      </c>
      <c r="D56" s="300">
        <v>1</v>
      </c>
      <c r="E56" s="230">
        <v>2</v>
      </c>
    </row>
    <row r="57" spans="1:5" ht="15" customHeight="1">
      <c r="A57" s="239"/>
      <c r="B57" s="296" t="s">
        <v>715</v>
      </c>
      <c r="C57" s="239" t="s">
        <v>104</v>
      </c>
      <c r="D57" s="300">
        <v>0</v>
      </c>
      <c r="E57" s="230">
        <v>0</v>
      </c>
    </row>
    <row r="58" spans="1:5" ht="15" customHeight="1">
      <c r="A58" s="239"/>
      <c r="B58" s="296"/>
      <c r="C58" s="239"/>
      <c r="D58" s="300"/>
      <c r="E58" s="230"/>
    </row>
    <row r="59" spans="1:5" ht="15" customHeight="1">
      <c r="A59" s="233" t="s">
        <v>544</v>
      </c>
      <c r="B59" s="234" t="s">
        <v>545</v>
      </c>
      <c r="C59" s="233" t="s">
        <v>546</v>
      </c>
      <c r="D59" s="165" t="str">
        <f>D38</f>
        <v xml:space="preserve">    +</v>
      </c>
      <c r="E59" s="165"/>
    </row>
    <row r="60" spans="1:5" ht="15" customHeight="1">
      <c r="A60" s="240" t="s">
        <v>559</v>
      </c>
      <c r="B60" s="240"/>
      <c r="C60" s="235"/>
      <c r="D60" s="165" t="s">
        <v>549</v>
      </c>
      <c r="E60" s="165" t="s">
        <v>550</v>
      </c>
    </row>
    <row r="61" spans="1:5" ht="15" customHeight="1">
      <c r="A61" s="227">
        <v>2617</v>
      </c>
      <c r="B61" s="227" t="s">
        <v>29</v>
      </c>
      <c r="C61" s="236" t="s">
        <v>560</v>
      </c>
      <c r="D61" s="230">
        <v>0</v>
      </c>
      <c r="E61" s="230">
        <v>0</v>
      </c>
    </row>
    <row r="62" spans="1:5" ht="15" customHeight="1">
      <c r="A62" s="227">
        <v>2618</v>
      </c>
      <c r="B62" s="227" t="s">
        <v>63</v>
      </c>
      <c r="C62" s="236" t="s">
        <v>119</v>
      </c>
      <c r="D62" s="230">
        <v>0</v>
      </c>
      <c r="E62" s="230">
        <v>0</v>
      </c>
    </row>
    <row r="63" spans="1:5" ht="15" customHeight="1">
      <c r="A63" s="227">
        <v>337</v>
      </c>
      <c r="B63" s="227" t="s">
        <v>741</v>
      </c>
      <c r="C63" s="236" t="s">
        <v>106</v>
      </c>
      <c r="D63" s="230">
        <v>0</v>
      </c>
      <c r="E63" s="230">
        <v>200</v>
      </c>
    </row>
    <row r="64" spans="1:5" ht="15" customHeight="1">
      <c r="A64" s="227">
        <v>2551</v>
      </c>
      <c r="B64" s="227" t="s">
        <v>279</v>
      </c>
      <c r="C64" s="236" t="s">
        <v>121</v>
      </c>
      <c r="D64" s="230">
        <v>0</v>
      </c>
      <c r="E64" s="230">
        <v>0</v>
      </c>
    </row>
    <row r="65" spans="1:5" ht="15" customHeight="1">
      <c r="A65" s="227">
        <v>2550</v>
      </c>
      <c r="B65" s="227" t="s">
        <v>25</v>
      </c>
      <c r="C65" s="236" t="s">
        <v>121</v>
      </c>
      <c r="D65" s="230">
        <v>0</v>
      </c>
      <c r="E65" s="230">
        <v>0</v>
      </c>
    </row>
    <row r="66" spans="1:5" ht="15" customHeight="1">
      <c r="A66" s="227">
        <v>2552</v>
      </c>
      <c r="B66" s="227" t="s">
        <v>43</v>
      </c>
      <c r="C66" s="236" t="s">
        <v>121</v>
      </c>
      <c r="D66" s="230">
        <v>0</v>
      </c>
      <c r="E66" s="230">
        <v>0</v>
      </c>
    </row>
    <row r="67" spans="1:5" ht="15" customHeight="1">
      <c r="A67" s="227">
        <v>2546</v>
      </c>
      <c r="B67" s="227" t="s">
        <v>66</v>
      </c>
      <c r="C67" s="236" t="s">
        <v>121</v>
      </c>
      <c r="D67" s="230">
        <v>0</v>
      </c>
      <c r="E67" s="230">
        <v>0</v>
      </c>
    </row>
    <row r="68" spans="1:5" ht="15" customHeight="1">
      <c r="A68" s="227">
        <v>1960</v>
      </c>
      <c r="B68" s="227" t="s">
        <v>20</v>
      </c>
      <c r="C68" s="236" t="s">
        <v>106</v>
      </c>
      <c r="D68" s="230">
        <v>0</v>
      </c>
      <c r="E68" s="230">
        <v>0</v>
      </c>
    </row>
    <row r="69" spans="1:5" ht="15" customHeight="1">
      <c r="A69" s="227">
        <v>313</v>
      </c>
      <c r="B69" s="227" t="s">
        <v>221</v>
      </c>
      <c r="C69" s="236" t="s">
        <v>553</v>
      </c>
      <c r="D69" s="230">
        <v>0</v>
      </c>
      <c r="E69" s="230">
        <v>0</v>
      </c>
    </row>
    <row r="70" spans="1:5" ht="15" customHeight="1">
      <c r="A70" s="227">
        <v>2631</v>
      </c>
      <c r="B70" s="227" t="s">
        <v>280</v>
      </c>
      <c r="C70" s="236" t="s">
        <v>106</v>
      </c>
      <c r="D70" s="230">
        <v>0</v>
      </c>
      <c r="E70" s="230">
        <v>0</v>
      </c>
    </row>
    <row r="71" spans="1:5" ht="15" customHeight="1">
      <c r="A71" s="227">
        <v>312</v>
      </c>
      <c r="B71" s="227" t="s">
        <v>231</v>
      </c>
      <c r="C71" s="236" t="s">
        <v>106</v>
      </c>
      <c r="D71" s="230">
        <v>10</v>
      </c>
      <c r="E71" s="230">
        <v>21</v>
      </c>
    </row>
    <row r="72" spans="1:5" ht="15" customHeight="1">
      <c r="A72" s="227">
        <v>2536</v>
      </c>
      <c r="B72" s="227" t="s">
        <v>281</v>
      </c>
      <c r="C72" s="236" t="s">
        <v>106</v>
      </c>
      <c r="D72" s="230">
        <v>0</v>
      </c>
      <c r="E72" s="230">
        <v>0</v>
      </c>
    </row>
    <row r="73" spans="1:5" ht="15" customHeight="1">
      <c r="A73" s="227">
        <v>293</v>
      </c>
      <c r="B73" s="227" t="s">
        <v>282</v>
      </c>
      <c r="C73" s="236" t="s">
        <v>119</v>
      </c>
      <c r="D73" s="230">
        <v>0</v>
      </c>
      <c r="E73" s="230">
        <v>0</v>
      </c>
    </row>
    <row r="74" spans="1:5" ht="15" customHeight="1">
      <c r="A74" s="227">
        <v>2340</v>
      </c>
      <c r="B74" s="227" t="s">
        <v>283</v>
      </c>
      <c r="C74" s="236" t="s">
        <v>119</v>
      </c>
      <c r="D74" s="230">
        <v>0</v>
      </c>
      <c r="E74" s="230">
        <v>0</v>
      </c>
    </row>
    <row r="75" spans="1:5" ht="15" customHeight="1">
      <c r="A75" s="227">
        <v>2136</v>
      </c>
      <c r="B75" s="227" t="s">
        <v>232</v>
      </c>
      <c r="C75" s="236" t="s">
        <v>106</v>
      </c>
      <c r="D75" s="230">
        <v>0</v>
      </c>
      <c r="E75" s="230">
        <v>0</v>
      </c>
    </row>
    <row r="76" spans="1:5" ht="15" customHeight="1">
      <c r="A76" s="227">
        <v>338</v>
      </c>
      <c r="B76" s="227" t="s">
        <v>24</v>
      </c>
      <c r="C76" s="236" t="s">
        <v>106</v>
      </c>
      <c r="D76" s="230">
        <v>0</v>
      </c>
      <c r="E76" s="230">
        <v>0</v>
      </c>
    </row>
    <row r="77" spans="1:5" ht="15" customHeight="1">
      <c r="A77" s="227">
        <v>345</v>
      </c>
      <c r="B77" s="227" t="s">
        <v>284</v>
      </c>
      <c r="C77" s="236" t="s">
        <v>106</v>
      </c>
      <c r="D77" s="230">
        <v>0</v>
      </c>
      <c r="E77" s="230">
        <v>0</v>
      </c>
    </row>
    <row r="78" spans="1:5" ht="15" customHeight="1">
      <c r="A78" s="227">
        <v>2537</v>
      </c>
      <c r="B78" s="227" t="s">
        <v>21</v>
      </c>
      <c r="C78" s="236" t="s">
        <v>133</v>
      </c>
      <c r="D78" s="230">
        <v>0</v>
      </c>
      <c r="E78" s="230">
        <v>0</v>
      </c>
    </row>
    <row r="79" spans="1:5" ht="15" customHeight="1">
      <c r="A79" s="227">
        <v>281</v>
      </c>
      <c r="B79" s="227" t="s">
        <v>22</v>
      </c>
      <c r="C79" s="236" t="s">
        <v>133</v>
      </c>
      <c r="D79" s="230">
        <v>36</v>
      </c>
      <c r="E79" s="230">
        <v>256</v>
      </c>
    </row>
    <row r="80" spans="1:5" ht="15" customHeight="1">
      <c r="A80" s="227">
        <v>2538</v>
      </c>
      <c r="B80" s="227" t="s">
        <v>65</v>
      </c>
      <c r="C80" s="236" t="s">
        <v>121</v>
      </c>
      <c r="D80" s="230">
        <v>0</v>
      </c>
      <c r="E80" s="230">
        <v>0</v>
      </c>
    </row>
    <row r="81" spans="1:5" ht="15" customHeight="1">
      <c r="A81" s="227">
        <v>306</v>
      </c>
      <c r="B81" s="227" t="s">
        <v>58</v>
      </c>
      <c r="C81" s="236" t="s">
        <v>121</v>
      </c>
      <c r="D81" s="230">
        <v>0</v>
      </c>
      <c r="E81" s="230">
        <v>0</v>
      </c>
    </row>
    <row r="82" spans="1:5" ht="15" customHeight="1">
      <c r="A82" s="227">
        <v>305</v>
      </c>
      <c r="B82" s="227" t="s">
        <v>285</v>
      </c>
      <c r="C82" s="236" t="s">
        <v>121</v>
      </c>
      <c r="D82" s="230">
        <v>0</v>
      </c>
      <c r="E82" s="230">
        <v>0</v>
      </c>
    </row>
    <row r="83" spans="1:5" ht="15" customHeight="1">
      <c r="A83" s="227">
        <v>336</v>
      </c>
      <c r="B83" s="227" t="s">
        <v>17</v>
      </c>
      <c r="C83" s="236" t="s">
        <v>106</v>
      </c>
      <c r="D83" s="230">
        <v>0</v>
      </c>
      <c r="E83" s="230">
        <v>0</v>
      </c>
    </row>
    <row r="84" spans="1:5" ht="15" customHeight="1">
      <c r="A84" s="227"/>
      <c r="B84" s="227" t="s">
        <v>23</v>
      </c>
      <c r="C84" s="236" t="s">
        <v>106</v>
      </c>
      <c r="D84" s="230">
        <v>0</v>
      </c>
      <c r="E84" s="230">
        <v>0</v>
      </c>
    </row>
    <row r="85" spans="1:5" ht="15" customHeight="1">
      <c r="A85" s="227">
        <v>1972</v>
      </c>
      <c r="B85" s="227" t="s">
        <v>286</v>
      </c>
      <c r="C85" s="236" t="s">
        <v>106</v>
      </c>
      <c r="D85" s="230">
        <v>0</v>
      </c>
      <c r="E85" s="230">
        <v>0</v>
      </c>
    </row>
    <row r="86" spans="1:5" ht="15" customHeight="1">
      <c r="A86" s="227">
        <v>309</v>
      </c>
      <c r="B86" s="227" t="s">
        <v>287</v>
      </c>
      <c r="C86" s="236" t="s">
        <v>561</v>
      </c>
      <c r="D86" s="230">
        <v>0</v>
      </c>
      <c r="E86" s="230">
        <v>0</v>
      </c>
    </row>
    <row r="87" spans="1:5" ht="15" customHeight="1">
      <c r="A87" s="227">
        <v>333</v>
      </c>
      <c r="B87" s="227" t="s">
        <v>288</v>
      </c>
      <c r="C87" s="236" t="s">
        <v>106</v>
      </c>
      <c r="D87" s="230">
        <v>0</v>
      </c>
      <c r="E87" s="230">
        <v>0</v>
      </c>
    </row>
    <row r="88" spans="1:5" ht="15" customHeight="1">
      <c r="A88" s="227">
        <v>307</v>
      </c>
      <c r="B88" s="227" t="s">
        <v>26</v>
      </c>
      <c r="C88" s="236" t="s">
        <v>121</v>
      </c>
      <c r="D88" s="230">
        <v>0</v>
      </c>
      <c r="E88" s="230">
        <v>0</v>
      </c>
    </row>
    <row r="89" spans="1:5" ht="15" customHeight="1">
      <c r="A89" s="227">
        <v>308</v>
      </c>
      <c r="B89" s="227" t="s">
        <v>27</v>
      </c>
      <c r="C89" s="236" t="s">
        <v>562</v>
      </c>
      <c r="D89" s="230">
        <v>0</v>
      </c>
      <c r="E89" s="230">
        <v>0</v>
      </c>
    </row>
    <row r="90" spans="1:5" ht="15" customHeight="1">
      <c r="A90" s="227">
        <v>341</v>
      </c>
      <c r="B90" s="227" t="s">
        <v>289</v>
      </c>
      <c r="C90" s="236" t="s">
        <v>106</v>
      </c>
      <c r="D90" s="230">
        <v>0</v>
      </c>
      <c r="E90" s="230">
        <v>0</v>
      </c>
    </row>
    <row r="91" spans="1:5" ht="15" customHeight="1">
      <c r="A91" s="227">
        <v>339</v>
      </c>
      <c r="B91" s="227" t="s">
        <v>81</v>
      </c>
      <c r="C91" s="236" t="s">
        <v>106</v>
      </c>
      <c r="D91" s="230">
        <v>0</v>
      </c>
      <c r="E91" s="230">
        <v>0</v>
      </c>
    </row>
    <row r="92" spans="1:5" ht="15" customHeight="1">
      <c r="A92" s="227">
        <v>342</v>
      </c>
      <c r="B92" s="227" t="s">
        <v>203</v>
      </c>
      <c r="C92" s="236" t="s">
        <v>106</v>
      </c>
      <c r="D92" s="230">
        <v>0</v>
      </c>
      <c r="E92" s="230">
        <v>0</v>
      </c>
    </row>
    <row r="93" spans="1:5" ht="15" customHeight="1">
      <c r="A93" s="227">
        <v>343</v>
      </c>
      <c r="B93" s="227" t="s">
        <v>290</v>
      </c>
      <c r="C93" s="236" t="s">
        <v>106</v>
      </c>
      <c r="D93" s="230">
        <v>0</v>
      </c>
      <c r="E93" s="230">
        <v>0</v>
      </c>
    </row>
    <row r="94" spans="1:5" ht="15" customHeight="1">
      <c r="A94" s="227">
        <v>310</v>
      </c>
      <c r="B94" s="227" t="s">
        <v>30</v>
      </c>
      <c r="C94" s="236" t="s">
        <v>121</v>
      </c>
      <c r="D94" s="230">
        <v>0</v>
      </c>
      <c r="E94" s="230">
        <v>0</v>
      </c>
    </row>
    <row r="95" spans="1:5" ht="15" customHeight="1">
      <c r="A95" s="227">
        <v>334</v>
      </c>
      <c r="B95" s="227" t="s">
        <v>291</v>
      </c>
      <c r="C95" s="236" t="s">
        <v>106</v>
      </c>
      <c r="D95" s="230">
        <v>0</v>
      </c>
      <c r="E95" s="230">
        <v>0</v>
      </c>
    </row>
    <row r="96" spans="1:5" ht="15" customHeight="1">
      <c r="A96" s="227">
        <v>300</v>
      </c>
      <c r="B96" s="227" t="s">
        <v>19</v>
      </c>
      <c r="C96" s="236" t="s">
        <v>133</v>
      </c>
      <c r="D96" s="230">
        <v>2</v>
      </c>
      <c r="E96" s="230">
        <v>6</v>
      </c>
    </row>
    <row r="97" spans="1:5" ht="15" customHeight="1">
      <c r="A97" s="227">
        <v>301</v>
      </c>
      <c r="B97" s="227" t="s">
        <v>15</v>
      </c>
      <c r="C97" s="236" t="s">
        <v>133</v>
      </c>
      <c r="D97" s="230">
        <v>8</v>
      </c>
      <c r="E97" s="230">
        <v>0</v>
      </c>
    </row>
    <row r="98" spans="1:5" ht="15" customHeight="1">
      <c r="A98" s="227">
        <v>311</v>
      </c>
      <c r="B98" s="227" t="s">
        <v>292</v>
      </c>
      <c r="C98" s="236" t="s">
        <v>133</v>
      </c>
      <c r="D98" s="230">
        <v>0</v>
      </c>
      <c r="E98" s="230">
        <v>0</v>
      </c>
    </row>
    <row r="99" spans="1:5" ht="15" customHeight="1">
      <c r="A99" s="227">
        <v>344</v>
      </c>
      <c r="B99" s="227" t="s">
        <v>293</v>
      </c>
      <c r="C99" s="236" t="s">
        <v>106</v>
      </c>
      <c r="D99" s="230">
        <v>0</v>
      </c>
      <c r="E99" s="230">
        <v>0</v>
      </c>
    </row>
  </sheetData>
  <mergeCells count="1">
    <mergeCell ref="A2:C2"/>
  </mergeCells>
  <pageMargins left="0.7" right="0.7" top="0.75" bottom="0.75" header="0.3" footer="0.3"/>
  <pageSetup paperSize="5" orientation="portrait" blackAndWhite="1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49</vt:i4>
      </vt:variant>
    </vt:vector>
  </HeadingPairs>
  <TitlesOfParts>
    <vt:vector size="101" baseType="lpstr">
      <vt:lpstr>DATA ENTRY - REQUEST</vt:lpstr>
      <vt:lpstr>DATA ENTRY - RECEIVED</vt:lpstr>
      <vt:lpstr>DATA ENTRY - JANITORIAL</vt:lpstr>
      <vt:lpstr>Sheet1</vt:lpstr>
      <vt:lpstr>DATA ENTRY - RELEASED</vt:lpstr>
      <vt:lpstr>SUMMARY</vt:lpstr>
      <vt:lpstr>REQUISITION AND ISSUE SLIP</vt:lpstr>
      <vt:lpstr>SUPPLIES SUMMARY</vt:lpstr>
      <vt:lpstr>RIS FORM V112022</vt:lpstr>
      <vt:lpstr>ENDING BAL</vt:lpstr>
      <vt:lpstr>082023</vt:lpstr>
      <vt:lpstr>new INVENTORY</vt:lpstr>
      <vt:lpstr>092023</vt:lpstr>
      <vt:lpstr>REFERENCE</vt:lpstr>
      <vt:lpstr>ACTUAL NUMBER OF SUPPLIES</vt:lpstr>
      <vt:lpstr>Inventory Supply 2021</vt:lpstr>
      <vt:lpstr>MEDICINES</vt:lpstr>
      <vt:lpstr>APR - agency procurement req</vt:lpstr>
      <vt:lpstr>102023 </vt:lpstr>
      <vt:lpstr>112023 </vt:lpstr>
      <vt:lpstr>122023</vt:lpstr>
      <vt:lpstr>022024</vt:lpstr>
      <vt:lpstr>032024 </vt:lpstr>
      <vt:lpstr>042024</vt:lpstr>
      <vt:lpstr>052024</vt:lpstr>
      <vt:lpstr>062024</vt:lpstr>
      <vt:lpstr>092024</vt:lpstr>
      <vt:lpstr>102024</vt:lpstr>
      <vt:lpstr>112024</vt:lpstr>
      <vt:lpstr>122024</vt:lpstr>
      <vt:lpstr>012025</vt:lpstr>
      <vt:lpstr>022025</vt:lpstr>
      <vt:lpstr>032025</vt:lpstr>
      <vt:lpstr>042025 (2)</vt:lpstr>
      <vt:lpstr>042025 (3)</vt:lpstr>
      <vt:lpstr>042025 (4)</vt:lpstr>
      <vt:lpstr>042025 (6)</vt:lpstr>
      <vt:lpstr>052025</vt:lpstr>
      <vt:lpstr>052025-2</vt:lpstr>
      <vt:lpstr>062025</vt:lpstr>
      <vt:lpstr>072025-1</vt:lpstr>
      <vt:lpstr>072025-2</vt:lpstr>
      <vt:lpstr>082025 (2)</vt:lpstr>
      <vt:lpstr>092025</vt:lpstr>
      <vt:lpstr>102025</vt:lpstr>
      <vt:lpstr>122025</vt:lpstr>
      <vt:lpstr>012026</vt:lpstr>
      <vt:lpstr>022026 </vt:lpstr>
      <vt:lpstr>032026</vt:lpstr>
      <vt:lpstr>042026 (2)</vt:lpstr>
      <vt:lpstr>052026 (2)</vt:lpstr>
      <vt:lpstr>062026</vt:lpstr>
      <vt:lpstr>'DATA ENTRY - JANITORIAL'!AVAIL1</vt:lpstr>
      <vt:lpstr>'DATA ENTRY - RECEIVED'!AVAIL1</vt:lpstr>
      <vt:lpstr>'DATA ENTRY - RELEASED'!AVAIL1</vt:lpstr>
      <vt:lpstr>SUMMARY!AVAIL1</vt:lpstr>
      <vt:lpstr>AVAIL1</vt:lpstr>
      <vt:lpstr>'Inventory Supply 2021'!Excel_BuiltIn_Print_Area</vt:lpstr>
      <vt:lpstr>'012025'!Print_Area</vt:lpstr>
      <vt:lpstr>'012026'!Print_Area</vt:lpstr>
      <vt:lpstr>'022024'!Print_Area</vt:lpstr>
      <vt:lpstr>'022025'!Print_Area</vt:lpstr>
      <vt:lpstr>'022026 '!Print_Area</vt:lpstr>
      <vt:lpstr>'032024 '!Print_Area</vt:lpstr>
      <vt:lpstr>'032025'!Print_Area</vt:lpstr>
      <vt:lpstr>'032026'!Print_Area</vt:lpstr>
      <vt:lpstr>'042024'!Print_Area</vt:lpstr>
      <vt:lpstr>'042025 (2)'!Print_Area</vt:lpstr>
      <vt:lpstr>'042025 (3)'!Print_Area</vt:lpstr>
      <vt:lpstr>'042025 (4)'!Print_Area</vt:lpstr>
      <vt:lpstr>'042025 (6)'!Print_Area</vt:lpstr>
      <vt:lpstr>'042026 (2)'!Print_Area</vt:lpstr>
      <vt:lpstr>'052024'!Print_Area</vt:lpstr>
      <vt:lpstr>'052025'!Print_Area</vt:lpstr>
      <vt:lpstr>'052025-2'!Print_Area</vt:lpstr>
      <vt:lpstr>'052026 (2)'!Print_Area</vt:lpstr>
      <vt:lpstr>'062024'!Print_Area</vt:lpstr>
      <vt:lpstr>'062025'!Print_Area</vt:lpstr>
      <vt:lpstr>'062026'!Print_Area</vt:lpstr>
      <vt:lpstr>'072025-1'!Print_Area</vt:lpstr>
      <vt:lpstr>'072025-2'!Print_Area</vt:lpstr>
      <vt:lpstr>'082025 (2)'!Print_Area</vt:lpstr>
      <vt:lpstr>'092024'!Print_Area</vt:lpstr>
      <vt:lpstr>'092025'!Print_Area</vt:lpstr>
      <vt:lpstr>'102024'!Print_Area</vt:lpstr>
      <vt:lpstr>'102025'!Print_Area</vt:lpstr>
      <vt:lpstr>'112024'!Print_Area</vt:lpstr>
      <vt:lpstr>'122024'!Print_Area</vt:lpstr>
      <vt:lpstr>'122025'!Print_Area</vt:lpstr>
      <vt:lpstr>'Inventory Supply 2021'!Print_Area</vt:lpstr>
      <vt:lpstr>'RIS FORM V112022'!Print_Area</vt:lpstr>
      <vt:lpstr>REQUEST1</vt:lpstr>
      <vt:lpstr>REQUEST2</vt:lpstr>
      <vt:lpstr>SECTION</vt:lpstr>
      <vt:lpstr>STOCKS</vt:lpstr>
      <vt:lpstr>SUPPLY</vt:lpstr>
      <vt:lpstr>SUPPLY2</vt:lpstr>
      <vt:lpstr>SUPPLY3</vt:lpstr>
      <vt:lpstr>YEAR2023</vt:lpstr>
      <vt:lpstr>YEAR21</vt:lpstr>
      <vt:lpstr>YEAR22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SSSUser1</dc:creator>
  <cp:keywords/>
  <dc:description/>
  <cp:lastModifiedBy>Arnel Balistoy</cp:lastModifiedBy>
  <cp:revision/>
  <dcterms:created xsi:type="dcterms:W3CDTF">2022-04-19T02:47:39Z</dcterms:created>
  <dcterms:modified xsi:type="dcterms:W3CDTF">2026-07-20T05:41:18Z</dcterms:modified>
  <cp:category/>
  <cp:contentStatus/>
</cp:coreProperties>
</file>